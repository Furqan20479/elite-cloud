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A95A797-672F-4F18-823F-FE24868305E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C11" i="72" s="1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8" l="1"/>
  <c r="N24" i="70"/>
  <c r="N4" i="65"/>
  <c r="N5" i="65" s="1"/>
  <c r="N24" i="66"/>
  <c r="N4" i="52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C11" i="47" s="1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16" i="56" l="1"/>
  <c r="N16" i="59"/>
  <c r="N16" i="44"/>
  <c r="N16" i="63"/>
  <c r="N16" i="53"/>
  <c r="N16" i="48"/>
  <c r="N24" i="50"/>
  <c r="N16" i="58"/>
  <c r="N16" i="50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J49" i="41"/>
  <c r="L49" i="41" s="1"/>
  <c r="K49" i="41" s="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J12" i="41"/>
  <c r="L12" i="41" s="1"/>
  <c r="K12" i="41" s="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O50" i="41" s="1"/>
  <c r="P50" i="41" s="1"/>
  <c r="N10" i="4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9" i="41" l="1"/>
  <c r="P39" i="41" s="1"/>
  <c r="O13" i="41"/>
  <c r="P13" i="41" s="1"/>
  <c r="O15" i="41"/>
  <c r="P15" i="41" s="1"/>
  <c r="O10" i="41"/>
  <c r="P10" i="41" s="1"/>
  <c r="O18" i="41"/>
  <c r="P18" i="41" s="1"/>
  <c r="O49" i="41"/>
  <c r="P49" i="41" s="1"/>
  <c r="O9" i="41"/>
  <c r="P9" i="41" s="1"/>
  <c r="O26" i="41"/>
  <c r="P26" i="41" s="1"/>
  <c r="O35" i="41"/>
  <c r="P3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D22" i="11"/>
  <c r="N22" i="11" s="1"/>
  <c r="N13" i="62" s="1"/>
  <c r="D21" i="11"/>
  <c r="D20" i="11"/>
  <c r="D19" i="11"/>
  <c r="N19" i="11" s="1"/>
  <c r="N10" i="62" s="1"/>
  <c r="D18" i="1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F22" i="47" s="1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3" i="11" l="1"/>
  <c r="N14" i="62" s="1"/>
  <c r="N18" i="11"/>
  <c r="N9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8" l="1"/>
  <c r="M24" i="72"/>
  <c r="M23" i="65"/>
  <c r="L17" i="16"/>
  <c r="M16" i="72"/>
  <c r="M20" i="43"/>
  <c r="O20" i="43" s="1"/>
  <c r="P20" i="43" s="1"/>
  <c r="R20" i="43" s="1"/>
  <c r="M23" i="54"/>
  <c r="O23" i="54" s="1"/>
  <c r="P23" i="54" s="1"/>
  <c r="M23" i="44"/>
  <c r="O23" i="44" s="1"/>
  <c r="P23" i="44" s="1"/>
  <c r="M22" i="56"/>
  <c r="O22" i="56" s="1"/>
  <c r="P22" i="56" s="1"/>
  <c r="M22" i="67"/>
  <c r="O22" i="67" s="1"/>
  <c r="P22" i="67" s="1"/>
  <c r="M24" i="43"/>
  <c r="O24" i="43" s="1"/>
  <c r="P24" i="43" s="1"/>
  <c r="M22" i="43"/>
  <c r="M23" i="64"/>
  <c r="M23" i="53"/>
  <c r="O23" i="53" s="1"/>
  <c r="P23" i="53" s="1"/>
  <c r="M22" i="51"/>
  <c r="M23" i="48"/>
  <c r="M17" i="44"/>
  <c r="O17" i="44" s="1"/>
  <c r="P17" i="44" s="1"/>
  <c r="M16" i="43"/>
  <c r="M16" i="64"/>
  <c r="M17" i="60"/>
  <c r="O17" i="60" s="1"/>
  <c r="P17" i="60" s="1"/>
  <c r="M23" i="51"/>
  <c r="O23" i="51" s="1"/>
  <c r="P23" i="51" s="1"/>
  <c r="K12" i="62"/>
  <c r="M16" i="48"/>
  <c r="M20" i="71"/>
  <c r="O20" i="71" s="1"/>
  <c r="P20" i="71" s="1"/>
  <c r="R20" i="71" s="1"/>
  <c r="M24" i="53"/>
  <c r="O24" i="53" s="1"/>
  <c r="P24" i="53" s="1"/>
  <c r="M16" i="60"/>
  <c r="O16" i="60" s="1"/>
  <c r="P16" i="60" s="1"/>
  <c r="M16" i="58"/>
  <c r="O16" i="58" s="1"/>
  <c r="P16" i="58" s="1"/>
  <c r="M16" i="59"/>
  <c r="M21" i="51"/>
  <c r="M23" i="72"/>
  <c r="O23" i="72" s="1"/>
  <c r="P23" i="72" s="1"/>
  <c r="M24" i="71"/>
  <c r="M23" i="59"/>
  <c r="M16" i="66"/>
  <c r="M16" i="44"/>
  <c r="O16" i="44" s="1"/>
  <c r="M24" i="44"/>
  <c r="O24" i="44" s="1"/>
  <c r="P24" i="44" s="1"/>
  <c r="M17" i="56"/>
  <c r="O17" i="56" s="1"/>
  <c r="P17" i="56" s="1"/>
  <c r="M24" i="50"/>
  <c r="O24" i="50" s="1"/>
  <c r="P24" i="50" s="1"/>
  <c r="M16" i="52"/>
  <c r="M18" i="53"/>
  <c r="O18" i="53" s="1"/>
  <c r="P18" i="53" s="1"/>
  <c r="M23" i="56"/>
  <c r="M22" i="63"/>
  <c r="O22" i="63" s="1"/>
  <c r="P22" i="63" s="1"/>
  <c r="M24" i="47"/>
  <c r="O24" i="47" s="1"/>
  <c r="P24" i="47" s="1"/>
  <c r="M20" i="47"/>
  <c r="O20" i="47" s="1"/>
  <c r="P20" i="47" s="1"/>
  <c r="R20" i="47" s="1"/>
  <c r="M23" i="60"/>
  <c r="M24" i="46"/>
  <c r="O24" i="46" s="1"/>
  <c r="P24" i="46" s="1"/>
  <c r="L21" i="16"/>
  <c r="J15" i="62"/>
  <c r="L20" i="16"/>
  <c r="M20" i="16" s="1"/>
  <c r="N20" i="16" s="1"/>
  <c r="O20" i="16" s="1"/>
  <c r="L23" i="16"/>
  <c r="M24" i="58"/>
  <c r="O24" i="58" s="1"/>
  <c r="P24" i="58" s="1"/>
  <c r="M23" i="66"/>
  <c r="O23" i="66" s="1"/>
  <c r="P23" i="66" s="1"/>
  <c r="M21" i="53"/>
  <c r="O21" i="53" s="1"/>
  <c r="P21" i="53" s="1"/>
  <c r="M24" i="63"/>
  <c r="O24" i="63" s="1"/>
  <c r="P24" i="63" s="1"/>
  <c r="M21" i="68"/>
  <c r="O21" i="68" s="1"/>
  <c r="P21" i="68" s="1"/>
  <c r="M21" i="44"/>
  <c r="O21" i="44" s="1"/>
  <c r="P21" i="44" s="1"/>
  <c r="J7" i="62"/>
  <c r="K15" i="62"/>
  <c r="M22" i="64"/>
  <c r="O22" i="64" s="1"/>
  <c r="P22" i="64" s="1"/>
  <c r="M21" i="47"/>
  <c r="O21" i="47" s="1"/>
  <c r="P21" i="47" s="1"/>
  <c r="M17" i="61"/>
  <c r="O17" i="61" s="1"/>
  <c r="P17" i="61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2" i="52"/>
  <c r="O22" i="52" s="1"/>
  <c r="P22" i="52" s="1"/>
  <c r="M24" i="65"/>
  <c r="O24" i="65" s="1"/>
  <c r="P24" i="65" s="1"/>
  <c r="M21" i="69"/>
  <c r="O21" i="69" s="1"/>
  <c r="P21" i="69" s="1"/>
  <c r="M23" i="52"/>
  <c r="O23" i="52" s="1"/>
  <c r="P23" i="52" s="1"/>
  <c r="M22" i="70"/>
  <c r="M20" i="50"/>
  <c r="O20" i="50" s="1"/>
  <c r="P20" i="50" s="1"/>
  <c r="R20" i="50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3" i="64"/>
  <c r="P23" i="64" s="1"/>
  <c r="O24" i="71"/>
  <c r="P24" i="71"/>
  <c r="O23" i="59"/>
  <c r="P23" i="59" s="1"/>
  <c r="O23" i="69"/>
  <c r="P23" i="69" s="1"/>
  <c r="O24" i="48"/>
  <c r="P24" i="48" s="1"/>
  <c r="O22" i="51"/>
  <c r="P22" i="51" s="1"/>
  <c r="O23" i="60"/>
  <c r="P23" i="60" s="1"/>
  <c r="O16" i="64"/>
  <c r="P16" i="64" s="1"/>
  <c r="O16" i="55"/>
  <c r="O17" i="45"/>
  <c r="P17" i="45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48"/>
  <c r="P16" i="70"/>
  <c r="P16" i="53"/>
  <c r="P25" i="53" s="1"/>
  <c r="O15" i="62"/>
  <c r="P15" i="62" s="1"/>
  <c r="O25" i="55"/>
  <c r="O25" i="64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O24" i="5" s="1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<sst xmlns="http://schemas.openxmlformats.org/spreadsheetml/2006/main" count="3948" uniqueCount="521">
  <si>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</si>
  <si>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</si>
  <si>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</si>
  <si>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</si>
  <si>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</si>
  <si>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</si>
  <si>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</si>
  <si>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</si>
  <si>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</si>
  <si>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</si>
  <si>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</si>
  <si>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</si>
  <si>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</si>
  <si>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</si>
  <si>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</si>
  <si>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</si>
  <si>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</si>
  <si>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</si>
  <si>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</si>
  <si>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</si>
  <si>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</si>
  <si>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</si>
  <si>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</si>
  <si>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</si>
  <si>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</si>
  <si>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</si>
  <si>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</si>
  <si>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</si>
  <si>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</si>
  <si>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</si>
  <si>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</si>
  <si>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</si>
  <si>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</si>
  <si>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</si>
  <si>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</si>
  <si>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</si>
  <si>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</si>
  <si>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</si>
  <si>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</si>
  <si>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</si>
  <si>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</si>
  <si>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</si>
  <si>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</si>
  <si>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</si>
  <si>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</si>
  <si>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</si>
  <si>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</si>
  <si>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</si>
  <si>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</si>
  <si>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</si>
  <si>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</si>
  <si>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</si>
  <si>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</si>
  <si>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</si>
  <si>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</si>
  <si>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</si>
  <si>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</si>
  <si>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</si>
  <si>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</si>
  <si>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</si>
  <si>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</si>
  <si>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</si>
  <si>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</si>
  <si>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</si>
  <si>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</si>
  <si>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</si>
  <si>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</si>
  <si>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</si>
  <si>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</si>
  <si>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</si>
  <si>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</si>
  <si>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</si>
  <si>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</si>
  <si>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</si>
  <si>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</si>
  <si>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</si>
  <si>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</si>
  <si>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</si>
  <si>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</si>
  <si>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</si>
  <si>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</si>
  <si>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</si>
  <si>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</si>
  <si>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</si>
  <si>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</si>
  <si>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</si>
  <si>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</si>
  <si>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</si>
  <si>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</si>
  <si>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</si>
  <si>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</si>
  <si>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</si>
  <si>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</si>
  <si>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</si>
  <si>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</si>
  <si>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</si>
  <si>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</si>
  <si>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</si>
  <si>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</si>
  <si>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</si>
  <si>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</si>
  <si>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</si>
  <si>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</si>
  <si>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</si>
  <si>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</si>
  <si>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</si>
  <si>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</si>
  <si>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</si>
  <si>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</si>
  <si>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</si>
  <si>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</si>
  <si>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</si>
  <si>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</si>
  <si>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</si>
  <si>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</si>
  <si>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</si>
  <si>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</si>
  <si>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</si>
  <si>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</si>
  <si>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</si>
  <si>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</si>
  <si>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</si>
  <si>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</si>
  <si>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</si>
  <si>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</si>
  <si>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</si>
  <si>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</si>
  <si>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</si>
  <si>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</si>
  <si>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</si>
  <si>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</si>
  <si>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</si>
  <si>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</si>
  <si>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</si>
  <si>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</si>
  <si>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</si>
  <si>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</si>
  <si>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</si>
  <si>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</si>
  <si>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</si>
  <si>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</si>
  <si>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</si>
  <si>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</si>
  <si>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</si>
  <si>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</si>
  <si>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</si>
  <si>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</si>
  <si>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</si>
  <si>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</si>
  <si>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</si>
  <si>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</si>
  <si>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</si>
  <si>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</si>
  <si>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</si>
  <si>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</si>
  <si>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</si>
  <si>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</si>
  <si>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</si>
  <si>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</si>
  <si>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</si>
  <si>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</si>
  <si>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</si>
  <si>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</si>
  <si>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</si>
  <si>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</si>
  <si>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</si>
  <si>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</si>
  <si>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</si>
  <si>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</si>
  <si>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</si>
  <si>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</si>
  <si>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</si>
  <si>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</si>
  <si>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</si>
  <si>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</si>
  <si>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</si>
  <si>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</si>
  <si>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</si>
  <si>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</si>
  <si>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</si>
  <si>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</si>
  <si>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</si>
  <si>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</si>
  <si>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</si>
  <si>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</si>
  <si>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</si>
  <si>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</si>
  <si>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</si>
  <si>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</si>
  <si>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</si>
  <si>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</si>
  <si>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</si>
  <si>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</si>
  <si>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</si>
  <si>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</si>
  <si>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</si>
  <si>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</si>
  <si>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</si>
  <si>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</si>
  <si>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</si>
  <si>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</si>
  <si>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</si>
  <si>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</si>
  <si>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</si>
  <si>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</si>
  <si>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</si>
  <si>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</si>
  <si>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</si>
  <si>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</si>
  <si>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</si>
  <si>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</si>
  <si>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</si>
  <si>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</si>
  <si>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</si>
  <si>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</si>
  <si>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</si>
  <si>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</si>
  <si>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</si>
  <si>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</si>
  <si>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</si>
  <si>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</si>
  <si>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</si>
  <si>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</si>
  <si>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</si>
  <si>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</si>
  <si>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</si>
  <si>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</si>
  <si>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</si>
  <si>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</si>
  <si>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</si>
  <si>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</si>
  <si>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</si>
  <si>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</si>
  <si>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</si>
  <si>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</si>
  <si>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</si>
  <si>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</si>
  <si>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</si>
  <si>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</si>
  <si>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</si>
  <si>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</si>
  <si>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</si>
  <si>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</si>
  <si>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</si>
  <si>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</si>
  <si>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</si>
  <si>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</si>
  <si>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</si>
  <si>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</si>
  <si>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</si>
  <si>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</si>
  <si>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</si>
  <si>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</si>
  <si>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</si>
  <si>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</si>
  <si>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</si>
  <si>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</si>
  <si>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</si>
  <si>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</si>
  <si>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</si>
  <si>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</si>
  <si>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</si>
  <si>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</si>
  <si>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</si>
  <si>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</si>
  <si>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</si>
  <si>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</si>
  <si>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</si>
  <si>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</si>
  <si>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</si>
  <si>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</si>
  <si>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</si>
  <si>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</si>
  <si>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</si>
  <si>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</si>
  <si>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</si>
  <si>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</si>
  <si>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</si>
  <si>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</si>
  <si>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</si>
  <si>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</si>
  <si>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</si>
  <si>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</si>
  <si>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</si>
  <si>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</si>
  <si>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</si>
  <si>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</si>
  <si>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</si>
  <si>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</si>
  <si>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</si>
  <si>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</si>
  <si>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</si>
  <si>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</si>
  <si>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</si>
  <si>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</si>
  <si>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</si>
  <si>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</si>
  <si>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</si>
  <si>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</si>
  <si>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</si>
  <si>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</si>
  <si>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</si>
  <si>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</si>
  <si>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</si>
  <si>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</si>
  <si>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</si>
  <si>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</si>
  <si>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</si>
  <si>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</si>
  <si>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</si>
  <si>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</si>
  <si>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</si>
  <si>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</si>
  <si>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</si>
  <si>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</si>
  <si>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</si>
  <si>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</si>
  <si>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</si>
  <si>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</si>
  <si>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</si>
  <si>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</si>
  <si>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</si>
  <si>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</si>
  <si>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</si>
  <si>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</si>
  <si>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</si>
  <si>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</si>
  <si>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</si>
  <si>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</si>
  <si>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</si>
  <si>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</si>
  <si>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</si>
  <si>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</si>
  <si>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</si>
  <si>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</si>
  <si>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</si>
  <si>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</si>
  <si>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</si>
  <si>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</si>
  <si>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</si>
  <si>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</si>
  <si>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</si>
  <si>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</si>
  <si>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</si>
  <si>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</si>
  <si>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</si>
  <si>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</si>
  <si>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</si>
  <si>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</si>
  <si>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</si>
  <si>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</si>
  <si>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</si>
  <si>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</si>
  <si>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</si>
  <si>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</si>
  <si>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</si>
  <si>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</si>
  <si>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</si>
  <si>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</si>
  <si>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</si>
  <si>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</si>
  <si>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</si>
  <si>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</si>
  <si>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</si>
  <si>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</si>
  <si>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</si>
  <si>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</si>
  <si>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</si>
  <si>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</si>
  <si>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</si>
  <si>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</si>
  <si>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</si>
  <si>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</si>
  <si>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</si>
  <si>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</si>
  <si>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</si>
  <si>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</si>
  <si>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</si>
  <si>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</si>
  <si>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</si>
  <si>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</si>
  <si>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</si>
  <si>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</si>
  <si>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</si>
  <si>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</si>
  <si>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</si>
  <si>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</si>
  <si>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</si>
  <si>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</si>
  <si>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</si>
  <si>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</si>
  <si>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</si>
  <si>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</si>
  <si>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</si>
  <si>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</si>
  <si>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</si>
  <si>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</si>
  <si>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</si>
  <si>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</si>
  <si>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</si>
  <si>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</si>
  <si>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</si>
  <si>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</si>
  <si>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</si>
  <si>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</si>
  <si>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</si>
  <si>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</si>
  <si>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</si>
  <si>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</si>
  <si>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</si>
  <si>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</si>
  <si>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</si>
  <si>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</si>
  <si>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</si>
  <si>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</si>
  <si>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</si>
  <si>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</si>
  <si>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</si>
  <si>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</si>
  <si>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</si>
  <si>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</si>
  <si>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</si>
  <si>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</si>
  <si>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</si>
  <si>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</si>
  <si>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</si>
  <si>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</si>
  <si>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</si>
  <si>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</si>
  <si>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</si>
  <si>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</si>
  <si>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</si>
  <si>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</si>
  <si>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</si>
  <si>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</si>
  <si>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</si>
  <si>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</si>
  <si>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</si>
  <si>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</si>
  <si>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</si>
  <si>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</si>
  <si>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</si>
  <si>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</si>
  <si>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</si>
  <si>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</si>
  <si>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</si>
  <si>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</si>
  <si>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</si>
  <si>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</si>
  <si>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</si>
  <si>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</si>
  <si>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</si>
  <si>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</si>
  <si>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</si>
  <si>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</si>
  <si>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</si>
  <si>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</si>
  <si>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</si>
  <si>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</si>
  <si>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</si>
  <si>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</si>
  <si>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</si>
  <si>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</si>
  <si>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</si>
  <si>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</si>
  <si>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</si>
  <si>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</si>
  <si>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</si>
  <si>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</si>
  <si>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</si>
  <si>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</si>
  <si>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</si>
  <si>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</si>
  <si>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</si>
  <si>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</si>
  <si>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</si>
  <si>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</si>
  <si>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</si>
  <si>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</si>
  <si>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</si>
  <si>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</si>
  <si>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</si>
  <si>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</si>
  <si>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</si>
  <si>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</si>
  <si>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</si>
  <si>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</si>
  <si>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</si>
  <si>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</si>
  <si>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</si>
  <si>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</si>
  <si>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</si>
  <si>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</si>
  <si>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</si>
  <si>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</si>
  <si>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</si>
  <si>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</si>
  <si>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</si>
  <si>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</si>
  <si>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</si>
  <si>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</si>
  <si>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</si>
  <si>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</si>
  <si>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</si>
  <si>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</si>
  <si>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</si>
  <si>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</si>
  <si>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</si>
  <si>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</si>
  <si>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</si>
  <si>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</si>
  <si>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</si>
  <si>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</si>
  <si>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</si>
  <si>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</si>
  <si>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Shokat Town</t>
  </si>
  <si>
    <t>S</t>
  </si>
  <si>
    <t>Dua Store</t>
  </si>
  <si>
    <t xml:space="preserve">SK Bakers </t>
  </si>
  <si>
    <t>Mubashir Shah Store</t>
  </si>
  <si>
    <t>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</si>
</sst>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C1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Dua Store</v>
      </c>
      <c r="T3" s="301">
        <f>+'1'!P35</f>
        <v>2038.5464245550845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SK Bakers </v>
      </c>
      <c r="T4" s="301">
        <f>+'2'!P35</f>
        <v>1698.7886871292369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Mubashir Shah Store</v>
      </c>
      <c r="T5" s="301">
        <f>+'3'!P35</f>
        <v>2038.5464245550845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Khan Store</v>
      </c>
      <c r="T6" s="301">
        <f>+'4'!P35</f>
        <v>12544.846340338983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396.61016949152531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</v>
      </c>
      <c r="I8" s="236">
        <f t="shared" ref="I8:I14" si="0">(G8*D8)*F8+H8*F8</f>
        <v>1468.95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117.51599999999999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51.413250000000005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1300.0207500000001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277.62711864406765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7.8882393432203388</v>
      </c>
      <c r="P8" s="311">
        <f t="shared" ref="P8:P15" si="2">M8+N8+O8</f>
        <v>1585.5361079872882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34</v>
      </c>
      <c r="I9" s="236">
        <f t="shared" si="0"/>
        <v>1783.7249999999999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142.69800000000001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62.430374999999998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1578.5966249999999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337.11864406779648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9.5785763453389823</v>
      </c>
      <c r="P9" s="311">
        <f t="shared" si="2"/>
        <v>1925.2938454131352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6.55</v>
      </c>
      <c r="H16" s="113">
        <f t="shared" ref="H16:M16" si="3">SUM(H7:H15)</f>
        <v>262</v>
      </c>
      <c r="I16" s="114">
        <f t="shared" si="3"/>
        <v>16973.575000000001</v>
      </c>
      <c r="J16" s="274">
        <f>SUM(J7:J15)</f>
        <v>1357.886</v>
      </c>
      <c r="K16" s="275">
        <f t="shared" si="3"/>
        <v>594.07512500000007</v>
      </c>
      <c r="L16" s="276">
        <f t="shared" si="3"/>
        <v>0</v>
      </c>
      <c r="M16" s="232">
        <f t="shared" si="3"/>
        <v>15021.613875000001</v>
      </c>
      <c r="N16" s="233">
        <f>SUM(N7:N15)</f>
        <v>3207.9661016949149</v>
      </c>
      <c r="O16" s="101">
        <f>SUM(O7:O15)</f>
        <v>91.147899883474579</v>
      </c>
      <c r="P16" s="113">
        <f>SUM(P7:P15)</f>
        <v>18320.727876578392</v>
      </c>
      <c r="Q16" s="128">
        <f>SUM(Q7:Q15)</f>
        <v>0</v>
      </c>
      <c r="R16" s="313">
        <v>14</v>
      </c>
      <c r="S16" s="315" t="str">
        <f>+'14'!A6:A6</f>
        <v>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16973.575000000001</v>
      </c>
      <c r="R19" s="299">
        <v>17</v>
      </c>
      <c r="S19" s="300" t="str">
        <f>+'17'!A6:A6</f>
        <v>S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1357.886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594.07512500000007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15021.613875000001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3207.9661016949149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18229.579976694917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91.147899883474579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18320.727876578392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18320.727876578389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7.2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18</v>
      </c>
      <c r="I16" s="235">
        <f>(G16*D16)*F16+H16*F16</f>
        <v>944.32499999999993</v>
      </c>
      <c r="J16" s="271">
        <f>$I16*S16</f>
        <v>75.545999999999992</v>
      </c>
      <c r="K16" s="127">
        <f>$I16*T16</f>
        <v>33.051375</v>
      </c>
      <c r="L16" s="118">
        <f>$I16*U16</f>
        <v>0</v>
      </c>
      <c r="M16" s="229">
        <f>I16-SUM(J16:L16)</f>
        <v>835.72762499999999</v>
      </c>
      <c r="N16" s="248">
        <f>+(G16*D16+H16)*V16</f>
        <v>178.47457627118638</v>
      </c>
      <c r="O16" s="238">
        <f>(N16+M16)*$O$15</f>
        <v>5.0710110063559322</v>
      </c>
      <c r="P16" s="118">
        <f>M16+N16+O16</f>
        <v>1019.2732122775423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36</v>
      </c>
      <c r="I25" s="114">
        <f t="shared" ref="I25:M25" si="10">SUM(I16:I24)</f>
        <v>1888.6499999999999</v>
      </c>
      <c r="J25" s="274">
        <f>SUM(J16:J24)</f>
        <v>151.09199999999998</v>
      </c>
      <c r="K25" s="275">
        <f t="shared" si="10"/>
        <v>66.10275</v>
      </c>
      <c r="L25" s="276">
        <f t="shared" si="10"/>
        <v>0</v>
      </c>
      <c r="M25" s="232">
        <f t="shared" si="10"/>
        <v>1671.45525</v>
      </c>
      <c r="N25" s="233">
        <f>SUM(N16:N24)</f>
        <v>356.94915254237276</v>
      </c>
      <c r="O25" s="101">
        <f>SUM(O16:O24)</f>
        <v>10.142022012711863</v>
      </c>
      <c r="P25" s="234">
        <f>SUM(P16:P24)</f>
        <v>2038.5464245550847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1888.6499999999999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151.09199999999998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66.10275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1671.45525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2028.4044025423727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74" t="s">
        <v>88</v>
      </c>
      <c r="O35" s="375"/>
      <c r="P35" s="297">
        <f>+P33+P34</f>
        <v>2038.5464245550845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1573.875</v>
      </c>
      <c r="J25" s="274">
        <f>SUM(J16:J24)</f>
        <v>125.91</v>
      </c>
      <c r="K25" s="275">
        <f t="shared" si="7"/>
        <v>55.085625000000007</v>
      </c>
      <c r="L25" s="276">
        <f t="shared" si="7"/>
        <v>0</v>
      </c>
      <c r="M25" s="232">
        <f t="shared" si="7"/>
        <v>1392.879375</v>
      </c>
      <c r="N25" s="233">
        <f>SUM(N16:N24)</f>
        <v>297.45762711864393</v>
      </c>
      <c r="O25" s="101">
        <f>SUM(O16:O24)</f>
        <v>8.45168501059322</v>
      </c>
      <c r="P25" s="234">
        <f>SUM(P16:P24)</f>
        <v>1698.7886871292371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1573.875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125.91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55.085625000000007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1392.879375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1690.3370021186438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8.45168501059322</v>
      </c>
    </row>
    <row r="35" spans="2:16" ht="15.75" customHeight="1" thickBot="1" x14ac:dyDescent="0.4">
      <c r="N35" s="374" t="s">
        <v>88</v>
      </c>
      <c r="O35" s="375"/>
      <c r="P35" s="297">
        <f>+P33+P34</f>
        <v>1698.7886871292369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1888.6499999999999</v>
      </c>
      <c r="J25" s="274">
        <f>SUM(J16:J24)</f>
        <v>151.09199999999998</v>
      </c>
      <c r="K25" s="275">
        <f t="shared" si="7"/>
        <v>66.10275</v>
      </c>
      <c r="L25" s="276">
        <f t="shared" si="7"/>
        <v>0</v>
      </c>
      <c r="M25" s="232">
        <f t="shared" si="7"/>
        <v>1671.45525</v>
      </c>
      <c r="N25" s="233">
        <f>SUM(N16:N24)</f>
        <v>356.94915254237276</v>
      </c>
      <c r="O25" s="101">
        <f>SUM(O16:O24)</f>
        <v>10.142022012711863</v>
      </c>
      <c r="P25" s="234">
        <f>SUM(P16:P24)</f>
        <v>2038.5464245550847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1888.6499999999999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151.09199999999998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66.10275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1671.45525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2028.4044025423727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74" t="s">
        <v>88</v>
      </c>
      <c r="O35" s="375"/>
      <c r="P35" s="297">
        <f>+P33+P34</f>
        <v>2038.5464245550845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11622.4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929.79200000000003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406.78400000000005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10285.824000000001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12482.434169491526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74" t="s">
        <v>88</v>
      </c>
      <c r="O35" s="375"/>
      <c r="P35" s="297">
        <f>+P33+P34</f>
        <v>12544.846340338983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2026-09-28T05:26:47Z</dcterms:modified>
</cp:coreProperties>
</file>