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4D0C6B4-CB1F-40F3-B534-2ECEBAE72155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C11" i="69" s="1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E16" i="69"/>
  <c r="V16" i="69" s="1"/>
  <c r="D16" i="69"/>
  <c r="C16" i="69"/>
  <c r="B16" i="69"/>
  <c r="O15" i="69"/>
  <c r="C12" i="69"/>
  <c r="O34" i="68"/>
  <c r="C11" i="68" s="1"/>
  <c r="H25" i="68"/>
  <c r="G25" i="68"/>
  <c r="A25" i="68"/>
  <c r="E24" i="68"/>
  <c r="V24" i="68" s="1"/>
  <c r="D24" i="68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O34" i="67"/>
  <c r="C11" i="67" s="1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E16" i="67"/>
  <c r="V16" i="67" s="1"/>
  <c r="D16" i="67"/>
  <c r="C16" i="67"/>
  <c r="B16" i="67"/>
  <c r="O15" i="67"/>
  <c r="C12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O34" i="65"/>
  <c r="C11" i="65" s="1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24" i="66" l="1"/>
  <c r="N24" i="68"/>
  <c r="N24" i="70"/>
  <c r="N4" i="65"/>
  <c r="N5" i="65" s="1"/>
  <c r="N4" i="52"/>
  <c r="N4" i="44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E16" i="61"/>
  <c r="V16" i="61" s="1"/>
  <c r="D16" i="61"/>
  <c r="C16" i="61"/>
  <c r="B16" i="61"/>
  <c r="O15" i="61"/>
  <c r="C12" i="61"/>
  <c r="C11" i="61"/>
  <c r="N5" i="61"/>
  <c r="O34" i="60"/>
  <c r="C11" i="60" s="1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E16" i="59"/>
  <c r="V16" i="59" s="1"/>
  <c r="D16" i="59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C11" i="58"/>
  <c r="N5" i="58"/>
  <c r="O34" i="57"/>
  <c r="C11" i="57" s="1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B20" i="51"/>
  <c r="C20" i="51" s="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E16" i="50"/>
  <c r="V16" i="50" s="1"/>
  <c r="D16" i="50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E16" i="48"/>
  <c r="V16" i="48" s="1"/>
  <c r="D16" i="48"/>
  <c r="C16" i="48"/>
  <c r="B16" i="48"/>
  <c r="O15" i="48"/>
  <c r="C12" i="48"/>
  <c r="O34" i="47"/>
  <c r="C11" i="47" s="1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N5" i="44"/>
  <c r="O34" i="43"/>
  <c r="C11" i="43" s="1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N16" i="56" l="1"/>
  <c r="N16" i="44"/>
  <c r="N24" i="46"/>
  <c r="N16" i="50"/>
  <c r="N16" i="59"/>
  <c r="N16" i="63"/>
  <c r="N16" i="53"/>
  <c r="N16" i="48"/>
  <c r="N24" i="50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J49" i="41"/>
  <c r="L49" i="41" s="1"/>
  <c r="K49" i="41" s="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J12" i="41"/>
  <c r="L12" i="41" s="1"/>
  <c r="K12" i="41" s="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/>
  <c r="H5" i="15" s="1"/>
  <c r="F5" i="15"/>
  <c r="N4" i="15"/>
  <c r="K4" i="15"/>
  <c r="I4" i="15" s="1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O13" i="41" s="1"/>
  <c r="P13" i="41" s="1"/>
  <c r="L16" i="41"/>
  <c r="M17" i="41"/>
  <c r="N18" i="41"/>
  <c r="L20" i="41"/>
  <c r="M21" i="41"/>
  <c r="N22" i="41"/>
  <c r="L24" i="41"/>
  <c r="M25" i="41"/>
  <c r="N26" i="41"/>
  <c r="M30" i="41"/>
  <c r="N31" i="41"/>
  <c r="M34" i="41"/>
  <c r="N35" i="41"/>
  <c r="M39" i="41"/>
  <c r="N40" i="41"/>
  <c r="M44" i="41"/>
  <c r="N46" i="41"/>
  <c r="M49" i="4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35" i="41"/>
  <c r="P35" i="41" s="1"/>
  <c r="O34" i="41"/>
  <c r="P34" i="41" s="1"/>
  <c r="O49" i="41"/>
  <c r="P49" i="41" s="1"/>
  <c r="O50" i="41"/>
  <c r="P50" i="41" s="1"/>
  <c r="O26" i="41"/>
  <c r="P26" i="41" s="1"/>
  <c r="O47" i="41"/>
  <c r="P47" i="41" s="1"/>
  <c r="O39" i="41"/>
  <c r="P39" i="41" s="1"/>
  <c r="O5" i="41"/>
  <c r="P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F22" i="47" s="1"/>
  <c r="H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8" i="11" l="1"/>
  <c r="N9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M22" i="56" s="1"/>
  <c r="O22" i="56" s="1"/>
  <c r="P22" i="56" s="1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M24" i="66" s="1"/>
  <c r="O24" i="66" s="1"/>
  <c r="P24" i="66" s="1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 s="1"/>
  <c r="O21" i="43" s="1"/>
  <c r="P21" i="43" s="1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M24" i="56" s="1"/>
  <c r="O24" i="56" s="1"/>
  <c r="P24" i="56" s="1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K20" i="57"/>
  <c r="J20" i="57"/>
  <c r="L20" i="57"/>
  <c r="K20" i="61"/>
  <c r="J20" i="61"/>
  <c r="L20" i="61"/>
  <c r="M20" i="61" s="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M23" i="49" s="1"/>
  <c r="O23" i="49" s="1"/>
  <c r="P23" i="49" s="1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K18" i="16"/>
  <c r="J18" i="16"/>
  <c r="J23" i="16"/>
  <c r="K23" i="16"/>
  <c r="L23" i="16" s="1"/>
  <c r="J21" i="16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L22" i="16" l="1"/>
  <c r="M17" i="72"/>
  <c r="O17" i="72" s="1"/>
  <c r="P17" i="72" s="1"/>
  <c r="M24" i="72"/>
  <c r="M23" i="58"/>
  <c r="O23" i="58" s="1"/>
  <c r="P23" i="58" s="1"/>
  <c r="M23" i="56"/>
  <c r="M16" i="65"/>
  <c r="M22" i="63"/>
  <c r="O22" i="63" s="1"/>
  <c r="P22" i="63" s="1"/>
  <c r="M20" i="43"/>
  <c r="O20" i="43" s="1"/>
  <c r="P20" i="43" s="1"/>
  <c r="R20" i="43" s="1"/>
  <c r="M24" i="53"/>
  <c r="O24" i="53" s="1"/>
  <c r="P24" i="53" s="1"/>
  <c r="M23" i="59"/>
  <c r="M23" i="44"/>
  <c r="O23" i="44" s="1"/>
  <c r="P23" i="44" s="1"/>
  <c r="M16" i="43"/>
  <c r="O16" i="43" s="1"/>
  <c r="P16" i="43" s="1"/>
  <c r="M22" i="43"/>
  <c r="M21" i="51"/>
  <c r="M23" i="72"/>
  <c r="O23" i="72" s="1"/>
  <c r="P23" i="72" s="1"/>
  <c r="M23" i="64"/>
  <c r="M16" i="48"/>
  <c r="M24" i="45"/>
  <c r="O24" i="45" s="1"/>
  <c r="P24" i="45" s="1"/>
  <c r="M16" i="64"/>
  <c r="M17" i="60"/>
  <c r="O17" i="60" s="1"/>
  <c r="P17" i="60" s="1"/>
  <c r="M16" i="60"/>
  <c r="M16" i="58"/>
  <c r="M16" i="59"/>
  <c r="O16" i="59" s="1"/>
  <c r="P16" i="59" s="1"/>
  <c r="M16" i="66"/>
  <c r="O16" i="66" s="1"/>
  <c r="M16" i="44"/>
  <c r="O16" i="44" s="1"/>
  <c r="M24" i="44"/>
  <c r="O24" i="44" s="1"/>
  <c r="P24" i="44" s="1"/>
  <c r="L17" i="16"/>
  <c r="M16" i="72"/>
  <c r="O16" i="72" s="1"/>
  <c r="P16" i="72" s="1"/>
  <c r="M24" i="43"/>
  <c r="O24" i="43" s="1"/>
  <c r="P24" i="43" s="1"/>
  <c r="M23" i="54"/>
  <c r="O23" i="54" s="1"/>
  <c r="P23" i="54" s="1"/>
  <c r="M18" i="67"/>
  <c r="O18" i="67" s="1"/>
  <c r="P18" i="67" s="1"/>
  <c r="M23" i="69"/>
  <c r="M23" i="53"/>
  <c r="O23" i="53" s="1"/>
  <c r="P23" i="53" s="1"/>
  <c r="K12" i="62"/>
  <c r="M17" i="56"/>
  <c r="O17" i="56" s="1"/>
  <c r="P17" i="56" s="1"/>
  <c r="M17" i="44"/>
  <c r="O17" i="44" s="1"/>
  <c r="P17" i="44" s="1"/>
  <c r="M20" i="47"/>
  <c r="O20" i="47" s="1"/>
  <c r="P20" i="47" s="1"/>
  <c r="R20" i="47" s="1"/>
  <c r="M18" i="53"/>
  <c r="O18" i="53" s="1"/>
  <c r="P18" i="53" s="1"/>
  <c r="M21" i="44"/>
  <c r="O21" i="44" s="1"/>
  <c r="P21" i="44" s="1"/>
  <c r="M22" i="67"/>
  <c r="O22" i="67" s="1"/>
  <c r="P22" i="67" s="1"/>
  <c r="M24" i="50"/>
  <c r="O24" i="50" s="1"/>
  <c r="P24" i="50" s="1"/>
  <c r="M24" i="48"/>
  <c r="M16" i="52"/>
  <c r="M22" i="51"/>
  <c r="O22" i="51" s="1"/>
  <c r="P22" i="51" s="1"/>
  <c r="M18" i="48"/>
  <c r="M23" i="48"/>
  <c r="L21" i="16"/>
  <c r="M23" i="60"/>
  <c r="M24" i="46"/>
  <c r="O24" i="46" s="1"/>
  <c r="P24" i="46" s="1"/>
  <c r="M20" i="70"/>
  <c r="O20" i="70" s="1"/>
  <c r="P20" i="70" s="1"/>
  <c r="R20" i="70" s="1"/>
  <c r="J15" i="62"/>
  <c r="M24" i="58"/>
  <c r="O24" i="58" s="1"/>
  <c r="P24" i="58" s="1"/>
  <c r="M23" i="66"/>
  <c r="O23" i="66" s="1"/>
  <c r="P23" i="66" s="1"/>
  <c r="M21" i="53"/>
  <c r="O21" i="53" s="1"/>
  <c r="P21" i="53" s="1"/>
  <c r="M24" i="63"/>
  <c r="O24" i="63" s="1"/>
  <c r="P24" i="63" s="1"/>
  <c r="M21" i="68"/>
  <c r="O21" i="68" s="1"/>
  <c r="P21" i="68" s="1"/>
  <c r="J7" i="62"/>
  <c r="K15" i="62"/>
  <c r="J25" i="61"/>
  <c r="P29" i="61" s="1"/>
  <c r="M22" i="64"/>
  <c r="O22" i="64" s="1"/>
  <c r="P22" i="64" s="1"/>
  <c r="M21" i="47"/>
  <c r="O21" i="47" s="1"/>
  <c r="P21" i="47" s="1"/>
  <c r="M17" i="61"/>
  <c r="O17" i="61" s="1"/>
  <c r="P17" i="61" s="1"/>
  <c r="M20" i="57"/>
  <c r="O20" i="57" s="1"/>
  <c r="P20" i="57" s="1"/>
  <c r="R20" i="57" s="1"/>
  <c r="M20" i="53"/>
  <c r="O20" i="53" s="1"/>
  <c r="P20" i="53" s="1"/>
  <c r="R20" i="53" s="1"/>
  <c r="M21" i="52"/>
  <c r="O21" i="52" s="1"/>
  <c r="P21" i="52" s="1"/>
  <c r="M22" i="52"/>
  <c r="O22" i="52" s="1"/>
  <c r="P22" i="52" s="1"/>
  <c r="M24" i="65"/>
  <c r="O24" i="65" s="1"/>
  <c r="P24" i="65" s="1"/>
  <c r="M21" i="69"/>
  <c r="O21" i="69" s="1"/>
  <c r="P21" i="69" s="1"/>
  <c r="M23" i="52"/>
  <c r="O23" i="52" s="1"/>
  <c r="P23" i="52" s="1"/>
  <c r="M22" i="70"/>
  <c r="M20" i="50"/>
  <c r="O20" i="50" s="1"/>
  <c r="P20" i="50" s="1"/>
  <c r="R20" i="50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3" i="64"/>
  <c r="P23" i="64" s="1"/>
  <c r="O24" i="71"/>
  <c r="P24" i="71" s="1"/>
  <c r="O23" i="59"/>
  <c r="P23" i="59" s="1"/>
  <c r="O23" i="69"/>
  <c r="P23" i="69" s="1"/>
  <c r="O24" i="48"/>
  <c r="P24" i="48" s="1"/>
  <c r="O23" i="60"/>
  <c r="P23" i="60" s="1"/>
  <c r="O16" i="64"/>
  <c r="P16" i="64" s="1"/>
  <c r="O17" i="45"/>
  <c r="P17" i="45" s="1"/>
  <c r="O16" i="58"/>
  <c r="P16" i="58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7" i="50"/>
  <c r="P17" i="50" s="1"/>
  <c r="O18" i="69"/>
  <c r="P18" i="69" s="1"/>
  <c r="O19" i="55"/>
  <c r="P19" i="55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2" i="16" l="1"/>
  <c r="O31" i="16"/>
  <c r="O32" i="16" s="1"/>
  <c r="O33" i="16" s="1"/>
  <c r="O34" i="16" s="1"/>
  <c r="O35" i="16" s="1"/>
  <c r="M12" i="62"/>
  <c r="O24" i="16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70" l="1"/>
  <c r="O25" i="69"/>
  <c r="O25" i="48"/>
  <c r="P16" i="70"/>
  <c r="P25" i="70" s="1"/>
  <c r="P16" i="53"/>
  <c r="P25" i="53" s="1"/>
  <c r="O15" i="62"/>
  <c r="P15" i="62" s="1"/>
  <c r="O25" i="55"/>
  <c r="O18" i="16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O17" i="5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P12" i="5" s="1"/>
  <c r="K49" i="5"/>
  <c r="M49" i="5"/>
  <c r="O49" i="5" s="1"/>
  <c r="P49" i="5" s="1"/>
  <c r="K43" i="5"/>
  <c r="M43" i="5"/>
  <c r="O43" i="5" s="1"/>
  <c r="K8" i="5"/>
  <c r="M8" i="5"/>
  <c r="O8" i="5" s="1"/>
  <c r="P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20" i="5"/>
  <c r="O42" i="5"/>
  <c r="P47" i="5"/>
  <c r="P10" i="5"/>
  <c r="P29" i="5"/>
  <c r="O34" i="5"/>
  <c r="O25" i="5"/>
  <c r="P17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<sst xmlns="http://schemas.openxmlformats.org/spreadsheetml/2006/main" count="3948" uniqueCount="534">
  <si>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</si>
  <si>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</si>
  <si>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</si>
  <si>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</si>
  <si>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</si>
  <si>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</si>
  <si>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</si>
  <si>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</si>
  <si>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</si>
  <si>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</si>
  <si>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</si>
  <si>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</si>
  <si>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</si>
  <si>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</si>
  <si>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</si>
  <si>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</si>
  <si>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</si>
  <si>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</si>
  <si>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</si>
  <si>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</si>
  <si>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</si>
  <si>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</si>
  <si>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</si>
  <si>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</si>
  <si>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</si>
  <si>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</si>
  <si>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</si>
  <si>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</si>
  <si>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</si>
  <si>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</si>
  <si>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</si>
  <si>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</si>
  <si>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</si>
  <si>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</si>
  <si>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</si>
  <si>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</si>
  <si>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</si>
  <si>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</si>
  <si>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</si>
  <si>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</si>
  <si>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</si>
  <si>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</si>
  <si>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</si>
  <si>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</si>
  <si>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</si>
  <si>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</si>
  <si>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</si>
  <si>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</si>
  <si>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</si>
  <si>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</si>
  <si>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</si>
  <si>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</si>
  <si>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</si>
  <si>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</si>
  <si>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</si>
  <si>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</si>
  <si>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</si>
  <si>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</si>
  <si>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</si>
  <si>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</si>
  <si>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</si>
  <si>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</si>
  <si>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</si>
  <si>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</si>
  <si>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</si>
  <si>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</si>
  <si>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</si>
  <si>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</si>
  <si>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</si>
  <si>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</si>
  <si>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</si>
  <si>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</si>
  <si>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</si>
  <si>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</si>
  <si>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</si>
  <si>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</si>
  <si>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</si>
  <si>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</si>
  <si>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</si>
  <si>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</si>
  <si>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</si>
  <si>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</si>
  <si>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</si>
  <si>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</si>
  <si>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</si>
  <si>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</si>
  <si>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</si>
  <si>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</si>
  <si>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</si>
  <si>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</si>
  <si>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</si>
  <si>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</si>
  <si>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</si>
  <si>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</si>
  <si>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</si>
  <si>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</si>
  <si>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</si>
  <si>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</si>
  <si>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</si>
  <si>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</si>
  <si>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</si>
  <si>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</si>
  <si>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</si>
  <si>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</si>
  <si>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</si>
  <si>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</si>
  <si>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</si>
  <si>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</si>
  <si>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</si>
  <si>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</si>
  <si>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</si>
  <si>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</si>
  <si>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</si>
  <si>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</si>
  <si>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</si>
  <si>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</si>
  <si>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</si>
  <si>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</si>
  <si>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</si>
  <si>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</si>
  <si>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</si>
  <si>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</si>
  <si>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</si>
  <si>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</si>
  <si>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</si>
  <si>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</si>
  <si>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</si>
  <si>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</si>
  <si>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</si>
  <si>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</si>
  <si>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</si>
  <si>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</si>
  <si>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</si>
  <si>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</si>
  <si>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</si>
  <si>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</si>
  <si>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</si>
  <si>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</si>
  <si>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</si>
  <si>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</si>
  <si>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</si>
  <si>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</si>
  <si>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</si>
  <si>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</si>
  <si>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</si>
  <si>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</si>
  <si>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</si>
  <si>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</si>
  <si>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</si>
  <si>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</si>
  <si>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</si>
  <si>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</si>
  <si>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</si>
  <si>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</si>
  <si>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</si>
  <si>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</si>
  <si>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</si>
  <si>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</si>
  <si>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</si>
  <si>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</si>
  <si>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</si>
  <si>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</si>
  <si>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</si>
  <si>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</si>
  <si>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</si>
  <si>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</si>
  <si>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</si>
  <si>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</si>
  <si>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</si>
  <si>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</si>
  <si>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</si>
  <si>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</si>
  <si>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</si>
  <si>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</si>
  <si>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</si>
  <si>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</si>
  <si>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</si>
  <si>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</si>
  <si>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</si>
  <si>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</si>
  <si>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</si>
  <si>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</si>
  <si>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</si>
  <si>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</si>
  <si>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</si>
  <si>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</si>
  <si>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</si>
  <si>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</si>
  <si>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</si>
  <si>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</si>
  <si>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</si>
  <si>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</si>
  <si>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</si>
  <si>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</si>
  <si>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</si>
  <si>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</si>
  <si>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</si>
  <si>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</si>
  <si>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</si>
  <si>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</si>
  <si>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</si>
  <si>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</si>
  <si>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</si>
  <si>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</si>
  <si>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</si>
  <si>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</si>
  <si>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</si>
  <si>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</si>
  <si>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</si>
  <si>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</si>
  <si>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</si>
  <si>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</si>
  <si>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</si>
  <si>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</si>
  <si>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</si>
  <si>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</si>
  <si>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</si>
  <si>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</si>
  <si>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</si>
  <si>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</si>
  <si>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</si>
  <si>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</si>
  <si>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</si>
  <si>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</si>
  <si>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</si>
  <si>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</si>
  <si>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</si>
  <si>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</si>
  <si>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</si>
  <si>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</si>
  <si>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</si>
  <si>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</si>
  <si>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</si>
  <si>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</si>
  <si>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</si>
  <si>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</si>
  <si>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</si>
  <si>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</si>
  <si>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</si>
  <si>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</si>
  <si>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</si>
  <si>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</si>
  <si>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</si>
  <si>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</si>
  <si>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</si>
  <si>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</si>
  <si>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</si>
  <si>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</si>
  <si>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</si>
  <si>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</si>
  <si>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</si>
  <si>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</si>
  <si>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</si>
  <si>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</si>
  <si>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</si>
  <si>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</si>
  <si>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</si>
  <si>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</si>
  <si>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</si>
  <si>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</si>
  <si>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</si>
  <si>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</si>
  <si>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</si>
  <si>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</si>
  <si>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</si>
  <si>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</si>
  <si>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</si>
  <si>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</si>
  <si>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</si>
  <si>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</si>
  <si>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</si>
  <si>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</si>
  <si>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</si>
  <si>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</si>
  <si>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</si>
  <si>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</si>
  <si>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</si>
  <si>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</si>
  <si>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</si>
  <si>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</si>
  <si>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</si>
  <si>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</si>
  <si>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</si>
  <si>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</si>
  <si>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</si>
  <si>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</si>
  <si>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</si>
  <si>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</si>
  <si>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</si>
  <si>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</si>
  <si>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</si>
  <si>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</si>
  <si>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</si>
  <si>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</si>
  <si>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</si>
  <si>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</si>
  <si>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</si>
  <si>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</si>
  <si>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</si>
  <si>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</si>
  <si>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</si>
  <si>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</si>
  <si>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</si>
  <si>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</si>
  <si>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</si>
  <si>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</si>
  <si>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</si>
  <si>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</si>
  <si>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</si>
  <si>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</si>
  <si>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</si>
  <si>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</si>
  <si>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</si>
  <si>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</si>
  <si>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</si>
  <si>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</si>
  <si>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</si>
  <si>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</si>
  <si>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</si>
  <si>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</si>
  <si>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</si>
  <si>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</si>
  <si>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</si>
  <si>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</si>
  <si>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</si>
  <si>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</si>
  <si>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</si>
  <si>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</si>
  <si>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</si>
  <si>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</si>
  <si>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</si>
  <si>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</si>
  <si>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</si>
  <si>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</si>
  <si>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</si>
  <si>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</si>
  <si>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</si>
  <si>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</si>
  <si>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</si>
  <si>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</si>
  <si>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</si>
  <si>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</si>
  <si>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</si>
  <si>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</si>
  <si>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</si>
  <si>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</si>
  <si>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</si>
  <si>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</si>
  <si>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</si>
  <si>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</si>
  <si>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</si>
  <si>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</si>
  <si>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</si>
  <si>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</si>
  <si>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</si>
  <si>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</si>
  <si>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</si>
  <si>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</si>
  <si>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</si>
  <si>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</si>
  <si>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</si>
  <si>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</si>
  <si>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</si>
  <si>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</si>
  <si>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</si>
  <si>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</si>
  <si>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</si>
  <si>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</si>
  <si>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</si>
  <si>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</si>
  <si>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</si>
  <si>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</si>
  <si>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</si>
  <si>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</si>
  <si>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</si>
  <si>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</si>
  <si>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</si>
  <si>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</si>
  <si>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</si>
  <si>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</si>
  <si>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</si>
  <si>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</si>
  <si>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</si>
  <si>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</si>
  <si>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</si>
  <si>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</si>
  <si>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</si>
  <si>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</si>
  <si>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</si>
  <si>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</si>
  <si>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</si>
  <si>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</si>
  <si>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</si>
  <si>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</si>
  <si>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</si>
  <si>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</si>
  <si>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</si>
  <si>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</si>
  <si>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</si>
  <si>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</si>
  <si>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</si>
  <si>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</si>
  <si>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</si>
  <si>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</si>
  <si>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</si>
  <si>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</si>
  <si>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</si>
  <si>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</si>
  <si>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</si>
  <si>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</si>
  <si>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</si>
  <si>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</si>
  <si>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</si>
  <si>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</si>
  <si>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</si>
  <si>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</si>
  <si>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</si>
  <si>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</si>
  <si>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</si>
  <si>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</si>
  <si>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</si>
  <si>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</si>
  <si>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</si>
  <si>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</si>
  <si>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</si>
  <si>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</si>
  <si>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</si>
  <si>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</si>
  <si>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</si>
  <si>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</si>
  <si>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</si>
  <si>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</si>
  <si>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</si>
  <si>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</si>
  <si>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</si>
  <si>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</si>
  <si>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</si>
  <si>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</si>
  <si>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</si>
  <si>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</si>
  <si>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</si>
  <si>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</si>
  <si>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</si>
  <si>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</si>
  <si>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</si>
  <si>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</si>
  <si>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</si>
  <si>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</si>
  <si>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</si>
  <si>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</si>
  <si>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</si>
  <si>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</si>
  <si>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</si>
  <si>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</si>
  <si>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</si>
  <si>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</si>
  <si>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</si>
  <si>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</si>
  <si>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</si>
  <si>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</si>
  <si>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</si>
  <si>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</si>
  <si>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</si>
  <si>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</si>
  <si>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</si>
  <si>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</si>
  <si>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</si>
  <si>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</si>
  <si>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</si>
  <si>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</si>
  <si>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</si>
  <si>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</si>
  <si>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</si>
  <si>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</si>
  <si>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</si>
  <si>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</si>
  <si>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</si>
  <si>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</si>
  <si>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</si>
  <si>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</si>
  <si>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</si>
  <si>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</si>
  <si>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</si>
  <si>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</si>
  <si>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</si>
  <si>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</si>
  <si>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</si>
  <si>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</si>
  <si>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</si>
  <si>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</si>
  <si>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</si>
  <si>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</si>
  <si>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</si>
  <si>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</si>
  <si>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</si>
  <si>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</si>
  <si>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</si>
  <si>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</si>
  <si>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</si>
  <si>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</si>
  <si>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</si>
  <si>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</si>
  <si>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</si>
  <si>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</si>
  <si>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</si>
  <si>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</si>
  <si>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</si>
  <si>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</si>
  <si>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</si>
  <si>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</si>
  <si>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</si>
  <si>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</si>
  <si>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</si>
  <si>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</si>
  <si>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Salman</t>
  </si>
  <si>
    <t>Ashiyana Store</t>
  </si>
  <si>
    <t xml:space="preserve">Bakhtawer Sweets </t>
  </si>
  <si>
    <t xml:space="preserve">Al Falah Bakers </t>
  </si>
  <si>
    <t>Wali Store</t>
  </si>
  <si>
    <t>Raheem Store</t>
  </si>
  <si>
    <t>Khatak Kareyana Store</t>
  </si>
  <si>
    <t>Mughal Store</t>
  </si>
  <si>
    <t>Faisal Store</t>
  </si>
  <si>
    <t>Khan Store</t>
  </si>
  <si>
    <t>Janjua Store</t>
  </si>
  <si>
    <t>Ali Store</t>
  </si>
  <si>
    <t>Khuram Store</t>
  </si>
  <si>
    <t xml:space="preserve">Ahmad Usman Mart </t>
  </si>
  <si>
    <t>Al Fateh Store</t>
  </si>
  <si>
    <t xml:space="preserve">Hamza Mart </t>
  </si>
  <si>
    <t>Abdullah Store</t>
  </si>
  <si>
    <t>Faiq Jutt Store</t>
  </si>
  <si>
    <t>MG Store</t>
  </si>
  <si>
    <t>Shareef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</si>
</sst>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46293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Ashiyana Store</v>
      </c>
      <c r="T3" s="301">
        <f>+'1'!P35</f>
        <v>4050.947375942796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Bakhtawer Sweets </v>
      </c>
      <c r="T4" s="301">
        <f>+'2'!P35</f>
        <v>2265.051582838983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Al Falah Bakers </v>
      </c>
      <c r="T5" s="301">
        <f>+'3'!P35</f>
        <v>405.09473759427965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Wali Store</v>
      </c>
      <c r="T6" s="301">
        <f>+'4'!P35</f>
        <v>339.75773742584738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105</v>
      </c>
      <c r="I7" s="235">
        <f>(G7*D7)*F7+H7*F7</f>
        <v>5508.5625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440.68500000000006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192.7996875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4875.0778124999997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1041.1016949152538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29.580897537076272</v>
      </c>
      <c r="P7" s="310">
        <f>M7+N7+O7</f>
        <v>5945.7604049523297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Raheem Store</v>
      </c>
      <c r="T7" s="301">
        <f>+'5'!P35</f>
        <v>470.43173776271186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335.76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3714.3450000000003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22.537826694915253</v>
      </c>
      <c r="P8" s="311">
        <f t="shared" ref="P8:P15" si="2">M8+N8+O8</f>
        <v>4530.103165677966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Khatak Kareyana Store</v>
      </c>
      <c r="T8" s="301">
        <f>+'6'!P35</f>
        <v>405.09473759427965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65</v>
      </c>
      <c r="I9" s="236">
        <f t="shared" si="0"/>
        <v>3410.0625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272.80500000000001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119.35218750000001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3017.9053125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644.4915254237286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18.311984189618641</v>
      </c>
      <c r="P9" s="311">
        <f t="shared" si="2"/>
        <v>3680.7088221133472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Mughal Store</v>
      </c>
      <c r="T9" s="301">
        <f>+'7'!P35</f>
        <v>339.75773742584738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60</v>
      </c>
      <c r="I10" s="236">
        <f t="shared" si="0"/>
        <v>4358.3999999999996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348.67200000000003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152.54400000000001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3857.1839999999997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823.72881355932202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23.404564067796613</v>
      </c>
      <c r="P10" s="311">
        <f t="shared" si="2"/>
        <v>4704.3173776271187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Faisal Store</v>
      </c>
      <c r="T10" s="301">
        <f>+'8'!P35</f>
        <v>405.09473759427965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</v>
      </c>
      <c r="I11" s="236">
        <f t="shared" si="0"/>
        <v>1452.8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116.224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50.848000000000006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1285.7280000000001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274.57627118644069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7.8015213559322039</v>
      </c>
      <c r="P11" s="311">
        <f t="shared" si="2"/>
        <v>1568.1057925423729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Khan Store</v>
      </c>
      <c r="T11" s="301">
        <f>+'9'!P35</f>
        <v>470.43173776271186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50</v>
      </c>
      <c r="I12" s="236">
        <f t="shared" si="0"/>
        <v>3632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290.56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127.12000000000002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3214.32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686.4406779661017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19.503803389830509</v>
      </c>
      <c r="P12" s="311">
        <f t="shared" si="2"/>
        <v>3920.2644813559323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Janjua Store</v>
      </c>
      <c r="T12" s="301">
        <f>+'10'!P35</f>
        <v>339.75773742584738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Ali Store</v>
      </c>
      <c r="T13" s="301">
        <f>+'11'!P35</f>
        <v>470.43173776271186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Khuram Store</v>
      </c>
      <c r="T14" s="301">
        <f>+'12'!P35</f>
        <v>405.09473759427965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Ahmad Usman Mart </v>
      </c>
      <c r="T15" s="301">
        <f>+'13'!P35</f>
        <v>4965.6831668008481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9.5</v>
      </c>
      <c r="H16" s="113">
        <f t="shared" ref="H16:M16" si="3">SUM(H7:H15)</f>
        <v>380</v>
      </c>
      <c r="I16" s="114">
        <f t="shared" si="3"/>
        <v>22558.825000000001</v>
      </c>
      <c r="J16" s="274">
        <f>SUM(J7:J15)</f>
        <v>1804.7059999999999</v>
      </c>
      <c r="K16" s="275">
        <f t="shared" si="3"/>
        <v>789.55887499999994</v>
      </c>
      <c r="L16" s="276">
        <f t="shared" si="3"/>
        <v>0</v>
      </c>
      <c r="M16" s="232">
        <f t="shared" si="3"/>
        <v>19964.560125</v>
      </c>
      <c r="N16" s="233">
        <f>SUM(N7:N15)</f>
        <v>4263.5593220338978</v>
      </c>
      <c r="O16" s="101">
        <f>SUM(O7:O15)</f>
        <v>121.14059723516949</v>
      </c>
      <c r="P16" s="113">
        <f>SUM(P7:P15)</f>
        <v>24349.260044269067</v>
      </c>
      <c r="Q16" s="128">
        <f>SUM(Q7:Q15)</f>
        <v>0</v>
      </c>
      <c r="R16" s="313">
        <v>14</v>
      </c>
      <c r="S16" s="315" t="str">
        <f>+'14'!A6:A6</f>
        <v>Al Fateh Store</v>
      </c>
      <c r="T16" s="301">
        <f>+'14'!P35</f>
        <v>2265.051582838983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Hamza Mart </v>
      </c>
      <c r="T17" s="301">
        <f>+'15'!P35</f>
        <v>5401.2631679237293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Abdullah Store</v>
      </c>
      <c r="T18" s="301">
        <f>+'16'!P35</f>
        <v>283.13144785487287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22558.825000000001</v>
      </c>
      <c r="R19" s="299">
        <v>17</v>
      </c>
      <c r="S19" s="300" t="str">
        <f>+'17'!A6:A6</f>
        <v>Faiq Jutt Store</v>
      </c>
      <c r="T19" s="301">
        <f>+'17'!P35</f>
        <v>392.02644813559323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1804.7059999999999</v>
      </c>
      <c r="R20" s="299">
        <v>18</v>
      </c>
      <c r="S20" s="300" t="str">
        <f>+'18'!A6:A6</f>
        <v>MG Store</v>
      </c>
      <c r="T20" s="301">
        <f>+'18'!P35</f>
        <v>270.0631583961864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789.55887499999994</v>
      </c>
      <c r="R21" s="299">
        <v>19</v>
      </c>
      <c r="S21" s="300" t="str">
        <f>+'19'!A6:A6</f>
        <v>Shareef Store</v>
      </c>
      <c r="T21" s="301">
        <f>+'19'!P35</f>
        <v>405.09473759427965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19964.560125000004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4263.5593220338978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24228.119447033903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121.14059723516949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24349.260044269075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24349.260044269067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10</v>
      </c>
      <c r="I18" s="236">
        <f t="shared" ref="I18:I21" si="7">(G18*D18)*F18+H18*F18</f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10</v>
      </c>
      <c r="I21" s="236">
        <f t="shared" si="7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60</v>
      </c>
      <c r="I25" s="114">
        <f t="shared" ref="I25:M25" si="10">SUM(I16:I24)</f>
        <v>3753.0750000000003</v>
      </c>
      <c r="J25" s="274">
        <f>SUM(J16:J24)</f>
        <v>300.24599999999998</v>
      </c>
      <c r="K25" s="275">
        <f t="shared" si="10"/>
        <v>131.35762500000001</v>
      </c>
      <c r="L25" s="276">
        <f t="shared" si="10"/>
        <v>0</v>
      </c>
      <c r="M25" s="232">
        <f t="shared" si="10"/>
        <v>3321.4713750000001</v>
      </c>
      <c r="N25" s="233">
        <f>SUM(N16:N24)</f>
        <v>709.32203389830488</v>
      </c>
      <c r="O25" s="101">
        <f>SUM(O16:O24)</f>
        <v>20.153967044491523</v>
      </c>
      <c r="P25" s="234">
        <f>SUM(P16:P24)</f>
        <v>4050.9473759427965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3753.0750000000003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300.24599999999998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131.35762500000001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3321.4713750000001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709.32203389830488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4030.7934088983047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20.153967044491523</v>
      </c>
    </row>
    <row r="35" spans="2:16" ht="15.75" customHeight="1" thickBot="1" x14ac:dyDescent="0.4">
      <c r="N35" s="345" t="s">
        <v>88</v>
      </c>
      <c r="O35" s="346"/>
      <c r="P35" s="297">
        <f>+P33+P34</f>
        <v>4050.947375942796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73.447500000000019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375.3075</v>
      </c>
      <c r="J25" s="274">
        <f>SUM(J16:J24)</f>
        <v>30.0246</v>
      </c>
      <c r="K25" s="275">
        <f t="shared" si="7"/>
        <v>13.135762500000002</v>
      </c>
      <c r="L25" s="276">
        <f t="shared" si="7"/>
        <v>0</v>
      </c>
      <c r="M25" s="232">
        <f t="shared" si="7"/>
        <v>332.14713749999999</v>
      </c>
      <c r="N25" s="233">
        <f>SUM(N16:N24)</f>
        <v>70.932203389830505</v>
      </c>
      <c r="O25" s="101">
        <f>SUM(O16:O24)</f>
        <v>2.0153967044491523</v>
      </c>
      <c r="P25" s="234">
        <f>SUM(P16:P24)</f>
        <v>405.09473759427965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375.3075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30.0246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13.135762500000002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332.14713749999999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70.932203389830505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403.07934088983052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2.0153967044491528</v>
      </c>
    </row>
    <row r="35" spans="2:16" ht="15.75" customHeight="1" thickBot="1" x14ac:dyDescent="0.4">
      <c r="N35" s="345" t="s">
        <v>88</v>
      </c>
      <c r="O35" s="346"/>
      <c r="P35" s="297">
        <f>+P33+P34</f>
        <v>405.09473759427965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314.77499999999998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25.181999999999999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11.017125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278.57587499999994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338.06740042372871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45" t="s">
        <v>88</v>
      </c>
      <c r="O35" s="346"/>
      <c r="P35" s="297">
        <f>+P33+P34</f>
        <v>339.75773742584738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385.71840000000003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375.3075</v>
      </c>
      <c r="J25" s="274">
        <f>SUM(J16:J24)</f>
        <v>30.0246</v>
      </c>
      <c r="K25" s="275">
        <f t="shared" si="7"/>
        <v>13.135762500000002</v>
      </c>
      <c r="L25" s="276">
        <f t="shared" si="7"/>
        <v>0</v>
      </c>
      <c r="M25" s="232">
        <f t="shared" si="7"/>
        <v>332.14713749999999</v>
      </c>
      <c r="N25" s="233">
        <f>SUM(N16:N24)</f>
        <v>70.932203389830505</v>
      </c>
      <c r="O25" s="101">
        <f>SUM(O16:O24)</f>
        <v>2.0153967044491523</v>
      </c>
      <c r="P25" s="234">
        <f>SUM(P16:P24)</f>
        <v>405.09473759427965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375.3075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30.0246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13.135762500000002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332.14713749999999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70.932203389830505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403.07934088983052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2.0153967044491528</v>
      </c>
    </row>
    <row r="35" spans="2:16" ht="15.75" customHeight="1" thickBot="1" x14ac:dyDescent="0.4">
      <c r="N35" s="345" t="s">
        <v>88</v>
      </c>
      <c r="O35" s="346"/>
      <c r="P35" s="297">
        <f>+P33+P34</f>
        <v>405.09473759427965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314.77499999999998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25.181999999999999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11.017125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278.57587499999994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338.06740042372871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45" t="s">
        <v>88</v>
      </c>
      <c r="O35" s="346"/>
      <c r="P35" s="297">
        <f>+P33+P34</f>
        <v>339.75773742584738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375.3075</v>
      </c>
      <c r="J25" s="274">
        <f>SUM(J16:J24)</f>
        <v>30.0246</v>
      </c>
      <c r="K25" s="275">
        <f t="shared" si="7"/>
        <v>13.135762500000002</v>
      </c>
      <c r="L25" s="276">
        <f t="shared" si="7"/>
        <v>0</v>
      </c>
      <c r="M25" s="232">
        <f t="shared" si="7"/>
        <v>332.14713749999999</v>
      </c>
      <c r="N25" s="233">
        <f>SUM(N16:N24)</f>
        <v>70.932203389830505</v>
      </c>
      <c r="O25" s="101">
        <f>SUM(O16:O24)</f>
        <v>2.0153967044491523</v>
      </c>
      <c r="P25" s="234">
        <f>SUM(P16:P24)</f>
        <v>405.09473759427965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375.3075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30.0246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13.135762500000002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332.14713749999999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70.932203389830505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403.07934088983052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2.0153967044491528</v>
      </c>
    </row>
    <row r="35" spans="2:16" ht="15.75" customHeight="1" thickBot="1" x14ac:dyDescent="0.4">
      <c r="N35" s="345" t="s">
        <v>88</v>
      </c>
      <c r="O35" s="346"/>
      <c r="P35" s="297">
        <f>+P33+P34</f>
        <v>405.09473759427965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385.71840000000003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314.77499999999998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25.181999999999999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11.017125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278.57587499999994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338.06740042372871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45" t="s">
        <v>88</v>
      </c>
      <c r="O35" s="346"/>
      <c r="P35" s="297">
        <f>+P33+P34</f>
        <v>339.75773742584738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385.71840000000003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375.3075</v>
      </c>
      <c r="J25" s="274">
        <f>SUM(J16:J24)</f>
        <v>30.0246</v>
      </c>
      <c r="K25" s="275">
        <f t="shared" si="7"/>
        <v>13.135762500000002</v>
      </c>
      <c r="L25" s="276">
        <f t="shared" si="7"/>
        <v>0</v>
      </c>
      <c r="M25" s="232">
        <f t="shared" si="7"/>
        <v>332.14713749999999</v>
      </c>
      <c r="N25" s="233">
        <f>SUM(N16:N24)</f>
        <v>70.932203389830505</v>
      </c>
      <c r="O25" s="101">
        <f>SUM(O16:O24)</f>
        <v>2.0153967044491523</v>
      </c>
      <c r="P25" s="234">
        <f>SUM(P16:P24)</f>
        <v>405.09473759427965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375.3075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30.0246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13.135762500000002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332.14713749999999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70.932203389830505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403.07934088983052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2.0153967044491528</v>
      </c>
    </row>
    <row r="35" spans="2:16" ht="15.75" customHeight="1" thickBot="1" x14ac:dyDescent="0.4">
      <c r="N35" s="345" t="s">
        <v>88</v>
      </c>
      <c r="O35" s="346"/>
      <c r="P35" s="297">
        <f>+P33+P34</f>
        <v>405.09473759427965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30</v>
      </c>
      <c r="I16" s="235">
        <f>(G16*D16)*F16+H16*F16</f>
        <v>1573.875</v>
      </c>
      <c r="J16" s="271">
        <f>$I16*S16</f>
        <v>125.91</v>
      </c>
      <c r="K16" s="127">
        <f>$I16*T16</f>
        <v>55.085625000000007</v>
      </c>
      <c r="L16" s="118">
        <f>$I16*U16</f>
        <v>0</v>
      </c>
      <c r="M16" s="229">
        <f>I16-SUM(J16:L16)</f>
        <v>1392.879375</v>
      </c>
      <c r="N16" s="248">
        <f>+(G16*D16+H16)*V16</f>
        <v>297.45762711864393</v>
      </c>
      <c r="O16" s="238">
        <f>(N16+M16)*$O$15</f>
        <v>8.45168501059322</v>
      </c>
      <c r="P16" s="118">
        <f>M16+N16+O16</f>
        <v>1698.7886871292369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4600.55</v>
      </c>
      <c r="J25" s="274">
        <f>SUM(J16:J24)</f>
        <v>368.04400000000004</v>
      </c>
      <c r="K25" s="275">
        <f t="shared" si="7"/>
        <v>161.01925000000003</v>
      </c>
      <c r="L25" s="276">
        <f t="shared" si="7"/>
        <v>0</v>
      </c>
      <c r="M25" s="232">
        <f t="shared" si="7"/>
        <v>4071.48675</v>
      </c>
      <c r="N25" s="233">
        <f>SUM(N16:N24)</f>
        <v>869.49152542372849</v>
      </c>
      <c r="O25" s="101">
        <f>SUM(O16:O24)</f>
        <v>24.704891377118642</v>
      </c>
      <c r="P25" s="234">
        <f>SUM(P16:P24)</f>
        <v>4965.6831668008472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4600.55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368.04400000000004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161.01925000000003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4071.4867500000005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869.49152542372849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4940.9782754237294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24.704891377118649</v>
      </c>
    </row>
    <row r="35" spans="2:16" ht="15.75" customHeight="1" thickBot="1" x14ac:dyDescent="0.4">
      <c r="N35" s="345" t="s">
        <v>88</v>
      </c>
      <c r="O35" s="346"/>
      <c r="P35" s="297">
        <f>+P33+P34</f>
        <v>4965.6831668008481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400.32799999999997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4428.6285000000007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5374.3912118644075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5401.2631679237293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</v>
      </c>
      <c r="I25" s="114">
        <f t="shared" si="7"/>
        <v>250.20499999999998</v>
      </c>
      <c r="J25" s="274">
        <f>SUM(J16:J24)</f>
        <v>20.016400000000001</v>
      </c>
      <c r="K25" s="275">
        <f t="shared" si="7"/>
        <v>8.7571750000000002</v>
      </c>
      <c r="L25" s="276">
        <f t="shared" si="7"/>
        <v>0</v>
      </c>
      <c r="M25" s="232">
        <f t="shared" si="7"/>
        <v>221.43142499999999</v>
      </c>
      <c r="N25" s="233">
        <f>SUM(N16:N24)</f>
        <v>47.288135593220332</v>
      </c>
      <c r="O25" s="101">
        <f>SUM(O16:O24)</f>
        <v>1.3435978029661015</v>
      </c>
      <c r="P25" s="234">
        <f>SUM(P16:P24)</f>
        <v>270.0631583961864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250.20499999999998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20.016400000000001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8.7571750000000002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221.43142499999999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47.288135593220332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268.71956059322031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1.3435978029661015</v>
      </c>
    </row>
    <row r="35" spans="2:16" ht="15.75" customHeight="1" thickBot="1" x14ac:dyDescent="0.4">
      <c r="N35" s="345" t="s">
        <v>88</v>
      </c>
      <c r="O35" s="346"/>
      <c r="P35" s="297">
        <f>+P33+P34</f>
        <v>270.0631583961864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375.3075</v>
      </c>
      <c r="J25" s="274">
        <f>SUM(J16:J24)</f>
        <v>30.0246</v>
      </c>
      <c r="K25" s="275">
        <f t="shared" si="7"/>
        <v>13.135762500000002</v>
      </c>
      <c r="L25" s="276">
        <f t="shared" si="7"/>
        <v>0</v>
      </c>
      <c r="M25" s="232">
        <f t="shared" si="7"/>
        <v>332.14713749999999</v>
      </c>
      <c r="N25" s="233">
        <f>SUM(N16:N24)</f>
        <v>70.932203389830505</v>
      </c>
      <c r="O25" s="101">
        <f>SUM(O16:O24)</f>
        <v>2.0153967044491523</v>
      </c>
      <c r="P25" s="234">
        <f>SUM(P16:P24)</f>
        <v>405.09473759427965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375.3075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30.0246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13.135762500000002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332.14713749999999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70.932203389830505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403.07934088983052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2.0153967044491528</v>
      </c>
    </row>
    <row r="35" spans="2:16" ht="15.75" customHeight="1" thickBot="1" x14ac:dyDescent="0.4">
      <c r="N35" s="345" t="s">
        <v>88</v>
      </c>
      <c r="O35" s="346"/>
      <c r="P35" s="297">
        <f>+P33+P34</f>
        <v>405.09473759427965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46294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46293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2026-09-28T05:27:32Z</dcterms:modified>
</cp:coreProperties>
</file>