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0D7E8E8-68AD-4199-A02D-E5D571126F14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<sst xmlns="http://schemas.openxmlformats.org/spreadsheetml/2006/main" count="3918" uniqueCount="516">
  <si>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</si>
  <si>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</si>
  <si>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</si>
  <si>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</si>
  <si>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</si>
  <si>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</si>
  <si>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</si>
  <si>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</si>
  <si>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</si>
  <si>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</si>
  <si>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</si>
  <si>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</si>
  <si>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</si>
  <si>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</si>
  <si>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</si>
  <si>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</si>
  <si>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</si>
  <si>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</si>
  <si>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</si>
  <si>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</si>
  <si>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</si>
  <si>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</si>
  <si>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</si>
  <si>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</si>
  <si>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</si>
  <si>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</si>
  <si>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</si>
  <si>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</si>
  <si>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</si>
  <si>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</si>
  <si>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</si>
  <si>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</si>
  <si>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</si>
  <si>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</si>
  <si>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</si>
  <si>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</si>
  <si>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</si>
  <si>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</si>
  <si>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</si>
  <si>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</si>
  <si>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</si>
  <si>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</si>
  <si>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</si>
  <si>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</si>
  <si>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</si>
  <si>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</si>
  <si>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</si>
  <si>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</si>
  <si>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</si>
  <si>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</si>
  <si>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</si>
  <si>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</si>
  <si>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</si>
  <si>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</si>
  <si>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</si>
  <si>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</si>
  <si>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</si>
  <si>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</si>
  <si>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</si>
  <si>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</si>
  <si>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</si>
  <si>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</si>
  <si>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</si>
  <si>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</si>
  <si>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</si>
  <si>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</si>
  <si>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</si>
  <si>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</si>
  <si>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</si>
  <si>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</si>
  <si>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</si>
  <si>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</si>
  <si>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</si>
  <si>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</si>
  <si>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</si>
  <si>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</si>
  <si>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</si>
  <si>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</si>
  <si>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</si>
  <si>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</si>
  <si>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</si>
  <si>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</si>
  <si>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</si>
  <si>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</si>
  <si>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</si>
  <si>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</si>
  <si>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</si>
  <si>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</si>
  <si>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</si>
  <si>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</si>
  <si>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</si>
  <si>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</si>
  <si>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</si>
  <si>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</si>
  <si>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</si>
  <si>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</si>
  <si>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</si>
  <si>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</si>
  <si>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</si>
  <si>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</si>
  <si>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</si>
  <si>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</si>
  <si>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</si>
  <si>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</si>
  <si>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</si>
  <si>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</si>
  <si>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</si>
  <si>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</si>
  <si>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</si>
  <si>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</si>
  <si>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</si>
  <si>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</si>
  <si>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</si>
  <si>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</si>
  <si>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</si>
  <si>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</si>
  <si>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</si>
  <si>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</si>
  <si>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</si>
  <si>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</si>
  <si>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</si>
  <si>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</si>
  <si>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</si>
  <si>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</si>
  <si>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</si>
  <si>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</si>
  <si>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</si>
  <si>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</si>
  <si>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</si>
  <si>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</si>
  <si>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</si>
  <si>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</si>
  <si>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</si>
  <si>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</si>
  <si>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</si>
  <si>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</si>
  <si>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</si>
  <si>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</si>
  <si>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</si>
  <si>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</si>
  <si>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</si>
  <si>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</si>
  <si>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</si>
  <si>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</si>
  <si>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</si>
  <si>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</si>
  <si>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</si>
  <si>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</si>
  <si>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</si>
  <si>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</si>
  <si>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</si>
  <si>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</si>
  <si>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</si>
  <si>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</si>
  <si>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</si>
  <si>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</si>
  <si>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</si>
  <si>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</si>
  <si>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</si>
  <si>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</si>
  <si>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</si>
  <si>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</si>
  <si>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</si>
  <si>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</si>
  <si>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</si>
  <si>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</si>
  <si>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</si>
  <si>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</si>
  <si>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</si>
  <si>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</si>
  <si>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</si>
  <si>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</si>
  <si>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</si>
  <si>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</si>
  <si>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</si>
  <si>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</si>
  <si>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</si>
  <si>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</si>
  <si>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</si>
  <si>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</si>
  <si>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</si>
  <si>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</si>
  <si>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</si>
  <si>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</si>
  <si>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</si>
  <si>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</si>
  <si>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</si>
  <si>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</si>
  <si>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</si>
  <si>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</si>
  <si>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</si>
  <si>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</si>
  <si>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</si>
  <si>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</si>
  <si>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</si>
  <si>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</si>
  <si>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</si>
  <si>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</si>
  <si>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</si>
  <si>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</si>
  <si>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</si>
  <si>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</si>
  <si>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</si>
  <si>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</si>
  <si>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</si>
  <si>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</si>
  <si>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</si>
  <si>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</si>
  <si>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</si>
  <si>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</si>
  <si>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</si>
  <si>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</si>
  <si>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</si>
  <si>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</si>
  <si>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</si>
  <si>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</si>
  <si>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</si>
  <si>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</si>
  <si>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</si>
  <si>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</si>
  <si>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</si>
  <si>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</si>
  <si>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</si>
  <si>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</si>
  <si>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</si>
  <si>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</si>
  <si>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</si>
  <si>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</si>
  <si>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</si>
  <si>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</si>
  <si>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</si>
  <si>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</si>
  <si>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</si>
  <si>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</si>
  <si>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</si>
  <si>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</si>
  <si>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</si>
  <si>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</si>
  <si>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</si>
  <si>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</si>
  <si>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</si>
  <si>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</si>
  <si>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</si>
  <si>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</si>
  <si>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</si>
  <si>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</si>
  <si>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</si>
  <si>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</si>
  <si>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</si>
  <si>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</si>
  <si>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</si>
  <si>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</si>
  <si>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</si>
  <si>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</si>
  <si>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</si>
  <si>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</si>
  <si>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</si>
  <si>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</si>
  <si>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</si>
  <si>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</si>
  <si>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</si>
  <si>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</si>
  <si>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</si>
  <si>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</si>
  <si>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</si>
  <si>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</si>
  <si>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</si>
  <si>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</si>
  <si>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</si>
  <si>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</si>
  <si>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</si>
  <si>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</si>
  <si>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</si>
  <si>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</si>
  <si>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</si>
  <si>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</si>
  <si>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</si>
  <si>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</si>
  <si>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</si>
  <si>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</si>
  <si>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</si>
  <si>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</si>
  <si>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</si>
  <si>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</si>
  <si>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</si>
  <si>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</si>
  <si>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</si>
  <si>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</si>
  <si>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</si>
  <si>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</si>
  <si>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</si>
  <si>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</si>
  <si>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</si>
  <si>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</si>
  <si>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</si>
  <si>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</si>
  <si>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</si>
  <si>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</si>
  <si>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</si>
  <si>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</si>
  <si>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</si>
  <si>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</si>
  <si>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</si>
  <si>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</si>
  <si>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</si>
  <si>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</si>
  <si>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</si>
  <si>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</si>
  <si>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</si>
  <si>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</si>
  <si>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</si>
  <si>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</si>
  <si>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</si>
  <si>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</si>
  <si>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</si>
  <si>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</si>
  <si>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</si>
  <si>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</si>
  <si>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</si>
  <si>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</si>
  <si>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</si>
  <si>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</si>
  <si>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</si>
  <si>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</si>
  <si>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</si>
  <si>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</si>
  <si>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</si>
  <si>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</si>
  <si>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</si>
  <si>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</si>
  <si>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</si>
  <si>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</si>
  <si>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</si>
  <si>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</si>
  <si>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</si>
  <si>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</si>
  <si>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</si>
  <si>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</si>
  <si>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</si>
  <si>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</si>
  <si>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</si>
  <si>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</si>
  <si>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</si>
  <si>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</si>
  <si>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</si>
  <si>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</si>
  <si>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</si>
  <si>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</si>
  <si>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</si>
  <si>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</si>
  <si>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</si>
  <si>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</si>
  <si>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</si>
  <si>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</si>
  <si>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</si>
  <si>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</si>
  <si>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</si>
  <si>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</si>
  <si>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</si>
  <si>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</si>
  <si>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</si>
  <si>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</si>
  <si>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</si>
  <si>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</si>
  <si>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</si>
  <si>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</si>
  <si>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</si>
  <si>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</si>
  <si>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</si>
  <si>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</si>
  <si>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</si>
  <si>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</si>
  <si>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</si>
  <si>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</si>
  <si>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</si>
  <si>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</si>
  <si>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</si>
  <si>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</si>
  <si>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</si>
  <si>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</si>
  <si>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</si>
  <si>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</si>
  <si>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</si>
  <si>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</si>
  <si>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</si>
  <si>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</si>
  <si>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</si>
  <si>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</si>
  <si>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</si>
  <si>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</si>
  <si>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</si>
  <si>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</si>
  <si>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</si>
  <si>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</si>
  <si>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</si>
  <si>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</si>
  <si>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</si>
  <si>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</si>
  <si>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</si>
  <si>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</si>
  <si>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</si>
  <si>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</si>
  <si>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</si>
  <si>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</si>
  <si>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</si>
  <si>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</si>
  <si>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</si>
  <si>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</si>
  <si>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</si>
  <si>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</si>
  <si>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</si>
  <si>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</si>
  <si>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</si>
  <si>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</si>
  <si>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</si>
  <si>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</si>
  <si>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</si>
  <si>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</si>
  <si>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</si>
  <si>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</si>
  <si>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</si>
  <si>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</si>
  <si>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</si>
  <si>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</si>
  <si>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</si>
  <si>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</si>
  <si>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</si>
  <si>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</si>
  <si>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</si>
  <si>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</si>
  <si>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</si>
  <si>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</si>
  <si>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</si>
  <si>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</si>
  <si>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</si>
  <si>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</si>
  <si>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</si>
  <si>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</si>
  <si>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</si>
  <si>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</si>
  <si>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</si>
  <si>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</si>
  <si>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</si>
  <si>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</si>
  <si>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</si>
  <si>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</si>
  <si>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</si>
  <si>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</si>
  <si>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</si>
  <si>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</si>
  <si>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</si>
  <si>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</si>
  <si>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</si>
  <si>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</si>
  <si>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</si>
  <si>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</si>
  <si>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</si>
  <si>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</si>
  <si>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</si>
  <si>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</si>
  <si>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</si>
  <si>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</si>
  <si>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</si>
  <si>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</si>
  <si>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</si>
  <si>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</si>
  <si>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</si>
  <si>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</si>
  <si>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</si>
  <si>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</si>
  <si>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</si>
  <si>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</si>
  <si>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</si>
  <si>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</si>
  <si>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</si>
  <si>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</si>
  <si>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</si>
  <si>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</si>
  <si>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</si>
  <si>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</si>
  <si>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</si>
  <si>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</si>
  <si>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</si>
  <si>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</si>
  <si>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</si>
  <si>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</si>
  <si>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</si>
  <si>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</si>
  <si>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</si>
  <si>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</si>
  <si>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</si>
  <si>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</si>
  <si>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</si>
  <si>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</si>
  <si>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</si>
  <si>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</si>
  <si>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</si>
  <si>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</si>
  <si>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</si>
  <si>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</si>
  <si>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</si>
  <si>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</si>
  <si>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</si>
  <si>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</si>
  <si>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</si>
  <si>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</si>
  <si>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</si>
  <si>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</si>
  <si>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</si>
  <si>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</si>
  <si>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</si>
  <si>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</si>
  <si>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</si>
  <si>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 xml:space="preserve">Galaxy Super Market </t>
  </si>
  <si>
    <t xml:space="preserve">Address: Lake City </t>
  </si>
  <si>
    <t>Invoice No # :451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</si>
</sst>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Galaxy Super Market </v>
      </c>
      <c r="T3" s="301">
        <f>+'1'!P35</f>
        <v>31804.08454754237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Galaxy Super Market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Galaxy Super Market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Galaxy Super Market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Galaxy Super Market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Galaxy Super Market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Galaxy Super Market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Galaxy Super Market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Galaxy Super Market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Galaxy Super Market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Galaxy Super Market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Galaxy Super Market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Galaxy Super Market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3002.46</v>
      </c>
      <c r="K16" s="275">
        <f t="shared" si="3"/>
        <v>1050.8610000000001</v>
      </c>
      <c r="L16" s="276">
        <f t="shared" si="3"/>
        <v>0</v>
      </c>
      <c r="M16" s="232">
        <f t="shared" si="3"/>
        <v>25971.279000000002</v>
      </c>
      <c r="N16" s="233">
        <f>SUM(N7:N15)</f>
        <v>5674.576271186439</v>
      </c>
      <c r="O16" s="101">
        <f>SUM(O7:O15)</f>
        <v>158.2292763559322</v>
      </c>
      <c r="P16" s="113">
        <f>SUM(P7:P15)</f>
        <v>31804.084547542367</v>
      </c>
      <c r="Q16" s="128">
        <f>SUM(Q7:Q15)</f>
        <v>0</v>
      </c>
      <c r="R16" s="313">
        <v>14</v>
      </c>
      <c r="S16" s="315" t="str">
        <f>+'14'!A6:A6</f>
        <v xml:space="preserve">Galaxy Super Market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Galaxy Super Market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Galaxy Super Market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30024.600000000002</v>
      </c>
      <c r="R19" s="299">
        <v>17</v>
      </c>
      <c r="S19" s="300" t="str">
        <f>+'17'!A6:A6</f>
        <v xml:space="preserve">Galaxy Super Market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3002.46</v>
      </c>
      <c r="R20" s="299">
        <v>18</v>
      </c>
      <c r="S20" s="300" t="str">
        <f>+'18'!A6:A6</f>
        <v xml:space="preserve">Galaxy Super Market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1050.8610000000001</v>
      </c>
      <c r="R21" s="299">
        <v>19</v>
      </c>
      <c r="S21" s="300" t="str">
        <f>+'19'!A6:A6</f>
        <v xml:space="preserve">Galaxy Super Market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25971.279000000002</v>
      </c>
      <c r="R22" s="299">
        <v>20</v>
      </c>
      <c r="S22" s="300" t="str">
        <f>+'20'!A6:A6</f>
        <v xml:space="preserve">Galaxy Super Market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 xml:space="preserve">Galaxy Super Market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31645.855271186439</v>
      </c>
      <c r="R24" s="299">
        <v>22</v>
      </c>
      <c r="S24" s="300" t="str">
        <f>+'22'!A6:A6</f>
        <v xml:space="preserve">Galaxy Super Market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158.2292763559322</v>
      </c>
      <c r="R25" s="299">
        <v>23</v>
      </c>
      <c r="S25" s="300" t="str">
        <f>+'23'!A6:A6</f>
        <v xml:space="preserve">Galaxy Super Market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31804.08454754237</v>
      </c>
      <c r="R26" s="299">
        <v>24</v>
      </c>
      <c r="S26" s="300" t="str">
        <f>+'24'!A6:A6</f>
        <v xml:space="preserve">Galaxy Super Market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Galaxy Super Market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Galaxy Super Market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Galaxy Super Market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Galaxy Super Market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Galaxy Super Market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Galaxy Super Market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31804.08454754237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118">
        <f>M16+N16+O16</f>
        <v>4445.7434656779651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119">
        <f t="shared" ref="P17:P24" si="5">M17+N17+O17</f>
        <v>4445.7434656779651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119">
        <f t="shared" si="5"/>
        <v>4445.7434656779651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119">
        <f t="shared" si="5"/>
        <v>6155.6180501694917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3002.46</v>
      </c>
      <c r="K25" s="275">
        <f t="shared" si="10"/>
        <v>1050.8610000000001</v>
      </c>
      <c r="L25" s="276">
        <f t="shared" si="10"/>
        <v>0</v>
      </c>
      <c r="M25" s="232">
        <f t="shared" si="10"/>
        <v>25971.279000000002</v>
      </c>
      <c r="N25" s="233">
        <f>SUM(N16:N24)</f>
        <v>5674.576271186439</v>
      </c>
      <c r="O25" s="101">
        <f>SUM(O16:O24)</f>
        <v>158.2292763559322</v>
      </c>
      <c r="P25" s="234">
        <f>SUM(P16:P24)</f>
        <v>31804.084547542367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30024.600000000002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3002.46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1050.8610000000001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25971.279000000002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31645.855271186439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158.2292763559322</v>
      </c>
    </row>
    <row r="35" spans="2:16" ht="15.75" customHeight="1" thickBot="1" x14ac:dyDescent="0.4">
      <c r="N35" s="346" t="s">
        <v>88</v>
      </c>
      <c r="O35" s="347"/>
      <c r="P35" s="297">
        <f>+P33+P34</f>
        <v>31804.08454754237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2026-09-30T05:19:17Z</dcterms:modified>
</cp:coreProperties>
</file>