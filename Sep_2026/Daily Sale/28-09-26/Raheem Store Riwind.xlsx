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A0AB3B2-2C86-4DD4-BB2D-55F6E3BE00ED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25" i="70" s="1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<sst xmlns="http://schemas.openxmlformats.org/spreadsheetml/2006/main" count="3918" uniqueCount="516">
  <si>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</si>
  <si>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</si>
  <si>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</si>
  <si>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</si>
  <si>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</si>
  <si>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</si>
  <si>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</si>
  <si>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</si>
  <si>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</si>
  <si>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</si>
  <si>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</si>
  <si>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</si>
  <si>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</si>
  <si>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</si>
  <si>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</si>
  <si>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</si>
  <si>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</si>
  <si>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</si>
  <si>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</si>
  <si>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</si>
  <si>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</si>
  <si>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</si>
  <si>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</si>
  <si>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</si>
  <si>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</si>
  <si>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</si>
  <si>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</si>
  <si>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</si>
  <si>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</si>
  <si>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</si>
  <si>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</si>
  <si>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</si>
  <si>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</si>
  <si>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</si>
  <si>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</si>
  <si>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</si>
  <si>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</si>
  <si>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</si>
  <si>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</si>
  <si>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</si>
  <si>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</si>
  <si>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</si>
  <si>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</si>
  <si>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</si>
  <si>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</si>
  <si>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</si>
  <si>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</si>
  <si>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</si>
  <si>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</si>
  <si>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</si>
  <si>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</si>
  <si>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</si>
  <si>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</si>
  <si>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</si>
  <si>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</si>
  <si>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</si>
  <si>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</si>
  <si>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</si>
  <si>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</si>
  <si>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</si>
  <si>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</si>
  <si>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</si>
  <si>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</si>
  <si>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</si>
  <si>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</si>
  <si>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</si>
  <si>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</si>
  <si>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</si>
  <si>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</si>
  <si>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</si>
  <si>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</si>
  <si>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</si>
  <si>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</si>
  <si>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</si>
  <si>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</si>
  <si>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</si>
  <si>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</si>
  <si>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</si>
  <si>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</si>
  <si>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</si>
  <si>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</si>
  <si>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</si>
  <si>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</si>
  <si>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</si>
  <si>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</si>
  <si>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</si>
  <si>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</si>
  <si>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</si>
  <si>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</si>
  <si>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</si>
  <si>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</si>
  <si>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</si>
  <si>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</si>
  <si>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</si>
  <si>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</si>
  <si>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</si>
  <si>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</si>
  <si>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</si>
  <si>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</si>
  <si>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</si>
  <si>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</si>
  <si>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</si>
  <si>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</si>
  <si>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</si>
  <si>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</si>
  <si>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</si>
  <si>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</si>
  <si>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</si>
  <si>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</si>
  <si>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</si>
  <si>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</si>
  <si>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</si>
  <si>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</si>
  <si>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</si>
  <si>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</si>
  <si>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</si>
  <si>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</si>
  <si>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</si>
  <si>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</si>
  <si>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</si>
  <si>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</si>
  <si>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</si>
  <si>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</si>
  <si>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</si>
  <si>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</si>
  <si>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</si>
  <si>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</si>
  <si>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</si>
  <si>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</si>
  <si>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</si>
  <si>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</si>
  <si>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</si>
  <si>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</si>
  <si>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</si>
  <si>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</si>
  <si>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</si>
  <si>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</si>
  <si>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</si>
  <si>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</si>
  <si>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</si>
  <si>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</si>
  <si>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</si>
  <si>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</si>
  <si>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</si>
  <si>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</si>
  <si>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</si>
  <si>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</si>
  <si>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</si>
  <si>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</si>
  <si>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</si>
  <si>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</si>
  <si>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</si>
  <si>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</si>
  <si>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</si>
  <si>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</si>
  <si>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</si>
  <si>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</si>
  <si>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</si>
  <si>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</si>
  <si>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</si>
  <si>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</si>
  <si>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</si>
  <si>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</si>
  <si>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</si>
  <si>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</si>
  <si>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</si>
  <si>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</si>
  <si>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</si>
  <si>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</si>
  <si>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</si>
  <si>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</si>
  <si>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</si>
  <si>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</si>
  <si>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</si>
  <si>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</si>
  <si>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</si>
  <si>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</si>
  <si>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</si>
  <si>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</si>
  <si>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</si>
  <si>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</si>
  <si>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</si>
  <si>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</si>
  <si>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</si>
  <si>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</si>
  <si>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</si>
  <si>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</si>
  <si>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</si>
  <si>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</si>
  <si>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</si>
  <si>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</si>
  <si>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</si>
  <si>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</si>
  <si>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</si>
  <si>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</si>
  <si>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</si>
  <si>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</si>
  <si>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</si>
  <si>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</si>
  <si>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</si>
  <si>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</si>
  <si>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</si>
  <si>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</si>
  <si>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</si>
  <si>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</si>
  <si>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</si>
  <si>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</si>
  <si>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</si>
  <si>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</si>
  <si>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</si>
  <si>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</si>
  <si>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</si>
  <si>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</si>
  <si>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</si>
  <si>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</si>
  <si>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</si>
  <si>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</si>
  <si>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</si>
  <si>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</si>
  <si>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</si>
  <si>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</si>
  <si>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</si>
  <si>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</si>
  <si>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</si>
  <si>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</si>
  <si>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</si>
  <si>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</si>
  <si>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</si>
  <si>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</si>
  <si>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</si>
  <si>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</si>
  <si>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</si>
  <si>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</si>
  <si>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</si>
  <si>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</si>
  <si>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</si>
  <si>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</si>
  <si>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</si>
  <si>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</si>
  <si>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</si>
  <si>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</si>
  <si>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</si>
  <si>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</si>
  <si>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</si>
  <si>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</si>
  <si>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</si>
  <si>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</si>
  <si>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</si>
  <si>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</si>
  <si>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</si>
  <si>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</si>
  <si>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</si>
  <si>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</si>
  <si>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</si>
  <si>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</si>
  <si>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</si>
  <si>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</si>
  <si>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</si>
  <si>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</si>
  <si>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</si>
  <si>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</si>
  <si>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</si>
  <si>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</si>
  <si>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</si>
  <si>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</si>
  <si>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</si>
  <si>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</si>
  <si>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</si>
  <si>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</si>
  <si>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</si>
  <si>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</si>
  <si>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</si>
  <si>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</si>
  <si>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</si>
  <si>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</si>
  <si>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</si>
  <si>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</si>
  <si>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</si>
  <si>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</si>
  <si>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</si>
  <si>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</si>
  <si>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</si>
  <si>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</si>
  <si>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</si>
  <si>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</si>
  <si>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</si>
  <si>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</si>
  <si>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</si>
  <si>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</si>
  <si>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</si>
  <si>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</si>
  <si>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</si>
  <si>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</si>
  <si>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</si>
  <si>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</si>
  <si>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</si>
  <si>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</si>
  <si>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</si>
  <si>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</si>
  <si>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</si>
  <si>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</si>
  <si>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</si>
  <si>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</si>
  <si>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</si>
  <si>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</si>
  <si>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</si>
  <si>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</si>
  <si>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</si>
  <si>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</si>
  <si>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</si>
  <si>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</si>
  <si>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</si>
  <si>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</si>
  <si>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</si>
  <si>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</si>
  <si>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</si>
  <si>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</si>
  <si>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</si>
  <si>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</si>
  <si>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</si>
  <si>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</si>
  <si>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</si>
  <si>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</si>
  <si>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</si>
  <si>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</si>
  <si>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</si>
  <si>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</si>
  <si>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</si>
  <si>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</si>
  <si>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</si>
  <si>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</si>
  <si>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</si>
  <si>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</si>
  <si>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</si>
  <si>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</si>
  <si>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</si>
  <si>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</si>
  <si>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</si>
  <si>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</si>
  <si>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</si>
  <si>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</si>
  <si>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</si>
  <si>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</si>
  <si>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</si>
  <si>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</si>
  <si>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</si>
  <si>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</si>
  <si>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</si>
  <si>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</si>
  <si>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</si>
  <si>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</si>
  <si>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</si>
  <si>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</si>
  <si>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</si>
  <si>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</si>
  <si>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</si>
  <si>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</si>
  <si>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</si>
  <si>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</si>
  <si>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</si>
  <si>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</si>
  <si>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</si>
  <si>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</si>
  <si>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</si>
  <si>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</si>
  <si>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</si>
  <si>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</si>
  <si>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</si>
  <si>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</si>
  <si>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</si>
  <si>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</si>
  <si>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</si>
  <si>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</si>
  <si>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</si>
  <si>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</si>
  <si>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</si>
  <si>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</si>
  <si>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</si>
  <si>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</si>
  <si>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</si>
  <si>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</si>
  <si>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</si>
  <si>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</si>
  <si>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</si>
  <si>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</si>
  <si>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</si>
  <si>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</si>
  <si>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</si>
  <si>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</si>
  <si>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</si>
  <si>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</si>
  <si>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</si>
  <si>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</si>
  <si>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</si>
  <si>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</si>
  <si>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</si>
  <si>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</si>
  <si>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</si>
  <si>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</si>
  <si>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</si>
  <si>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</si>
  <si>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</si>
  <si>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</si>
  <si>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</si>
  <si>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</si>
  <si>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</si>
  <si>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</si>
  <si>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</si>
  <si>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</si>
  <si>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</si>
  <si>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</si>
  <si>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</si>
  <si>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</si>
  <si>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</si>
  <si>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</si>
  <si>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</si>
  <si>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</si>
  <si>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</si>
  <si>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</si>
  <si>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</si>
  <si>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</si>
  <si>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</si>
  <si>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</si>
  <si>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</si>
  <si>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</si>
  <si>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</si>
  <si>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</si>
  <si>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</si>
  <si>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</si>
  <si>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</si>
  <si>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</si>
  <si>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</si>
  <si>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</si>
  <si>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</si>
  <si>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</si>
  <si>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</si>
  <si>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</si>
  <si>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</si>
  <si>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</si>
  <si>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</si>
  <si>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</si>
  <si>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</si>
  <si>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</si>
  <si>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</si>
  <si>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</si>
  <si>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</si>
  <si>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</si>
  <si>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</si>
  <si>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</si>
  <si>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</si>
  <si>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</si>
  <si>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</si>
  <si>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</si>
  <si>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</si>
  <si>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</si>
  <si>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</si>
  <si>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</si>
  <si>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</si>
  <si>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</si>
  <si>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</si>
  <si>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</si>
  <si>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</si>
  <si>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</si>
  <si>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</si>
  <si>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</si>
  <si>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</si>
  <si>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</si>
  <si>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</si>
  <si>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</si>
  <si>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</si>
  <si>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</si>
  <si>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</si>
  <si>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</si>
  <si>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</si>
  <si>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</si>
  <si>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</si>
  <si>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</si>
  <si>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</si>
  <si>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</si>
  <si>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</si>
  <si>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</si>
  <si>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</si>
  <si>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</si>
  <si>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</si>
  <si>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</si>
  <si>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</si>
  <si>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</si>
  <si>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</si>
  <si>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</si>
  <si>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</si>
  <si>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</si>
  <si>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</si>
  <si>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</si>
  <si>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</si>
  <si>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</si>
  <si>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</si>
  <si>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</si>
  <si>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</si>
  <si>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</si>
  <si>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</si>
  <si>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</si>
  <si>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</si>
  <si>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</si>
  <si>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</si>
  <si>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</si>
  <si>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</si>
  <si>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</si>
  <si>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</si>
  <si>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</si>
  <si>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</si>
  <si>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</si>
  <si>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</si>
  <si>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</si>
  <si>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Raheem Store</t>
  </si>
  <si>
    <t>Address: Riwind Road</t>
  </si>
  <si>
    <t>Invoice No # :4511.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</si>
</sst>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512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46293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Raheem Store</v>
      </c>
      <c r="T3" s="301">
        <f>+'1'!P35</f>
        <v>41289.655791737285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Raheem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Raheem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Raheem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1468.95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8656.3125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53.196816737288138</v>
      </c>
      <c r="P7" s="310">
        <f>M7+N7+O7</f>
        <v>10692.560164194916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Raheem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881.37000000000012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5193.7875000000004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31.918090042372878</v>
      </c>
      <c r="P8" s="311">
        <f t="shared" ref="P8:P15" si="2">M8+N8+O8</f>
        <v>6415.5360985169482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Raheem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881.37000000000012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5193.7875000000004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31.918090042372878</v>
      </c>
      <c r="P9" s="311">
        <f t="shared" si="2"/>
        <v>6415.5360985169482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Raheem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1220.3520000000001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7191.3599999999988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44.194088135593212</v>
      </c>
      <c r="P10" s="311">
        <f t="shared" si="2"/>
        <v>8883.0117152542352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Raheem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Raheem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1220.3520000000001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7191.3599999999988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44.194088135593212</v>
      </c>
      <c r="P12" s="311">
        <f t="shared" si="2"/>
        <v>8883.0117152542352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Raheem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Raheem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Raheem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Raheem Store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17</v>
      </c>
      <c r="H16" s="113">
        <f t="shared" ref="H16:M16" si="3">SUM(H7:H15)</f>
        <v>680</v>
      </c>
      <c r="I16" s="114">
        <f t="shared" si="3"/>
        <v>40517.1</v>
      </c>
      <c r="J16" s="274">
        <f>SUM(J7:J15)</f>
        <v>5672.3940000000002</v>
      </c>
      <c r="K16" s="275">
        <f t="shared" si="3"/>
        <v>1418.0985000000001</v>
      </c>
      <c r="L16" s="276">
        <f t="shared" si="3"/>
        <v>0</v>
      </c>
      <c r="M16" s="232">
        <f t="shared" si="3"/>
        <v>33426.607499999998</v>
      </c>
      <c r="N16" s="233">
        <f>SUM(N7:N15)</f>
        <v>7657.6271186440663</v>
      </c>
      <c r="O16" s="101">
        <f>SUM(O7:O15)</f>
        <v>205.42117309322032</v>
      </c>
      <c r="P16" s="113">
        <f>SUM(P7:P15)</f>
        <v>41289.655791737285</v>
      </c>
      <c r="Q16" s="128">
        <f>SUM(Q7:Q15)</f>
        <v>0</v>
      </c>
      <c r="R16" s="313">
        <v>14</v>
      </c>
      <c r="S16" s="315" t="str">
        <f>+'14'!A6:A6</f>
        <v>Raheem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Raheem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Raheem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40517.1</v>
      </c>
      <c r="R19" s="299">
        <v>17</v>
      </c>
      <c r="S19" s="300" t="str">
        <f>+'17'!A6:A6</f>
        <v>Raheem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5672.3940000000002</v>
      </c>
      <c r="R20" s="299">
        <v>18</v>
      </c>
      <c r="S20" s="300" t="str">
        <f>+'18'!A6:A6</f>
        <v>Raheem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1418.0985000000001</v>
      </c>
      <c r="R21" s="299">
        <v>19</v>
      </c>
      <c r="S21" s="300" t="str">
        <f>+'19'!A6:A6</f>
        <v>Raheem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33426.607499999998</v>
      </c>
      <c r="R22" s="299">
        <v>20</v>
      </c>
      <c r="S22" s="300" t="str">
        <f>+'20'!A6:A6</f>
        <v>Raheem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7657.6271186440663</v>
      </c>
      <c r="R23" s="299">
        <v>21</v>
      </c>
      <c r="S23" s="300" t="str">
        <f>+'21'!A6:A6</f>
        <v>Raheem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41084.234618644063</v>
      </c>
      <c r="R24" s="299">
        <v>22</v>
      </c>
      <c r="S24" s="300" t="str">
        <f>+'22'!A6:A6</f>
        <v>Raheem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205.42117309322032</v>
      </c>
      <c r="R25" s="299">
        <v>23</v>
      </c>
      <c r="S25" s="300" t="str">
        <f>+'23'!A6:A6</f>
        <v>Raheem Store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41289.655791737285</v>
      </c>
      <c r="R26" s="299">
        <v>24</v>
      </c>
      <c r="S26" s="300" t="str">
        <f>+'24'!A6:A6</f>
        <v>Raheem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Raheem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Raheem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Raheem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Raheem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Raheem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Raheem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41289.655791737285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7" sqref="F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1468.95</v>
      </c>
      <c r="K16" s="127">
        <f>$I16*T16</f>
        <v>367.23750000000001</v>
      </c>
      <c r="L16" s="118">
        <f>$I16*U16</f>
        <v>0</v>
      </c>
      <c r="M16" s="229">
        <f>I16-SUM(J16:L16)</f>
        <v>8656.3125</v>
      </c>
      <c r="N16" s="248">
        <f>+(G16*D16+H16)*V16</f>
        <v>1983.0508474576263</v>
      </c>
      <c r="O16" s="238">
        <f>(N16+M16)*$O$15</f>
        <v>53.196816737288138</v>
      </c>
      <c r="P16" s="118">
        <f>M16+N16+O16</f>
        <v>10692.560164194916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119">
        <f t="shared" ref="P17:P24" si="5">M17+N17+O17</f>
        <v>6415.5360985169482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119">
        <f t="shared" si="5"/>
        <v>6415.5360985169482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119">
        <f t="shared" si="5"/>
        <v>8883.0117152542352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680</v>
      </c>
      <c r="I25" s="114">
        <f t="shared" ref="I25:M25" si="10">SUM(I16:I24)</f>
        <v>40517.1</v>
      </c>
      <c r="J25" s="274">
        <f>SUM(J16:J24)</f>
        <v>5672.3940000000002</v>
      </c>
      <c r="K25" s="275">
        <f t="shared" si="10"/>
        <v>1418.0985000000001</v>
      </c>
      <c r="L25" s="276">
        <f t="shared" si="10"/>
        <v>0</v>
      </c>
      <c r="M25" s="232">
        <f t="shared" si="10"/>
        <v>33426.607499999998</v>
      </c>
      <c r="N25" s="233">
        <f>SUM(N16:N24)</f>
        <v>7657.6271186440663</v>
      </c>
      <c r="O25" s="101">
        <f>SUM(O16:O24)</f>
        <v>205.42117309322032</v>
      </c>
      <c r="P25" s="234">
        <f>SUM(P16:P24)</f>
        <v>41289.655791737285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40517.1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5672.3940000000002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1418.0985000000001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33426.607499999998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7657.6271186440663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41084.234618644063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205.42117309322032</v>
      </c>
    </row>
    <row r="35" spans="2:16" ht="15.75" customHeight="1" thickBot="1" x14ac:dyDescent="0.4">
      <c r="N35" s="374" t="s">
        <v>88</v>
      </c>
      <c r="O35" s="375"/>
      <c r="P35" s="297">
        <f>+P33+P34</f>
        <v>41289.655791737285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2026-09-28T06:46:00Z</dcterms:modified>
</cp:coreProperties>
</file>