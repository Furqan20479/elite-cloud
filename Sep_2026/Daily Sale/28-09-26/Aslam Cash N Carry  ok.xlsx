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41C8DC6-99CF-443F-823F-1256327E40FF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<sst xmlns="http://schemas.openxmlformats.org/spreadsheetml/2006/main" count="3918" uniqueCount="516">
  <si>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</si>
  <si>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</si>
  <si>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</si>
  <si>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</si>
  <si>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</si>
  <si>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</si>
  <si>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</si>
  <si>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</si>
  <si>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</si>
  <si>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</si>
  <si>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</si>
  <si>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</si>
  <si>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</si>
  <si>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</si>
  <si>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</si>
  <si>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</si>
  <si>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</si>
  <si>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</si>
  <si>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</si>
  <si>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</si>
  <si>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</si>
  <si>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</si>
  <si>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</si>
  <si>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</si>
  <si>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</si>
  <si>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</si>
  <si>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</si>
  <si>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</si>
  <si>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</si>
  <si>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</si>
  <si>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</si>
  <si>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</si>
  <si>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</si>
  <si>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</si>
  <si>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</si>
  <si>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</si>
  <si>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</si>
  <si>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</si>
  <si>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</si>
  <si>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</si>
  <si>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</si>
  <si>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</si>
  <si>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</si>
  <si>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</si>
  <si>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</si>
  <si>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</si>
  <si>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</si>
  <si>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</si>
  <si>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</si>
  <si>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</si>
  <si>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</si>
  <si>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</si>
  <si>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</si>
  <si>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</si>
  <si>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</si>
  <si>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</si>
  <si>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</si>
  <si>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</si>
  <si>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</si>
  <si>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</si>
  <si>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</si>
  <si>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</si>
  <si>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</si>
  <si>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</si>
  <si>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</si>
  <si>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</si>
  <si>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</si>
  <si>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</si>
  <si>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</si>
  <si>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</si>
  <si>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</si>
  <si>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</si>
  <si>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</si>
  <si>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</si>
  <si>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</si>
  <si>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</si>
  <si>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</si>
  <si>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</si>
  <si>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</si>
  <si>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</si>
  <si>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</si>
  <si>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</si>
  <si>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</si>
  <si>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</si>
  <si>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</si>
  <si>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</si>
  <si>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</si>
  <si>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</si>
  <si>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</si>
  <si>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</si>
  <si>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</si>
  <si>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</si>
  <si>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</si>
  <si>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</si>
  <si>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</si>
  <si>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</si>
  <si>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</si>
  <si>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</si>
  <si>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</si>
  <si>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</si>
  <si>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</si>
  <si>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</si>
  <si>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</si>
  <si>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</si>
  <si>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</si>
  <si>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</si>
  <si>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</si>
  <si>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</si>
  <si>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</si>
  <si>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</si>
  <si>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</si>
  <si>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</si>
  <si>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</si>
  <si>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</si>
  <si>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</si>
  <si>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</si>
  <si>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</si>
  <si>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</si>
  <si>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</si>
  <si>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</si>
  <si>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</si>
  <si>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</si>
  <si>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</si>
  <si>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</si>
  <si>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</si>
  <si>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</si>
  <si>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</si>
  <si>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</si>
  <si>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</si>
  <si>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</si>
  <si>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</si>
  <si>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</si>
  <si>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</si>
  <si>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</si>
  <si>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</si>
  <si>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</si>
  <si>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</si>
  <si>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</si>
  <si>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</si>
  <si>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</si>
  <si>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</si>
  <si>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</si>
  <si>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</si>
  <si>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</si>
  <si>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</si>
  <si>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</si>
  <si>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</si>
  <si>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</si>
  <si>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</si>
  <si>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</si>
  <si>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</si>
  <si>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</si>
  <si>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</si>
  <si>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</si>
  <si>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</si>
  <si>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</si>
  <si>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</si>
  <si>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</si>
  <si>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</si>
  <si>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</si>
  <si>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</si>
  <si>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</si>
  <si>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</si>
  <si>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</si>
  <si>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</si>
  <si>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</si>
  <si>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</si>
  <si>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</si>
  <si>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</si>
  <si>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</si>
  <si>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</si>
  <si>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</si>
  <si>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</si>
  <si>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</si>
  <si>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</si>
  <si>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</si>
  <si>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</si>
  <si>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</si>
  <si>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</si>
  <si>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</si>
  <si>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</si>
  <si>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</si>
  <si>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</si>
  <si>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</si>
  <si>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</si>
  <si>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</si>
  <si>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</si>
  <si>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</si>
  <si>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</si>
  <si>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</si>
  <si>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</si>
  <si>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</si>
  <si>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</si>
  <si>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</si>
  <si>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</si>
  <si>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</si>
  <si>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</si>
  <si>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</si>
  <si>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</si>
  <si>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</si>
  <si>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</si>
  <si>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</si>
  <si>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</si>
  <si>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</si>
  <si>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</si>
  <si>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</si>
  <si>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</si>
  <si>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</si>
  <si>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</si>
  <si>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</si>
  <si>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</si>
  <si>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</si>
  <si>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</si>
  <si>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</si>
  <si>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</si>
  <si>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</si>
  <si>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</si>
  <si>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</si>
  <si>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</si>
  <si>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</si>
  <si>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</si>
  <si>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</si>
  <si>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</si>
  <si>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</si>
  <si>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</si>
  <si>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</si>
  <si>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</si>
  <si>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</si>
  <si>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</si>
  <si>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</si>
  <si>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</si>
  <si>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</si>
  <si>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</si>
  <si>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</si>
  <si>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</si>
  <si>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</si>
  <si>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</si>
  <si>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</si>
  <si>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</si>
  <si>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</si>
  <si>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</si>
  <si>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</si>
  <si>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</si>
  <si>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</si>
  <si>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</si>
  <si>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</si>
  <si>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</si>
  <si>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</si>
  <si>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</si>
  <si>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</si>
  <si>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</si>
  <si>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</si>
  <si>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</si>
  <si>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</si>
  <si>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</si>
  <si>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</si>
  <si>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</si>
  <si>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</si>
  <si>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</si>
  <si>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</si>
  <si>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</si>
  <si>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</si>
  <si>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</si>
  <si>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</si>
  <si>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</si>
  <si>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</si>
  <si>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</si>
  <si>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</si>
  <si>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</si>
  <si>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</si>
  <si>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</si>
  <si>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</si>
  <si>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</si>
  <si>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</si>
  <si>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</si>
  <si>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</si>
  <si>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</si>
  <si>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</si>
  <si>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</si>
  <si>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</si>
  <si>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</si>
  <si>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</si>
  <si>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</si>
  <si>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</si>
  <si>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</si>
  <si>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</si>
  <si>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</si>
  <si>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</si>
  <si>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</si>
  <si>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</si>
  <si>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</si>
  <si>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</si>
  <si>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</si>
  <si>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</si>
  <si>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</si>
  <si>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</si>
  <si>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</si>
  <si>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</si>
  <si>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</si>
  <si>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</si>
  <si>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</si>
  <si>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</si>
  <si>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</si>
  <si>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</si>
  <si>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</si>
  <si>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</si>
  <si>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</si>
  <si>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</si>
  <si>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</si>
  <si>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</si>
  <si>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</si>
  <si>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</si>
  <si>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</si>
  <si>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</si>
  <si>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</si>
  <si>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</si>
  <si>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</si>
  <si>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</si>
  <si>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</si>
  <si>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</si>
  <si>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</si>
  <si>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</si>
  <si>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</si>
  <si>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</si>
  <si>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</si>
  <si>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</si>
  <si>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</si>
  <si>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</si>
  <si>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</si>
  <si>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</si>
  <si>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</si>
  <si>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</si>
  <si>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</si>
  <si>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</si>
  <si>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</si>
  <si>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</si>
  <si>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</si>
  <si>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</si>
  <si>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</si>
  <si>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</si>
  <si>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</si>
  <si>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</si>
  <si>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</si>
  <si>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</si>
  <si>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</si>
  <si>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</si>
  <si>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</si>
  <si>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</si>
  <si>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</si>
  <si>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</si>
  <si>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</si>
  <si>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</si>
  <si>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</si>
  <si>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</si>
  <si>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</si>
  <si>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</si>
  <si>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</si>
  <si>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</si>
  <si>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</si>
  <si>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</si>
  <si>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</si>
  <si>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</si>
  <si>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</si>
  <si>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</si>
  <si>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</si>
  <si>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</si>
  <si>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</si>
  <si>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</si>
  <si>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</si>
  <si>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</si>
  <si>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</si>
  <si>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</si>
  <si>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</si>
  <si>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</si>
  <si>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</si>
  <si>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</si>
  <si>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</si>
  <si>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</si>
  <si>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</si>
  <si>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</si>
  <si>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</si>
  <si>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</si>
  <si>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</si>
  <si>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</si>
  <si>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</si>
  <si>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</si>
  <si>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</si>
  <si>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</si>
  <si>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</si>
  <si>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</si>
  <si>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</si>
  <si>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</si>
  <si>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</si>
  <si>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</si>
  <si>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</si>
  <si>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</si>
  <si>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</si>
  <si>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</si>
  <si>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</si>
  <si>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</si>
  <si>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</si>
  <si>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</si>
  <si>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</si>
  <si>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</si>
  <si>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</si>
  <si>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</si>
  <si>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</si>
  <si>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</si>
  <si>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</si>
  <si>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</si>
  <si>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</si>
  <si>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</si>
  <si>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</si>
  <si>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</si>
  <si>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</si>
  <si>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</si>
  <si>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</si>
  <si>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</si>
  <si>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</si>
  <si>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</si>
  <si>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</si>
  <si>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</si>
  <si>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</si>
  <si>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</si>
  <si>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</si>
  <si>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</si>
  <si>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</si>
  <si>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</si>
  <si>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</si>
  <si>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</si>
  <si>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</si>
  <si>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</si>
  <si>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</si>
  <si>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</si>
  <si>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</si>
  <si>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</si>
  <si>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</si>
  <si>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</si>
  <si>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</si>
  <si>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</si>
  <si>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</si>
  <si>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</si>
  <si>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</si>
  <si>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</si>
  <si>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</si>
  <si>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</si>
  <si>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</si>
  <si>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</si>
  <si>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</si>
  <si>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</si>
  <si>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</si>
  <si>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</si>
  <si>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</si>
  <si>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</si>
  <si>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</si>
  <si>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</si>
  <si>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</si>
  <si>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</si>
  <si>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</si>
  <si>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</si>
  <si>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</si>
  <si>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</si>
  <si>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</si>
  <si>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</si>
  <si>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</si>
  <si>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</si>
  <si>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</si>
  <si>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</si>
  <si>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</si>
  <si>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</si>
  <si>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</si>
  <si>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</si>
  <si>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</si>
  <si>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</si>
  <si>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</si>
  <si>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</si>
  <si>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</si>
  <si>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</si>
  <si>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</si>
  <si>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</si>
  <si>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</si>
  <si>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</si>
  <si>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</si>
  <si>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</si>
  <si>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</si>
  <si>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</si>
  <si>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</si>
  <si>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</si>
  <si>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</si>
  <si>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</si>
  <si>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</si>
  <si>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</si>
  <si>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</si>
  <si>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</si>
  <si>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</si>
  <si>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</si>
  <si>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</si>
  <si>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</si>
  <si>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</si>
  <si>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</si>
  <si>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</si>
  <si>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</si>
  <si>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</si>
  <si>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</si>
  <si>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</si>
  <si>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</si>
  <si>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</si>
  <si>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</si>
  <si>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</si>
  <si>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</si>
  <si>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</si>
  <si>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</si>
  <si>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</si>
  <si>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Aslam Cash N Carry</t>
  </si>
  <si>
    <t>Address: College Road</t>
  </si>
  <si>
    <t>Invoice No # :1210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</si>
</sst>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R11" sqref="R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0" t="s">
        <v>91</v>
      </c>
      <c r="B2" s="370"/>
      <c r="C2" s="370"/>
      <c r="E2" s="357" t="s">
        <v>498</v>
      </c>
      <c r="F2" s="358"/>
      <c r="G2" s="358"/>
      <c r="H2" s="355" t="s">
        <v>512</v>
      </c>
      <c r="I2" s="355"/>
      <c r="J2" s="356"/>
      <c r="R2" s="352" t="s">
        <v>497</v>
      </c>
      <c r="S2" s="353"/>
      <c r="T2" s="354"/>
    </row>
    <row r="3" spans="1:20 16377:16378" ht="21.75" customHeight="1" thickBot="1" x14ac:dyDescent="0.4">
      <c r="A3" s="371" t="s">
        <v>92</v>
      </c>
      <c r="B3" s="371"/>
      <c r="C3" s="371"/>
      <c r="E3" s="361" t="s">
        <v>508</v>
      </c>
      <c r="F3" s="362"/>
      <c r="G3" s="362"/>
      <c r="H3" s="359">
        <v>46293</v>
      </c>
      <c r="I3" s="359"/>
      <c r="J3" s="360"/>
      <c r="K3" s="372" t="s">
        <v>43</v>
      </c>
      <c r="L3" s="372"/>
      <c r="M3" s="372"/>
      <c r="N3" s="371"/>
      <c r="O3" s="371"/>
      <c r="P3" s="371"/>
      <c r="R3" s="299">
        <v>1</v>
      </c>
      <c r="S3" s="300" t="str">
        <f>+'1'!A6:A6</f>
        <v>Aslam Cash N Carry</v>
      </c>
      <c r="T3" s="301">
        <f>+'1'!P35</f>
        <v>31804.08454754237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Aslam Cash N Carry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1" t="s">
        <v>51</v>
      </c>
      <c r="B5" s="363"/>
      <c r="C5" s="393" t="s">
        <v>90</v>
      </c>
      <c r="D5" s="115" t="s">
        <v>52</v>
      </c>
      <c r="E5" s="395" t="s">
        <v>58</v>
      </c>
      <c r="F5" s="396"/>
      <c r="G5" s="368" t="s">
        <v>54</v>
      </c>
      <c r="H5" s="369"/>
      <c r="I5" s="397" t="s">
        <v>77</v>
      </c>
      <c r="J5" s="367" t="s">
        <v>55</v>
      </c>
      <c r="K5" s="368"/>
      <c r="L5" s="369"/>
      <c r="M5" s="363" t="s">
        <v>84</v>
      </c>
      <c r="N5" s="365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Aslam Cash N Carry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2"/>
      <c r="B6" s="364"/>
      <c r="C6" s="394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6"/>
      <c r="J6" s="143" t="s">
        <v>59</v>
      </c>
      <c r="K6" s="144" t="s">
        <v>39</v>
      </c>
      <c r="L6" s="145" t="s">
        <v>493</v>
      </c>
      <c r="M6" s="364"/>
      <c r="N6" s="36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Aslam Cash N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Aslam Cash N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419.70000000000005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3630.4049999999997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22.118126694915251</v>
      </c>
      <c r="P8" s="311">
        <f t="shared" ref="P8:P15" si="2">M8+N8+O8</f>
        <v>4445.7434656779651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Aslam Cash N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629.55000000000007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220.34250000000003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5445.6075000000001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1189.8305084745757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33.177190042372878</v>
      </c>
      <c r="P9" s="311">
        <f t="shared" si="2"/>
        <v>6668.6151985169481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Aslam Cash N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Aslam Cash N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5026.6880000000001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30.624965423728813</v>
      </c>
      <c r="P11" s="311">
        <f t="shared" si="2"/>
        <v>6155.6180501694917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Aslam Cash N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871.68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7540.0319999999992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45.937448135593222</v>
      </c>
      <c r="P12" s="311">
        <f t="shared" si="2"/>
        <v>9233.4270752542379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Aslam Cash N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Aslam Cash N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Aslam Cash N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Aslam Cash N Carry</v>
      </c>
      <c r="T15" s="301">
        <f>+'13'!P35</f>
        <v>0</v>
      </c>
    </row>
    <row r="16" spans="1:20 16377:16378" ht="21.75" customHeight="1" thickBot="1" x14ac:dyDescent="0.4">
      <c r="A16" s="373">
        <f>COUNT(A7:A15)</f>
        <v>0</v>
      </c>
      <c r="B16" s="374"/>
      <c r="C16" s="374" t="s">
        <v>40</v>
      </c>
      <c r="D16" s="374"/>
      <c r="E16" s="374"/>
      <c r="F16" s="375"/>
      <c r="G16" s="117">
        <f>H16/40</f>
        <v>12</v>
      </c>
      <c r="H16" s="113">
        <f t="shared" ref="H16:M16" si="3">SUM(H7:H15)</f>
        <v>480</v>
      </c>
      <c r="I16" s="114">
        <f t="shared" si="3"/>
        <v>30024.6</v>
      </c>
      <c r="J16" s="274">
        <f>SUM(J7:J15)</f>
        <v>3002.46</v>
      </c>
      <c r="K16" s="275">
        <f t="shared" si="3"/>
        <v>1050.8610000000001</v>
      </c>
      <c r="L16" s="276">
        <f t="shared" si="3"/>
        <v>0</v>
      </c>
      <c r="M16" s="232">
        <f t="shared" si="3"/>
        <v>25971.279000000002</v>
      </c>
      <c r="N16" s="233">
        <f>SUM(N7:N15)</f>
        <v>5674.57627118644</v>
      </c>
      <c r="O16" s="101">
        <f>SUM(O7:O15)</f>
        <v>158.2292763559322</v>
      </c>
      <c r="P16" s="113">
        <f>SUM(P7:P15)</f>
        <v>31804.08454754237</v>
      </c>
      <c r="Q16" s="128">
        <f>SUM(Q7:Q15)</f>
        <v>0</v>
      </c>
      <c r="R16" s="313">
        <v>14</v>
      </c>
      <c r="S16" s="315" t="str">
        <f>+'14'!A6:A6</f>
        <v>Aslam Cash N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Aslam Cash N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Aslam Cash N Carry</v>
      </c>
      <c r="T18" s="301">
        <f>+'16'!P35</f>
        <v>0</v>
      </c>
    </row>
    <row r="19" spans="1:20" ht="21.75" customHeight="1" x14ac:dyDescent="0.35">
      <c r="B19" s="376" t="s">
        <v>64</v>
      </c>
      <c r="C19" s="377"/>
      <c r="D19" s="377"/>
      <c r="E19" s="377"/>
      <c r="F19" s="377"/>
      <c r="G19" s="377"/>
      <c r="H19" s="377"/>
      <c r="I19" s="377"/>
      <c r="J19" s="377"/>
      <c r="K19" s="377"/>
      <c r="L19" s="378"/>
      <c r="N19" s="385" t="s">
        <v>60</v>
      </c>
      <c r="O19" s="386"/>
      <c r="P19" s="139">
        <f>I16</f>
        <v>30024.6</v>
      </c>
      <c r="R19" s="299">
        <v>17</v>
      </c>
      <c r="S19" s="300" t="str">
        <f>+'17'!A6:A6</f>
        <v>Aslam Cash N Carry</v>
      </c>
      <c r="T19" s="301">
        <f>+'17'!P35</f>
        <v>0</v>
      </c>
    </row>
    <row r="20" spans="1:20" ht="21.75" customHeight="1" x14ac:dyDescent="0.35">
      <c r="B20" s="379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N20" s="387" t="s">
        <v>85</v>
      </c>
      <c r="O20" s="388"/>
      <c r="P20" s="140">
        <f>+J16</f>
        <v>3002.46</v>
      </c>
      <c r="R20" s="299">
        <v>18</v>
      </c>
      <c r="S20" s="300" t="str">
        <f>+'18'!A6:A6</f>
        <v>Aslam Cash N Carry</v>
      </c>
      <c r="T20" s="301">
        <f>+'18'!P35</f>
        <v>0</v>
      </c>
    </row>
    <row r="21" spans="1:20" ht="21.75" customHeight="1" x14ac:dyDescent="0.35">
      <c r="B21" s="379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N21" s="387" t="s">
        <v>86</v>
      </c>
      <c r="O21" s="388"/>
      <c r="P21" s="140">
        <f>+K16+L16</f>
        <v>1050.8610000000001</v>
      </c>
      <c r="R21" s="299">
        <v>19</v>
      </c>
      <c r="S21" s="300" t="str">
        <f>+'19'!A6:A6</f>
        <v>Aslam Cash N Carry</v>
      </c>
      <c r="T21" s="301">
        <f>+'19'!P35</f>
        <v>0</v>
      </c>
    </row>
    <row r="22" spans="1:20" ht="21.75" customHeight="1" x14ac:dyDescent="0.35">
      <c r="B22" s="379"/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131"/>
      <c r="N22" s="387" t="s">
        <v>87</v>
      </c>
      <c r="O22" s="388"/>
      <c r="P22" s="140">
        <f>P19-P20-P21</f>
        <v>25971.278999999999</v>
      </c>
      <c r="R22" s="299">
        <v>20</v>
      </c>
      <c r="S22" s="300" t="str">
        <f>+'20'!A6:A6</f>
        <v>Aslam Cash N Carry</v>
      </c>
      <c r="T22" s="301">
        <f>+'20'!P35</f>
        <v>0</v>
      </c>
    </row>
    <row r="23" spans="1:20" ht="21.75" customHeight="1" x14ac:dyDescent="0.35">
      <c r="B23" s="379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131"/>
      <c r="N23" s="136" t="s">
        <v>61</v>
      </c>
      <c r="O23" s="133">
        <v>0.18</v>
      </c>
      <c r="P23" s="140">
        <f>+N16</f>
        <v>5674.57627118644</v>
      </c>
      <c r="R23" s="299">
        <v>21</v>
      </c>
      <c r="S23" s="300" t="str">
        <f>+'21'!A6:A6</f>
        <v>Aslam Cash N Carry</v>
      </c>
      <c r="T23" s="301">
        <f>+'21'!P35</f>
        <v>0</v>
      </c>
    </row>
    <row r="24" spans="1:20" ht="21.75" customHeight="1" x14ac:dyDescent="0.35">
      <c r="B24" s="379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131"/>
      <c r="N24" s="389" t="s">
        <v>76</v>
      </c>
      <c r="O24" s="390"/>
      <c r="P24" s="140">
        <f>P22+P23</f>
        <v>31645.855271186439</v>
      </c>
      <c r="R24" s="299">
        <v>22</v>
      </c>
      <c r="S24" s="300" t="str">
        <f>+'22'!A6:A6</f>
        <v>Aslam Cash N Carry</v>
      </c>
      <c r="T24" s="301">
        <f>+'22'!P35</f>
        <v>0</v>
      </c>
    </row>
    <row r="25" spans="1:20" ht="21.75" customHeight="1" thickBot="1" x14ac:dyDescent="0.4">
      <c r="B25" s="382"/>
      <c r="C25" s="383"/>
      <c r="D25" s="383"/>
      <c r="E25" s="383"/>
      <c r="F25" s="383"/>
      <c r="G25" s="383"/>
      <c r="H25" s="383"/>
      <c r="I25" s="383"/>
      <c r="J25" s="383"/>
      <c r="K25" s="383"/>
      <c r="L25" s="384"/>
      <c r="M25" s="99"/>
      <c r="N25" s="138" t="s">
        <v>83</v>
      </c>
      <c r="O25" s="137" t="e">
        <f>IF(#REF!="Filer",0.5%,2.5%)</f>
        <v>#REF!</v>
      </c>
      <c r="P25" s="140">
        <f>+O16</f>
        <v>158.2292763559322</v>
      </c>
      <c r="R25" s="299">
        <v>23</v>
      </c>
      <c r="S25" s="300" t="str">
        <f>+'23'!A6:A6</f>
        <v>Aslam Cash N Carry</v>
      </c>
      <c r="T25" s="301">
        <f>+'23'!P35</f>
        <v>0</v>
      </c>
    </row>
    <row r="26" spans="1:20" ht="21.75" customHeight="1" thickBot="1" x14ac:dyDescent="0.4">
      <c r="N26" s="346" t="s">
        <v>88</v>
      </c>
      <c r="O26" s="347"/>
      <c r="P26" s="297">
        <f>+P24+P25</f>
        <v>31804.08454754237</v>
      </c>
      <c r="R26" s="299">
        <v>24</v>
      </c>
      <c r="S26" s="300" t="str">
        <f>+'24'!A6:A6</f>
        <v>Aslam Cash N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8"/>
      <c r="D27" s="348"/>
      <c r="E27" s="348"/>
      <c r="F27" s="348"/>
      <c r="G27" s="348"/>
      <c r="H27" s="348"/>
      <c r="I27" s="349"/>
      <c r="J27" s="350"/>
      <c r="K27" s="351"/>
      <c r="R27" s="299">
        <v>25</v>
      </c>
      <c r="S27" s="300" t="str">
        <f>+'25'!A6:A6</f>
        <v>Aslam Cash N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Aslam Cash N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Aslam Cash N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Aslam Cash N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Aslam Cash N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Aslam Cash N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31804.08454754237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Summary!H3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119">
        <f t="shared" ref="P17:P24" si="5">M17+N17+O17</f>
        <v>4445.7434656779651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629.55000000000007</v>
      </c>
      <c r="K18" s="128">
        <f t="shared" si="1"/>
        <v>220.34250000000003</v>
      </c>
      <c r="L18" s="119">
        <f t="shared" si="1"/>
        <v>0</v>
      </c>
      <c r="M18" s="230">
        <f t="shared" si="2"/>
        <v>5445.6075000000001</v>
      </c>
      <c r="N18" s="277">
        <f t="shared" si="3"/>
        <v>1189.8305084745757</v>
      </c>
      <c r="O18" s="239">
        <f t="shared" si="4"/>
        <v>33.177190042372878</v>
      </c>
      <c r="P18" s="119">
        <f t="shared" si="5"/>
        <v>6668.6151985169481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119">
        <f t="shared" si="5"/>
        <v>6155.6180501694917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871.68</v>
      </c>
      <c r="K21" s="128">
        <f t="shared" si="1"/>
        <v>305.08800000000002</v>
      </c>
      <c r="L21" s="119">
        <f t="shared" si="1"/>
        <v>0</v>
      </c>
      <c r="M21" s="230">
        <f t="shared" si="2"/>
        <v>7540.0319999999992</v>
      </c>
      <c r="N21" s="277">
        <f t="shared" si="3"/>
        <v>1647.4576271186443</v>
      </c>
      <c r="O21" s="239">
        <f t="shared" si="4"/>
        <v>45.937448135593222</v>
      </c>
      <c r="P21" s="119">
        <f t="shared" si="5"/>
        <v>9233.4270752542379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</v>
      </c>
      <c r="J25" s="274">
        <f>SUM(J16:J24)</f>
        <v>3002.46</v>
      </c>
      <c r="K25" s="275">
        <f t="shared" si="10"/>
        <v>1050.8610000000001</v>
      </c>
      <c r="L25" s="276">
        <f t="shared" si="10"/>
        <v>0</v>
      </c>
      <c r="M25" s="232">
        <f t="shared" si="10"/>
        <v>25971.279000000002</v>
      </c>
      <c r="N25" s="233">
        <f>SUM(N16:N24)</f>
        <v>5674.57627118644</v>
      </c>
      <c r="O25" s="101">
        <f>SUM(O16:O24)</f>
        <v>158.2292763559322</v>
      </c>
      <c r="P25" s="234">
        <f>SUM(P16:P24)</f>
        <v>31804.08454754237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30024.6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3002.46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1050.8610000000001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25971.278999999999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5674.57627118644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31645.855271186439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158.2292763559322</v>
      </c>
    </row>
    <row r="35" spans="2:16" ht="15.75" customHeight="1" thickBot="1" x14ac:dyDescent="0.4">
      <c r="N35" s="346" t="s">
        <v>88</v>
      </c>
      <c r="O35" s="347"/>
      <c r="P35" s="297">
        <f>+P33+P34</f>
        <v>31804.08454754237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'1'!N4:P5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0" t="s">
        <v>91</v>
      </c>
      <c r="B2" s="370"/>
      <c r="C2" s="370"/>
    </row>
    <row r="3" spans="1:22 16383:16384" ht="15" customHeight="1" x14ac:dyDescent="0.35">
      <c r="A3" s="371" t="s">
        <v>92</v>
      </c>
      <c r="B3" s="371"/>
      <c r="C3" s="371"/>
      <c r="F3" s="85"/>
      <c r="G3" s="1"/>
      <c r="K3" s="372" t="s">
        <v>515</v>
      </c>
      <c r="L3" s="372"/>
      <c r="M3" s="372"/>
      <c r="N3" s="371"/>
      <c r="O3" s="371"/>
      <c r="P3" s="37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1" t="s">
        <v>499</v>
      </c>
      <c r="B4" s="371"/>
      <c r="C4" s="371"/>
      <c r="F4" s="85"/>
      <c r="G4" s="1"/>
      <c r="K4" s="372" t="s">
        <v>44</v>
      </c>
      <c r="L4" s="372"/>
      <c r="M4" s="372"/>
      <c r="N4" s="402">
        <f>'1'!N4:P4</f>
        <v>46293</v>
      </c>
      <c r="O4" s="402"/>
      <c r="P4" s="40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72" t="s">
        <v>45</v>
      </c>
      <c r="L5" s="372"/>
      <c r="M5" s="372"/>
      <c r="N5" s="402">
        <f>N4-1</f>
        <v>46292</v>
      </c>
      <c r="O5" s="371"/>
      <c r="P5" s="371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72" t="s">
        <v>69</v>
      </c>
      <c r="L6" s="372"/>
      <c r="M6" s="372"/>
      <c r="N6" s="401" t="str">
        <f>Summary!H2</f>
        <v>Shakoor</v>
      </c>
      <c r="O6" s="401"/>
      <c r="P6" s="40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2" t="s">
        <v>73</v>
      </c>
      <c r="B7" s="372"/>
      <c r="C7" s="372"/>
      <c r="F7" s="85"/>
      <c r="G7" s="86"/>
      <c r="K7" s="372" t="s">
        <v>66</v>
      </c>
      <c r="L7" s="372"/>
      <c r="M7" s="372"/>
      <c r="N7" s="401" t="s">
        <v>505</v>
      </c>
      <c r="O7" s="401"/>
      <c r="P7" s="40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72" t="s">
        <v>67</v>
      </c>
      <c r="L8" s="372"/>
      <c r="M8" s="372"/>
      <c r="N8" s="401" t="s">
        <v>505</v>
      </c>
      <c r="O8" s="401"/>
      <c r="P8" s="401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72" t="s">
        <v>68</v>
      </c>
      <c r="L9" s="372"/>
      <c r="M9" s="372"/>
      <c r="N9" s="401" t="s">
        <v>104</v>
      </c>
      <c r="O9" s="401"/>
      <c r="P9" s="401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72" t="s">
        <v>46</v>
      </c>
      <c r="L10" s="372"/>
      <c r="M10" s="372"/>
      <c r="N10" s="371" t="s">
        <v>47</v>
      </c>
      <c r="O10" s="371"/>
      <c r="P10" s="37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2" t="s">
        <v>48</v>
      </c>
      <c r="L11" s="372"/>
      <c r="M11" s="372"/>
      <c r="N11" s="401" t="s">
        <v>49</v>
      </c>
      <c r="O11" s="401"/>
      <c r="P11" s="40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2" t="s">
        <v>50</v>
      </c>
      <c r="L12" s="372"/>
      <c r="M12" s="372"/>
      <c r="N12" s="371"/>
      <c r="O12" s="371"/>
      <c r="P12" s="37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1" t="s">
        <v>51</v>
      </c>
      <c r="B14" s="363"/>
      <c r="C14" s="393" t="s">
        <v>90</v>
      </c>
      <c r="D14" s="115" t="s">
        <v>52</v>
      </c>
      <c r="E14" s="395" t="s">
        <v>58</v>
      </c>
      <c r="F14" s="396"/>
      <c r="G14" s="368" t="s">
        <v>54</v>
      </c>
      <c r="H14" s="369"/>
      <c r="I14" s="397" t="s">
        <v>77</v>
      </c>
      <c r="J14" s="367" t="s">
        <v>55</v>
      </c>
      <c r="K14" s="368"/>
      <c r="L14" s="369"/>
      <c r="M14" s="363" t="s">
        <v>84</v>
      </c>
      <c r="N14" s="365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2"/>
      <c r="B15" s="364"/>
      <c r="C15" s="394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6"/>
      <c r="J15" s="321">
        <v>0.1</v>
      </c>
      <c r="K15" s="144" t="s">
        <v>39</v>
      </c>
      <c r="L15" s="145" t="s">
        <v>493</v>
      </c>
      <c r="M15" s="364"/>
      <c r="N15" s="36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8"/>
      <c r="N28" s="385" t="s">
        <v>60</v>
      </c>
      <c r="O28" s="386"/>
      <c r="P28" s="139">
        <f>I25</f>
        <v>0</v>
      </c>
    </row>
    <row r="29" spans="1:22 16384:16384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N29" s="387" t="s">
        <v>85</v>
      </c>
      <c r="O29" s="388"/>
      <c r="P29" s="140">
        <f>+J25</f>
        <v>0</v>
      </c>
    </row>
    <row r="30" spans="1:22 16384:16384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N30" s="387" t="s">
        <v>86</v>
      </c>
      <c r="O30" s="388"/>
      <c r="P30" s="140">
        <f>+K25+L25</f>
        <v>0</v>
      </c>
    </row>
    <row r="31" spans="1:22 16384:16384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131"/>
      <c r="N31" s="387" t="s">
        <v>87</v>
      </c>
      <c r="O31" s="388"/>
      <c r="P31" s="140">
        <f>P28-P29-P30</f>
        <v>0</v>
      </c>
    </row>
    <row r="32" spans="1:22 16384:16384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131"/>
      <c r="N33" s="389" t="s">
        <v>76</v>
      </c>
      <c r="O33" s="390"/>
      <c r="P33" s="140">
        <f>P31+P32</f>
        <v>0</v>
      </c>
    </row>
    <row r="34" spans="2:16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3"/>
      <c r="L34" s="38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6" t="s">
        <v>88</v>
      </c>
      <c r="O35" s="347"/>
      <c r="P35" s="297">
        <f>+P33+P34</f>
        <v>0</v>
      </c>
    </row>
    <row r="36" spans="2:16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350"/>
      <c r="K36" s="351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0" t="s">
        <v>91</v>
      </c>
      <c r="B2" s="370"/>
      <c r="C2" s="370"/>
    </row>
    <row r="3" spans="1:18 16382:16383" ht="15" customHeight="1" x14ac:dyDescent="0.35">
      <c r="A3" s="371" t="s">
        <v>92</v>
      </c>
      <c r="B3" s="371"/>
      <c r="C3" s="371"/>
      <c r="F3" s="85"/>
      <c r="G3" s="1"/>
      <c r="J3" s="372" t="s">
        <v>43</v>
      </c>
      <c r="K3" s="372"/>
      <c r="L3" s="372"/>
      <c r="M3" s="371"/>
      <c r="N3" s="371"/>
      <c r="O3" s="37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1" t="s">
        <v>65</v>
      </c>
      <c r="B4" s="371"/>
      <c r="C4" s="371"/>
      <c r="F4" s="85"/>
      <c r="G4" s="1"/>
      <c r="J4" s="372" t="s">
        <v>44</v>
      </c>
      <c r="K4" s="372"/>
      <c r="L4" s="372"/>
      <c r="M4" s="402">
        <f ca="1">TODAY()+1</f>
        <v>46296</v>
      </c>
      <c r="N4" s="402"/>
      <c r="O4" s="40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72" t="s">
        <v>45</v>
      </c>
      <c r="K5" s="372"/>
      <c r="L5" s="372"/>
      <c r="M5" s="402">
        <f ca="1">M4-1</f>
        <v>46295</v>
      </c>
      <c r="N5" s="371"/>
      <c r="O5" s="371"/>
      <c r="Q5" s="85"/>
      <c r="R5" s="1"/>
    </row>
    <row r="6" spans="1:18 16382:16383" ht="15" customHeight="1" x14ac:dyDescent="0.35">
      <c r="A6" s="372" t="s">
        <v>94</v>
      </c>
      <c r="B6" s="372"/>
      <c r="C6" s="372"/>
      <c r="F6" s="85"/>
      <c r="G6" s="86"/>
      <c r="J6" s="372" t="s">
        <v>69</v>
      </c>
      <c r="K6" s="372"/>
      <c r="L6" s="372"/>
      <c r="M6" s="401" t="s">
        <v>62</v>
      </c>
      <c r="N6" s="401"/>
      <c r="O6" s="40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2" t="s">
        <v>73</v>
      </c>
      <c r="B7" s="372"/>
      <c r="C7" s="372"/>
      <c r="F7" s="85"/>
      <c r="G7" s="86"/>
      <c r="J7" s="372" t="s">
        <v>66</v>
      </c>
      <c r="K7" s="372"/>
      <c r="L7" s="372"/>
      <c r="M7" s="401" t="s">
        <v>70</v>
      </c>
      <c r="N7" s="401"/>
      <c r="O7" s="40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72" t="s">
        <v>67</v>
      </c>
      <c r="K8" s="372"/>
      <c r="L8" s="372"/>
      <c r="M8" s="401" t="s">
        <v>71</v>
      </c>
      <c r="N8" s="401"/>
      <c r="O8" s="401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72" t="s">
        <v>68</v>
      </c>
      <c r="K9" s="372"/>
      <c r="L9" s="372"/>
      <c r="M9" s="401" t="s">
        <v>104</v>
      </c>
      <c r="N9" s="401"/>
      <c r="O9" s="401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72" t="s">
        <v>46</v>
      </c>
      <c r="K10" s="372"/>
      <c r="L10" s="372"/>
      <c r="M10" s="371" t="s">
        <v>47</v>
      </c>
      <c r="N10" s="371"/>
      <c r="O10" s="37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2" t="s">
        <v>48</v>
      </c>
      <c r="K11" s="372"/>
      <c r="L11" s="372"/>
      <c r="M11" s="371" t="s">
        <v>49</v>
      </c>
      <c r="N11" s="371"/>
      <c r="O11" s="37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2" t="s">
        <v>50</v>
      </c>
      <c r="K12" s="372"/>
      <c r="L12" s="372"/>
      <c r="M12" s="371"/>
      <c r="N12" s="371"/>
      <c r="O12" s="37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1" t="s">
        <v>51</v>
      </c>
      <c r="B14" s="363"/>
      <c r="C14" s="393" t="s">
        <v>90</v>
      </c>
      <c r="D14" s="88" t="s">
        <v>52</v>
      </c>
      <c r="E14" s="95" t="s">
        <v>74</v>
      </c>
      <c r="F14" s="115" t="s">
        <v>53</v>
      </c>
      <c r="G14" s="367" t="s">
        <v>54</v>
      </c>
      <c r="H14" s="369"/>
      <c r="I14" s="397" t="s">
        <v>77</v>
      </c>
      <c r="J14" s="368" t="s">
        <v>55</v>
      </c>
      <c r="K14" s="369"/>
      <c r="L14" s="397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2"/>
      <c r="B15" s="364"/>
      <c r="C15" s="394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6"/>
      <c r="J15" s="144" t="s">
        <v>39</v>
      </c>
      <c r="K15" s="145" t="s">
        <v>59</v>
      </c>
      <c r="L15" s="36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3">
        <f>COUNT(A16:A24)</f>
        <v>0</v>
      </c>
      <c r="B25" s="374"/>
      <c r="C25" s="374" t="s">
        <v>40</v>
      </c>
      <c r="D25" s="374"/>
      <c r="E25" s="374"/>
      <c r="F25" s="37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6" t="s">
        <v>64</v>
      </c>
      <c r="C28" s="377"/>
      <c r="D28" s="377"/>
      <c r="E28" s="377"/>
      <c r="F28" s="377"/>
      <c r="G28" s="377"/>
      <c r="H28" s="377"/>
      <c r="I28" s="377"/>
      <c r="J28" s="377"/>
      <c r="K28" s="378"/>
      <c r="M28" s="385" t="s">
        <v>60</v>
      </c>
      <c r="N28" s="386"/>
      <c r="O28" s="139">
        <f>I25</f>
        <v>1452.8</v>
      </c>
    </row>
    <row r="29" spans="1:18 16383:16383" ht="15" customHeight="1" x14ac:dyDescent="0.35">
      <c r="B29" s="379"/>
      <c r="C29" s="380"/>
      <c r="D29" s="380"/>
      <c r="E29" s="380"/>
      <c r="F29" s="380"/>
      <c r="G29" s="380"/>
      <c r="H29" s="380"/>
      <c r="I29" s="380"/>
      <c r="J29" s="380"/>
      <c r="K29" s="381"/>
      <c r="M29" s="387" t="s">
        <v>85</v>
      </c>
      <c r="N29" s="388"/>
      <c r="O29" s="140">
        <f>K25</f>
        <v>0</v>
      </c>
    </row>
    <row r="30" spans="1:18 16383:16383" ht="15" customHeight="1" x14ac:dyDescent="0.35">
      <c r="B30" s="379"/>
      <c r="C30" s="380"/>
      <c r="D30" s="380"/>
      <c r="E30" s="380"/>
      <c r="F30" s="380"/>
      <c r="G30" s="380"/>
      <c r="H30" s="380"/>
      <c r="I30" s="380"/>
      <c r="J30" s="380"/>
      <c r="K30" s="381"/>
      <c r="M30" s="387" t="s">
        <v>86</v>
      </c>
      <c r="N30" s="388"/>
      <c r="O30" s="140">
        <f>J25</f>
        <v>50.848000000000006</v>
      </c>
    </row>
    <row r="31" spans="1:18 16383:16383" ht="15" customHeight="1" x14ac:dyDescent="0.35">
      <c r="B31" s="379"/>
      <c r="C31" s="380"/>
      <c r="D31" s="380"/>
      <c r="E31" s="380"/>
      <c r="F31" s="380"/>
      <c r="G31" s="380"/>
      <c r="H31" s="380"/>
      <c r="I31" s="380"/>
      <c r="J31" s="380"/>
      <c r="K31" s="381"/>
      <c r="L31" s="131"/>
      <c r="M31" s="387" t="s">
        <v>87</v>
      </c>
      <c r="N31" s="388"/>
      <c r="O31" s="140">
        <f>O28-O29-O30</f>
        <v>1401.952</v>
      </c>
    </row>
    <row r="32" spans="1:18 16383:16383" ht="15" customHeight="1" x14ac:dyDescent="0.35">
      <c r="B32" s="379"/>
      <c r="C32" s="380"/>
      <c r="D32" s="380"/>
      <c r="E32" s="380"/>
      <c r="F32" s="380"/>
      <c r="G32" s="380"/>
      <c r="H32" s="380"/>
      <c r="I32" s="380"/>
      <c r="J32" s="380"/>
      <c r="K32" s="38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9"/>
      <c r="C33" s="380"/>
      <c r="D33" s="380"/>
      <c r="E33" s="380"/>
      <c r="F33" s="380"/>
      <c r="G33" s="380"/>
      <c r="H33" s="380"/>
      <c r="I33" s="380"/>
      <c r="J33" s="380"/>
      <c r="K33" s="381"/>
      <c r="L33" s="131"/>
      <c r="M33" s="389" t="s">
        <v>76</v>
      </c>
      <c r="N33" s="390"/>
      <c r="O33" s="140">
        <f>O31+O32</f>
        <v>1710.3814400000001</v>
      </c>
    </row>
    <row r="34" spans="2:15" ht="15" customHeight="1" thickBot="1" x14ac:dyDescent="0.4">
      <c r="B34" s="382"/>
      <c r="C34" s="383"/>
      <c r="D34" s="383"/>
      <c r="E34" s="383"/>
      <c r="F34" s="383"/>
      <c r="G34" s="383"/>
      <c r="H34" s="383"/>
      <c r="I34" s="383"/>
      <c r="J34" s="383"/>
      <c r="K34" s="38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6" t="s">
        <v>88</v>
      </c>
      <c r="N35" s="347"/>
      <c r="O35" s="141">
        <f>O28-O29+O31+O34</f>
        <v>2897.511536</v>
      </c>
    </row>
    <row r="36" spans="2:15" ht="15" thickBot="1" x14ac:dyDescent="0.4">
      <c r="B36" s="121" t="s">
        <v>63</v>
      </c>
      <c r="C36" s="348"/>
      <c r="D36" s="348"/>
      <c r="E36" s="348"/>
      <c r="F36" s="348"/>
      <c r="G36" s="348"/>
      <c r="H36" s="348"/>
      <c r="I36" s="349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5" t="s">
        <v>439</v>
      </c>
      <c r="E1" s="338" t="s">
        <v>58</v>
      </c>
      <c r="F1" s="338"/>
      <c r="G1" s="339" t="s">
        <v>440</v>
      </c>
      <c r="H1" s="339"/>
      <c r="I1" s="412" t="s">
        <v>441</v>
      </c>
      <c r="J1" s="412"/>
      <c r="K1" s="412" t="s">
        <v>442</v>
      </c>
      <c r="L1" s="412"/>
      <c r="M1" s="407" t="s">
        <v>484</v>
      </c>
      <c r="N1" s="408"/>
      <c r="O1" s="409"/>
    </row>
    <row r="2" spans="3:24" ht="29" x14ac:dyDescent="0.35">
      <c r="C2" s="338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06" t="s">
        <v>58</v>
      </c>
      <c r="F7" s="406"/>
      <c r="G7" s="404" t="s">
        <v>440</v>
      </c>
      <c r="H7" s="339"/>
      <c r="I7" s="340" t="s">
        <v>441</v>
      </c>
      <c r="J7" s="341"/>
      <c r="K7" s="340" t="s">
        <v>442</v>
      </c>
      <c r="L7" s="341"/>
      <c r="M7" s="407" t="s">
        <v>484</v>
      </c>
      <c r="N7" s="408"/>
      <c r="O7" s="409"/>
      <c r="P7" s="256" t="s">
        <v>475</v>
      </c>
      <c r="Q7" s="242" t="s">
        <v>473</v>
      </c>
      <c r="R7" s="405" t="s">
        <v>475</v>
      </c>
      <c r="S7" s="405" t="s">
        <v>485</v>
      </c>
      <c r="T7" s="403" t="s">
        <v>486</v>
      </c>
      <c r="U7" s="403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04"/>
      <c r="U8" s="40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7" t="s">
        <v>484</v>
      </c>
      <c r="N13" s="408"/>
      <c r="O13" s="409"/>
      <c r="P13" s="256" t="s">
        <v>475</v>
      </c>
      <c r="Q13" s="242" t="s">
        <v>473</v>
      </c>
      <c r="R13" s="405" t="s">
        <v>475</v>
      </c>
      <c r="S13" s="405" t="s">
        <v>485</v>
      </c>
      <c r="T13" s="403" t="s">
        <v>486</v>
      </c>
      <c r="U13" s="403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04"/>
      <c r="U14" s="40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7" t="s">
        <v>484</v>
      </c>
      <c r="N20" s="408"/>
      <c r="O20" s="409"/>
      <c r="P20" s="256" t="s">
        <v>475</v>
      </c>
      <c r="Q20" s="242" t="s">
        <v>473</v>
      </c>
      <c r="R20" s="405" t="s">
        <v>475</v>
      </c>
      <c r="S20" s="405" t="s">
        <v>485</v>
      </c>
      <c r="T20" s="403" t="s">
        <v>486</v>
      </c>
      <c r="U20" s="403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04"/>
      <c r="U21" s="40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7" t="s">
        <v>484</v>
      </c>
      <c r="N27" s="408"/>
      <c r="O27" s="409"/>
      <c r="P27" s="256" t="s">
        <v>475</v>
      </c>
      <c r="Q27" s="242" t="s">
        <v>473</v>
      </c>
      <c r="R27" s="405" t="s">
        <v>475</v>
      </c>
      <c r="S27" s="405" t="s">
        <v>485</v>
      </c>
      <c r="T27" s="403" t="s">
        <v>486</v>
      </c>
      <c r="U27" s="403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04"/>
      <c r="U28" s="40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5" t="s">
        <v>439</v>
      </c>
      <c r="D1" s="338" t="s">
        <v>58</v>
      </c>
      <c r="E1" s="338"/>
      <c r="F1" s="339" t="s">
        <v>440</v>
      </c>
      <c r="G1" s="339"/>
      <c r="H1" s="412" t="s">
        <v>441</v>
      </c>
      <c r="I1" s="412"/>
      <c r="J1" s="412" t="s">
        <v>442</v>
      </c>
      <c r="K1" s="412"/>
      <c r="L1" s="407" t="s">
        <v>484</v>
      </c>
      <c r="M1" s="408"/>
      <c r="N1" s="409"/>
    </row>
    <row r="2" spans="2:17" ht="29" x14ac:dyDescent="0.35">
      <c r="B2" s="338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5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2026-09-30T05:17:25Z</dcterms:modified>
</cp:coreProperties>
</file>