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6F7B20A-5FAB-4C5F-B4FF-0D124419EB7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7"/>
  <c r="N4" i="70"/>
  <c r="N4" i="51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4" i="67"/>
  <c r="N5" i="67" s="1"/>
  <c r="N4" i="53"/>
  <c r="N4" i="63"/>
  <c r="N5" i="63" s="1"/>
  <c r="N4" i="45"/>
  <c r="N4" i="58"/>
  <c r="N4" i="68"/>
  <c r="N5" i="68" s="1"/>
  <c r="N5" i="11"/>
  <c r="N4" i="50"/>
  <c r="N4" i="55"/>
  <c r="N20" i="69"/>
  <c r="N4" i="46"/>
  <c r="N5" i="46" s="1"/>
  <c r="N4" i="69"/>
  <c r="N5" i="69" s="1"/>
  <c r="N4" i="65"/>
  <c r="N5" i="65" s="1"/>
  <c r="N4" i="59"/>
  <c r="N4" i="61"/>
  <c r="N5" i="61" s="1"/>
  <c r="N4" i="60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C11" i="43" s="1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N16" i="53" l="1"/>
  <c r="N16" i="56"/>
  <c r="N16" i="63"/>
  <c r="N16" i="58"/>
  <c r="N16" i="48"/>
  <c r="N16" i="50"/>
  <c r="N16" i="59"/>
  <c r="N16" i="44"/>
  <c r="N24" i="46"/>
  <c r="N24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39" i="41"/>
  <c r="P39" i="41" s="1"/>
  <c r="O13" i="41"/>
  <c r="P13" i="41" s="1"/>
  <c r="O26" i="41"/>
  <c r="P26" i="41" s="1"/>
  <c r="O9" i="41"/>
  <c r="P9" i="41" s="1"/>
  <c r="O15" i="41"/>
  <c r="P15" i="41" s="1"/>
  <c r="O10" i="41"/>
  <c r="P10" i="41" s="1"/>
  <c r="O5" i="41"/>
  <c r="P5" i="41" s="1"/>
  <c r="O35" i="41"/>
  <c r="P35" i="41" s="1"/>
  <c r="O49" i="41"/>
  <c r="P49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8" i="11" l="1"/>
  <c r="N9" i="62" s="1"/>
  <c r="N22" i="11"/>
  <c r="N13" i="62" s="1"/>
  <c r="N23" i="11"/>
  <c r="N14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W6" i="6" s="1"/>
  <c r="Y6" i="6" s="1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O8" i="6"/>
  <c r="U8" i="6" s="1"/>
  <c r="N9" i="6"/>
  <c r="C12" i="11"/>
  <c r="O34" i="11"/>
  <c r="C11" i="11" s="1"/>
  <c r="J25" i="61" l="1"/>
  <c r="P29" i="61" s="1"/>
  <c r="M20" i="61"/>
  <c r="O20" i="61" s="1"/>
  <c r="P20" i="61" s="1"/>
  <c r="R20" i="61" s="1"/>
  <c r="M21" i="43"/>
  <c r="O21" i="43" s="1"/>
  <c r="P21" i="43" s="1"/>
  <c r="M23" i="58"/>
  <c r="O23" i="58" s="1"/>
  <c r="P23" i="58" s="1"/>
  <c r="M16" i="60"/>
  <c r="M16" i="58"/>
  <c r="M16" i="59"/>
  <c r="M16" i="43"/>
  <c r="P16" i="43" s="1"/>
  <c r="M24" i="44"/>
  <c r="O24" i="44" s="1"/>
  <c r="P24" i="44" s="1"/>
  <c r="M23" i="65"/>
  <c r="M16" i="48"/>
  <c r="M24" i="53"/>
  <c r="O24" i="53" s="1"/>
  <c r="P24" i="53" s="1"/>
  <c r="M23" i="59"/>
  <c r="M16" i="66"/>
  <c r="M22" i="56"/>
  <c r="O22" i="56" s="1"/>
  <c r="P22" i="56" s="1"/>
  <c r="M24" i="63"/>
  <c r="O24" i="63" s="1"/>
  <c r="P24" i="63" s="1"/>
  <c r="M21" i="68"/>
  <c r="O21" i="68" s="1"/>
  <c r="P21" i="68" s="1"/>
  <c r="L21" i="16"/>
  <c r="M23" i="60"/>
  <c r="M24" i="72"/>
  <c r="O24" i="72" s="1"/>
  <c r="P24" i="72" s="1"/>
  <c r="M24" i="43"/>
  <c r="O24" i="43" s="1"/>
  <c r="P24" i="43" s="1"/>
  <c r="M24" i="66"/>
  <c r="O24" i="66" s="1"/>
  <c r="P24" i="66" s="1"/>
  <c r="M21" i="51"/>
  <c r="M23" i="72"/>
  <c r="O23" i="72" s="1"/>
  <c r="P23" i="72" s="1"/>
  <c r="M23" i="64"/>
  <c r="M23" i="61"/>
  <c r="O23" i="61" s="1"/>
  <c r="P23" i="61" s="1"/>
  <c r="M23" i="53"/>
  <c r="O23" i="53" s="1"/>
  <c r="P23" i="53" s="1"/>
  <c r="M16" i="44"/>
  <c r="O16" i="44" s="1"/>
  <c r="M20" i="43"/>
  <c r="O20" i="43" s="1"/>
  <c r="P20" i="43" s="1"/>
  <c r="R20" i="43" s="1"/>
  <c r="L17" i="16"/>
  <c r="M16" i="72"/>
  <c r="J7" i="62"/>
  <c r="M22" i="64"/>
  <c r="O22" i="64" s="1"/>
  <c r="P22" i="64" s="1"/>
  <c r="M21" i="47"/>
  <c r="O21" i="47" s="1"/>
  <c r="P21" i="47" s="1"/>
  <c r="M17" i="61"/>
  <c r="O17" i="61" s="1"/>
  <c r="P17" i="61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4" i="65"/>
  <c r="O24" i="65" s="1"/>
  <c r="P24" i="65" s="1"/>
  <c r="M21" i="69"/>
  <c r="O21" i="69" s="1"/>
  <c r="P21" i="69" s="1"/>
  <c r="M23" i="52"/>
  <c r="O23" i="52" s="1"/>
  <c r="P23" i="52" s="1"/>
  <c r="M22" i="70"/>
  <c r="M20" i="50"/>
  <c r="O20" i="50" s="1"/>
  <c r="P20" i="50" s="1"/>
  <c r="R20" i="50" s="1"/>
  <c r="J15" i="62"/>
  <c r="K15" i="62"/>
  <c r="M24" i="45"/>
  <c r="O24" i="45" s="1"/>
  <c r="P24" i="45" s="1"/>
  <c r="M16" i="64"/>
  <c r="M17" i="60"/>
  <c r="O17" i="60" s="1"/>
  <c r="P17" i="60" s="1"/>
  <c r="M23" i="51"/>
  <c r="O23" i="51" s="1"/>
  <c r="P23" i="51" s="1"/>
  <c r="M23" i="54"/>
  <c r="O23" i="54" s="1"/>
  <c r="P23" i="54" s="1"/>
  <c r="T6" i="6"/>
  <c r="V6" i="6" s="1"/>
  <c r="X6" i="6" s="1"/>
  <c r="AC6" i="6" s="1"/>
  <c r="K12" i="62"/>
  <c r="M17" i="56"/>
  <c r="O17" i="56" s="1"/>
  <c r="P17" i="56" s="1"/>
  <c r="M17" i="44"/>
  <c r="O17" i="44" s="1"/>
  <c r="P17" i="4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2" i="67"/>
  <c r="O22" i="67" s="1"/>
  <c r="P22" i="67" s="1"/>
  <c r="M24" i="50"/>
  <c r="O24" i="50" s="1"/>
  <c r="P24" i="50" s="1"/>
  <c r="M24" i="48"/>
  <c r="O24" i="48" s="1"/>
  <c r="M16" i="52"/>
  <c r="M22" i="51"/>
  <c r="M18" i="48"/>
  <c r="O18" i="48" s="1"/>
  <c r="P18" i="48" s="1"/>
  <c r="M23" i="48"/>
  <c r="M18" i="67"/>
  <c r="O18" i="67" s="1"/>
  <c r="P18" i="67" s="1"/>
  <c r="M17" i="72"/>
  <c r="O17" i="72" s="1"/>
  <c r="P17" i="72" s="1"/>
  <c r="M22" i="43"/>
  <c r="O22" i="43" s="1"/>
  <c r="P22" i="43" s="1"/>
  <c r="M23" i="56"/>
  <c r="O23" i="56" s="1"/>
  <c r="M16" i="65"/>
  <c r="M22" i="63"/>
  <c r="O22" i="63" s="1"/>
  <c r="P22" i="63" s="1"/>
  <c r="M24" i="47"/>
  <c r="O24" i="47" s="1"/>
  <c r="P24" i="47" s="1"/>
  <c r="M24" i="46"/>
  <c r="O24" i="46" s="1"/>
  <c r="P24" i="46" s="1"/>
  <c r="M23" i="44"/>
  <c r="O23" i="44" s="1"/>
  <c r="P23" i="44" s="1"/>
  <c r="M20" i="70"/>
  <c r="O20" i="70" s="1"/>
  <c r="P20" i="70" s="1"/>
  <c r="R20" i="70" s="1"/>
  <c r="M24" i="58"/>
  <c r="O24" i="58" s="1"/>
  <c r="P24" i="58" s="1"/>
  <c r="M23" i="66"/>
  <c r="O23" i="66" s="1"/>
  <c r="P23" i="66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18" i="43"/>
  <c r="P18" i="43" s="1"/>
  <c r="O23" i="64"/>
  <c r="P23" i="64" s="1"/>
  <c r="O24" i="71"/>
  <c r="P24" i="71" s="1"/>
  <c r="O23" i="59"/>
  <c r="P23" i="59" s="1"/>
  <c r="O23" i="69"/>
  <c r="P23" i="69" s="1"/>
  <c r="O16" i="67"/>
  <c r="P16" i="67" s="1"/>
  <c r="O22" i="51"/>
  <c r="P22" i="51" s="1"/>
  <c r="O23" i="60"/>
  <c r="P23" i="60" s="1"/>
  <c r="O16" i="64"/>
  <c r="P16" i="64" s="1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L25" i="71"/>
  <c r="J25" i="67"/>
  <c r="P29" i="67" s="1"/>
  <c r="O16" i="60"/>
  <c r="P16" i="60" s="1"/>
  <c r="L25" i="60"/>
  <c r="K25" i="46"/>
  <c r="K25" i="58"/>
  <c r="K25" i="53"/>
  <c r="K25" i="59"/>
  <c r="O16" i="43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7" i="6"/>
  <c r="X7" i="6" s="1"/>
  <c r="H25" i="11"/>
  <c r="G25" i="11"/>
  <c r="A25" i="11"/>
  <c r="N24" i="16" l="1"/>
  <c r="O24" i="16"/>
  <c r="P21" i="50"/>
  <c r="P23" i="56"/>
  <c r="M12" i="62"/>
  <c r="P24" i="48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O25" i="64"/>
  <c r="O15" i="62"/>
  <c r="P15" i="62" s="1"/>
  <c r="O25" i="69"/>
  <c r="O18" i="16"/>
  <c r="O25" i="55"/>
  <c r="O19" i="16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<sst xmlns="http://schemas.openxmlformats.org/spreadsheetml/2006/main" count="3948" uniqueCount="524">
  <si>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</si>
  <si>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</si>
  <si>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</si>
  <si>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</si>
  <si>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</si>
  <si>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</si>
  <si>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</si>
  <si>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</si>
  <si>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</si>
  <si>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</si>
  <si>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</si>
  <si>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</si>
  <si>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</si>
  <si>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</si>
  <si>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</si>
  <si>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</si>
  <si>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</si>
  <si>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</si>
  <si>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</si>
  <si>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</si>
  <si>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</si>
  <si>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</si>
  <si>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</si>
  <si>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</si>
  <si>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</si>
  <si>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</si>
  <si>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</si>
  <si>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</si>
  <si>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</si>
  <si>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</si>
  <si>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</si>
  <si>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</si>
  <si>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</si>
  <si>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</si>
  <si>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</si>
  <si>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</si>
  <si>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</si>
  <si>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</si>
  <si>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</si>
  <si>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</si>
  <si>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</si>
  <si>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</si>
  <si>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</si>
  <si>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</si>
  <si>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</si>
  <si>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</si>
  <si>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</si>
  <si>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</si>
  <si>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</si>
  <si>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</si>
  <si>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</si>
  <si>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</si>
  <si>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</si>
  <si>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</si>
  <si>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</si>
  <si>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</si>
  <si>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</si>
  <si>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</si>
  <si>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</si>
  <si>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</si>
  <si>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</si>
  <si>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</si>
  <si>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</si>
  <si>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</si>
  <si>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</si>
  <si>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</si>
  <si>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</si>
  <si>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</si>
  <si>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</si>
  <si>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</si>
  <si>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</si>
  <si>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</si>
  <si>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</si>
  <si>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</si>
  <si>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</si>
  <si>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</si>
  <si>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</si>
  <si>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</si>
  <si>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</si>
  <si>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</si>
  <si>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</si>
  <si>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</si>
  <si>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</si>
  <si>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</si>
  <si>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</si>
  <si>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</si>
  <si>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</si>
  <si>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</si>
  <si>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</si>
  <si>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</si>
  <si>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</si>
  <si>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</si>
  <si>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</si>
  <si>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</si>
  <si>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</si>
  <si>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</si>
  <si>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</si>
  <si>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</si>
  <si>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</si>
  <si>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</si>
  <si>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</si>
  <si>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</si>
  <si>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</si>
  <si>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</si>
  <si>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</si>
  <si>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</si>
  <si>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</si>
  <si>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</si>
  <si>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</si>
  <si>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</si>
  <si>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</si>
  <si>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</si>
  <si>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</si>
  <si>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</si>
  <si>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</si>
  <si>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</si>
  <si>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</si>
  <si>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</si>
  <si>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</si>
  <si>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</si>
  <si>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</si>
  <si>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</si>
  <si>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</si>
  <si>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</si>
  <si>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</si>
  <si>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</si>
  <si>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</si>
  <si>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</si>
  <si>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</si>
  <si>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</si>
  <si>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</si>
  <si>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</si>
  <si>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</si>
  <si>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</si>
  <si>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</si>
  <si>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</si>
  <si>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</si>
  <si>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</si>
  <si>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</si>
  <si>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</si>
  <si>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</si>
  <si>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</si>
  <si>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</si>
  <si>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</si>
  <si>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</si>
  <si>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</si>
  <si>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</si>
  <si>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</si>
  <si>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</si>
  <si>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</si>
  <si>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</si>
  <si>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</si>
  <si>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</si>
  <si>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</si>
  <si>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</si>
  <si>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</si>
  <si>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</si>
  <si>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</si>
  <si>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</si>
  <si>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</si>
  <si>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</si>
  <si>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</si>
  <si>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</si>
  <si>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</si>
  <si>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</si>
  <si>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</si>
  <si>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</si>
  <si>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</si>
  <si>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</si>
  <si>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</si>
  <si>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</si>
  <si>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</si>
  <si>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</si>
  <si>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</si>
  <si>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</si>
  <si>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</si>
  <si>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</si>
  <si>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</si>
  <si>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</si>
  <si>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</si>
  <si>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</si>
  <si>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</si>
  <si>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</si>
  <si>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</si>
  <si>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</si>
  <si>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</si>
  <si>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</si>
  <si>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</si>
  <si>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</si>
  <si>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</si>
  <si>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</si>
  <si>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</si>
  <si>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</si>
  <si>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</si>
  <si>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</si>
  <si>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</si>
  <si>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</si>
  <si>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</si>
  <si>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</si>
  <si>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</si>
  <si>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</si>
  <si>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</si>
  <si>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</si>
  <si>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</si>
  <si>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</si>
  <si>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</si>
  <si>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</si>
  <si>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</si>
  <si>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</si>
  <si>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</si>
  <si>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</si>
  <si>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</si>
  <si>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</si>
  <si>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</si>
  <si>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</si>
  <si>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</si>
  <si>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</si>
  <si>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</si>
  <si>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</si>
  <si>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</si>
  <si>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</si>
  <si>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</si>
  <si>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</si>
  <si>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</si>
  <si>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</si>
  <si>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</si>
  <si>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</si>
  <si>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</si>
  <si>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</si>
  <si>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</si>
  <si>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</si>
  <si>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</si>
  <si>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</si>
  <si>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</si>
  <si>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</si>
  <si>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</si>
  <si>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</si>
  <si>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</si>
  <si>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</si>
  <si>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</si>
  <si>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</si>
  <si>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</si>
  <si>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</si>
  <si>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</si>
  <si>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</si>
  <si>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</si>
  <si>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</si>
  <si>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</si>
  <si>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</si>
  <si>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</si>
  <si>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</si>
  <si>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</si>
  <si>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</si>
  <si>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</si>
  <si>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</si>
  <si>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</si>
  <si>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</si>
  <si>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</si>
  <si>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</si>
  <si>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</si>
  <si>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</si>
  <si>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</si>
  <si>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</si>
  <si>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</si>
  <si>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</si>
  <si>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</si>
  <si>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</si>
  <si>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</si>
  <si>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</si>
  <si>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</si>
  <si>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</si>
  <si>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</si>
  <si>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</si>
  <si>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</si>
  <si>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</si>
  <si>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</si>
  <si>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</si>
  <si>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</si>
  <si>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</si>
  <si>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</si>
  <si>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</si>
  <si>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</si>
  <si>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</si>
  <si>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</si>
  <si>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</si>
  <si>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</si>
  <si>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</si>
  <si>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</si>
  <si>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</si>
  <si>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</si>
  <si>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</si>
  <si>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</si>
  <si>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</si>
  <si>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</si>
  <si>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</si>
  <si>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</si>
  <si>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</si>
  <si>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</si>
  <si>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</si>
  <si>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</si>
  <si>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</si>
  <si>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</si>
  <si>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</si>
  <si>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</si>
  <si>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</si>
  <si>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</si>
  <si>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</si>
  <si>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</si>
  <si>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</si>
  <si>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</si>
  <si>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</si>
  <si>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</si>
  <si>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</si>
  <si>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</si>
  <si>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</si>
  <si>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</si>
  <si>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</si>
  <si>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</si>
  <si>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</si>
  <si>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</si>
  <si>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</si>
  <si>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</si>
  <si>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</si>
  <si>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</si>
  <si>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</si>
  <si>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</si>
  <si>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</si>
  <si>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</si>
  <si>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</si>
  <si>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</si>
  <si>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</si>
  <si>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</si>
  <si>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</si>
  <si>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</si>
  <si>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</si>
  <si>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</si>
  <si>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</si>
  <si>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</si>
  <si>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</si>
  <si>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</si>
  <si>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</si>
  <si>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</si>
  <si>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</si>
  <si>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</si>
  <si>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</si>
  <si>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</si>
  <si>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</si>
  <si>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</si>
  <si>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</si>
  <si>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</si>
  <si>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</si>
  <si>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</si>
  <si>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</si>
  <si>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</si>
  <si>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</si>
  <si>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</si>
  <si>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</si>
  <si>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</si>
  <si>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</si>
  <si>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</si>
  <si>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</si>
  <si>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</si>
  <si>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</si>
  <si>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</si>
  <si>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</si>
  <si>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</si>
  <si>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</si>
  <si>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</si>
  <si>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</si>
  <si>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</si>
  <si>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</si>
  <si>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</si>
  <si>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</si>
  <si>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</si>
  <si>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</si>
  <si>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</si>
  <si>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</si>
  <si>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</si>
  <si>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</si>
  <si>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</si>
  <si>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</si>
  <si>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</si>
  <si>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</si>
  <si>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</si>
  <si>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</si>
  <si>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</si>
  <si>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</si>
  <si>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</si>
  <si>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</si>
  <si>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</si>
  <si>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</si>
  <si>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</si>
  <si>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</si>
  <si>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</si>
  <si>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</si>
  <si>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</si>
  <si>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</si>
  <si>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</si>
  <si>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</si>
  <si>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</si>
  <si>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</si>
  <si>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</si>
  <si>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</si>
  <si>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</si>
  <si>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</si>
  <si>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</si>
  <si>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</si>
  <si>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</si>
  <si>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</si>
  <si>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</si>
  <si>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</si>
  <si>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</si>
  <si>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</si>
  <si>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</si>
  <si>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</si>
  <si>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</si>
  <si>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</si>
  <si>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</si>
  <si>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</si>
  <si>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</si>
  <si>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</si>
  <si>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</si>
  <si>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</si>
  <si>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</si>
  <si>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</si>
  <si>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</si>
  <si>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</si>
  <si>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</si>
  <si>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</si>
  <si>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</si>
  <si>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</si>
  <si>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</si>
  <si>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</si>
  <si>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</si>
  <si>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</si>
  <si>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</si>
  <si>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</si>
  <si>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</si>
  <si>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</si>
  <si>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</si>
  <si>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</si>
  <si>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</si>
  <si>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</si>
  <si>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</si>
  <si>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</si>
  <si>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</si>
  <si>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</si>
  <si>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</si>
  <si>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</si>
  <si>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</si>
  <si>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</si>
  <si>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</si>
  <si>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</si>
  <si>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</si>
  <si>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</si>
  <si>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</si>
  <si>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</si>
  <si>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</si>
  <si>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</si>
  <si>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</si>
  <si>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</si>
  <si>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</si>
  <si>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</si>
  <si>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</si>
  <si>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</si>
  <si>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</si>
  <si>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</si>
  <si>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</si>
  <si>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</si>
  <si>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</si>
  <si>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</si>
  <si>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</si>
  <si>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</si>
  <si>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</si>
  <si>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</si>
  <si>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</si>
  <si>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</si>
  <si>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</si>
  <si>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</si>
  <si>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</si>
  <si>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</si>
  <si>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</si>
  <si>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</si>
  <si>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</si>
  <si>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</si>
  <si>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</si>
  <si>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</si>
  <si>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</si>
  <si>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</si>
  <si>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</si>
  <si>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</si>
  <si>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</si>
  <si>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</si>
  <si>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</si>
  <si>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</si>
  <si>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</si>
  <si>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</si>
  <si>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</si>
  <si>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</si>
  <si>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</si>
  <si>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</si>
  <si>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</si>
  <si>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</si>
  <si>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</si>
  <si>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</si>
  <si>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</si>
  <si>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</si>
  <si>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</si>
  <si>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</si>
  <si>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</si>
  <si>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</si>
  <si>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</si>
  <si>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</si>
  <si>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</si>
  <si>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Behria Nashoman</t>
  </si>
  <si>
    <t xml:space="preserve">Al Faisal Mart </t>
  </si>
  <si>
    <t xml:space="preserve">Bajwa Mart </t>
  </si>
  <si>
    <t>Bajwa store</t>
  </si>
  <si>
    <t xml:space="preserve">As Cash and Carry </t>
  </si>
  <si>
    <t xml:space="preserve">Sheen Mart </t>
  </si>
  <si>
    <t xml:space="preserve">D Mart </t>
  </si>
  <si>
    <t>Safa Cash And Carry</t>
  </si>
  <si>
    <t>Sufiyan Mart</t>
  </si>
  <si>
    <t xml:space="preserve">Chaudry Cash And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</si>
</sst>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 Faisal Mart </v>
      </c>
      <c r="T3" s="301">
        <f>+'1'!P35</f>
        <v>11673.686338093223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Bajwa Mart </v>
      </c>
      <c r="T4" s="301">
        <f>+'2'!P35</f>
        <v>4861.1368511313567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Bajwa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As Cash and Carry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26</v>
      </c>
      <c r="I7" s="235">
        <f>(G7*D7)*F7+H7*F7</f>
        <v>1364.0249999999999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109.122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47.740875000000003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1207.1621249999998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257.79661016949137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7.3247936758474577</v>
      </c>
      <c r="P7" s="310">
        <f>M7+N7+O7</f>
        <v>1472.2835288453389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Sheen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25</v>
      </c>
      <c r="I8" s="236">
        <f t="shared" ref="I8:I14" si="0">(G8*D8)*F8+H8*F8</f>
        <v>1311.5625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104.92499999999998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45.904687500000001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1160.7328124999999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247.88135593220329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7.0430708421610166</v>
      </c>
      <c r="P8" s="311">
        <f t="shared" ref="P8:P15" si="2">M8+N8+O8</f>
        <v>1415.6572392743644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D Mart 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105</v>
      </c>
      <c r="I9" s="236">
        <f t="shared" si="0"/>
        <v>5508.5625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440.685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192.7996875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4875.0778124999997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1041.1016949152538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29.580897537076272</v>
      </c>
      <c r="P9" s="311">
        <f t="shared" si="2"/>
        <v>5945.7604049523297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Safa Cash And Carry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227</v>
      </c>
      <c r="I10" s="236">
        <f t="shared" si="0"/>
        <v>16489.28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1319.1424000000002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577.12480000000005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14593.012799999999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3116.4406779661017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88.547267389830509</v>
      </c>
      <c r="P10" s="311">
        <f t="shared" si="2"/>
        <v>17798.00074535593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Sufiyan Mart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164</v>
      </c>
      <c r="I11" s="236">
        <f t="shared" si="0"/>
        <v>11912.960000000001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953.03680000000008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416.95360000000005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10542.9696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2251.5254237288136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63.97247511864407</v>
      </c>
      <c r="P11" s="311">
        <f t="shared" si="2"/>
        <v>12858.467498847458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Chaudry Cash And Carry </v>
      </c>
      <c r="T11" s="301">
        <f>+'9'!P35</f>
        <v>5401.2631679237293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125</v>
      </c>
      <c r="I12" s="236">
        <f t="shared" si="0"/>
        <v>9080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726.40000000000009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317.8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8035.8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1716.1016949152543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48.759508474576272</v>
      </c>
      <c r="P12" s="311">
        <f t="shared" si="2"/>
        <v>9800.6612033898309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16.8</v>
      </c>
      <c r="H16" s="113">
        <f t="shared" ref="H16:M16" si="3">SUM(H7:H15)</f>
        <v>672</v>
      </c>
      <c r="I16" s="114">
        <f t="shared" si="3"/>
        <v>45666.39</v>
      </c>
      <c r="J16" s="274">
        <f>SUM(J7:J15)</f>
        <v>3653.3112000000006</v>
      </c>
      <c r="K16" s="275">
        <f t="shared" si="3"/>
        <v>1598.32365</v>
      </c>
      <c r="L16" s="276">
        <f t="shared" si="3"/>
        <v>0</v>
      </c>
      <c r="M16" s="232">
        <f t="shared" si="3"/>
        <v>40414.755149999997</v>
      </c>
      <c r="N16" s="233">
        <f>SUM(N7:N15)</f>
        <v>8630.8474576271183</v>
      </c>
      <c r="O16" s="101">
        <f>SUM(O7:O15)</f>
        <v>245.2280130381356</v>
      </c>
      <c r="P16" s="113">
        <f>SUM(P7:P15)</f>
        <v>49290.830620665249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45666.39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3653.3112000000006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1598.32365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40414.755149999997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8630.8474576271183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49045.602607627116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245.2280130381356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49290.830620665249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49290.830620665256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10815.300000000001</v>
      </c>
      <c r="J25" s="274">
        <f>SUM(J16:J24)</f>
        <v>865.22399999999993</v>
      </c>
      <c r="K25" s="275">
        <f t="shared" si="10"/>
        <v>378.53550000000007</v>
      </c>
      <c r="L25" s="276">
        <f t="shared" si="10"/>
        <v>0</v>
      </c>
      <c r="M25" s="232">
        <f t="shared" si="10"/>
        <v>9571.540500000001</v>
      </c>
      <c r="N25" s="233">
        <f>SUM(N16:N24)</f>
        <v>2044.0677966101694</v>
      </c>
      <c r="O25" s="101">
        <f>SUM(O16:O24)</f>
        <v>58.078041483050853</v>
      </c>
      <c r="P25" s="234">
        <f>SUM(P16:P24)</f>
        <v>11673.686338093221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10815.300000000001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865.22399999999993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378.53550000000007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9571.540500000001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11615.608296610171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74" t="s">
        <v>88</v>
      </c>
      <c r="O35" s="375"/>
      <c r="P35" s="297">
        <f>+P33+P34</f>
        <v>11673.686338093223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4503.6900000000005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360.29519999999997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157.62915000000001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3985.7656500000007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4836.9520906779671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74" t="s">
        <v>88</v>
      </c>
      <c r="O35" s="375"/>
      <c r="P35" s="297">
        <f>+P33+P34</f>
        <v>4861.1368511313567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396.61016949152531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396.61016949152531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2026-09-28T05:28:06Z</dcterms:modified>
</cp:coreProperties>
</file>