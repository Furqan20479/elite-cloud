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FB5A7B-2967-49DF-83DD-5A24E8EE7C1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69"/>
  <c r="O21" i="69" s="1"/>
  <c r="P21" i="69" s="1"/>
  <c r="M17" i="60"/>
  <c r="O17" i="60" s="1"/>
  <c r="P17" i="60" s="1"/>
  <c r="J7" i="62"/>
  <c r="M24" i="45"/>
  <c r="O24" i="45" s="1"/>
  <c r="P24" i="45" s="1"/>
  <c r="M22" i="43"/>
  <c r="M23" i="56"/>
  <c r="M22" i="63"/>
  <c r="O22" i="63" s="1"/>
  <c r="P22" i="63" s="1"/>
  <c r="M23" i="44"/>
  <c r="O23" i="44" s="1"/>
  <c r="P23" i="44" s="1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M16" i="44"/>
  <c r="M16" i="48"/>
  <c r="M16" i="60"/>
  <c r="O16" i="60" s="1"/>
  <c r="P16" i="60" s="1"/>
  <c r="M16" i="66"/>
  <c r="M16" i="72"/>
  <c r="O16" i="72" s="1"/>
  <c r="P16" i="72" s="1"/>
  <c r="M18" i="67"/>
  <c r="O18" i="67" s="1"/>
  <c r="P18" i="6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 s="1"/>
  <c r="O23" i="69"/>
  <c r="P23" i="69" s="1"/>
  <c r="O24" i="48"/>
  <c r="P24" i="48"/>
  <c r="O16" i="44"/>
  <c r="O22" i="51"/>
  <c r="P22" i="51" s="1"/>
  <c r="O23" i="60"/>
  <c r="P23" i="60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4" i="55"/>
  <c r="O25" i="55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<sst xmlns="http://schemas.openxmlformats.org/spreadsheetml/2006/main" count="3918" uniqueCount="516">
  <si>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</si>
  <si>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</si>
  <si>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</si>
  <si>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</si>
  <si>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</si>
  <si>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</si>
  <si>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</si>
  <si>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</si>
  <si>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</si>
  <si>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</si>
  <si>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</si>
  <si>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</si>
  <si>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</si>
  <si>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</si>
  <si>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</si>
  <si>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</si>
  <si>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</si>
  <si>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</si>
  <si>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</si>
  <si>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</si>
  <si>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</si>
  <si>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</si>
  <si>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</si>
  <si>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</si>
  <si>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</si>
  <si>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</si>
  <si>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</si>
  <si>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</si>
  <si>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</si>
  <si>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</si>
  <si>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</si>
  <si>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</si>
  <si>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</si>
  <si>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</si>
  <si>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</si>
  <si>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</si>
  <si>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</si>
  <si>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</si>
  <si>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</si>
  <si>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</si>
  <si>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</si>
  <si>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</si>
  <si>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</si>
  <si>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</si>
  <si>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</si>
  <si>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</si>
  <si>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</si>
  <si>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</si>
  <si>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</si>
  <si>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</si>
  <si>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</si>
  <si>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</si>
  <si>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</si>
  <si>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</si>
  <si>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</si>
  <si>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</si>
  <si>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</si>
  <si>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</si>
  <si>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</si>
  <si>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</si>
  <si>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</si>
  <si>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</si>
  <si>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</si>
  <si>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</si>
  <si>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</si>
  <si>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</si>
  <si>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</si>
  <si>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</si>
  <si>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</si>
  <si>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</si>
  <si>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</si>
  <si>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</si>
  <si>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</si>
  <si>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</si>
  <si>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</si>
  <si>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</si>
  <si>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</si>
  <si>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</si>
  <si>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</si>
  <si>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</si>
  <si>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</si>
  <si>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</si>
  <si>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</si>
  <si>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</si>
  <si>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</si>
  <si>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</si>
  <si>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</si>
  <si>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</si>
  <si>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</si>
  <si>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</si>
  <si>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</si>
  <si>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</si>
  <si>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</si>
  <si>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</si>
  <si>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</si>
  <si>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</si>
  <si>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</si>
  <si>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</si>
  <si>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</si>
  <si>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</si>
  <si>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</si>
  <si>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</si>
  <si>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</si>
  <si>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</si>
  <si>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</si>
  <si>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</si>
  <si>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</si>
  <si>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</si>
  <si>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</si>
  <si>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</si>
  <si>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</si>
  <si>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</si>
  <si>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</si>
  <si>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</si>
  <si>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</si>
  <si>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</si>
  <si>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</si>
  <si>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</si>
  <si>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</si>
  <si>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</si>
  <si>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</si>
  <si>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</si>
  <si>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</si>
  <si>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</si>
  <si>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</si>
  <si>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</si>
  <si>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</si>
  <si>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</si>
  <si>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</si>
  <si>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</si>
  <si>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</si>
  <si>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</si>
  <si>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</si>
  <si>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</si>
  <si>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</si>
  <si>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</si>
  <si>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</si>
  <si>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</si>
  <si>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</si>
  <si>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</si>
  <si>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</si>
  <si>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</si>
  <si>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</si>
  <si>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</si>
  <si>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</si>
  <si>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</si>
  <si>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</si>
  <si>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</si>
  <si>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</si>
  <si>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</si>
  <si>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</si>
  <si>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</si>
  <si>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</si>
  <si>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</si>
  <si>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</si>
  <si>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</si>
  <si>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</si>
  <si>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</si>
  <si>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</si>
  <si>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</si>
  <si>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</si>
  <si>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</si>
  <si>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</si>
  <si>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</si>
  <si>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</si>
  <si>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</si>
  <si>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</si>
  <si>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</si>
  <si>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</si>
  <si>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</si>
  <si>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</si>
  <si>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</si>
  <si>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</si>
  <si>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</si>
  <si>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</si>
  <si>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</si>
  <si>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</si>
  <si>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</si>
  <si>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</si>
  <si>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</si>
  <si>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</si>
  <si>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</si>
  <si>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</si>
  <si>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</si>
  <si>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</si>
  <si>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</si>
  <si>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</si>
  <si>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</si>
  <si>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</si>
  <si>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</si>
  <si>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</si>
  <si>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</si>
  <si>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</si>
  <si>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</si>
  <si>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</si>
  <si>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</si>
  <si>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</si>
  <si>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</si>
  <si>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</si>
  <si>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</si>
  <si>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</si>
  <si>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</si>
  <si>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</si>
  <si>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</si>
  <si>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</si>
  <si>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</si>
  <si>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</si>
  <si>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</si>
  <si>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</si>
  <si>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</si>
  <si>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</si>
  <si>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</si>
  <si>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</si>
  <si>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</si>
  <si>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</si>
  <si>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</si>
  <si>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</si>
  <si>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</si>
  <si>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</si>
  <si>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</si>
  <si>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</si>
  <si>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</si>
  <si>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</si>
  <si>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</si>
  <si>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</si>
  <si>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</si>
  <si>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</si>
  <si>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</si>
  <si>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</si>
  <si>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</si>
  <si>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</si>
  <si>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</si>
  <si>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</si>
  <si>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</si>
  <si>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</si>
  <si>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</si>
  <si>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</si>
  <si>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</si>
  <si>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</si>
  <si>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</si>
  <si>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</si>
  <si>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</si>
  <si>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</si>
  <si>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</si>
  <si>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</si>
  <si>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</si>
  <si>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</si>
  <si>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</si>
  <si>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</si>
  <si>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</si>
  <si>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</si>
  <si>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</si>
  <si>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</si>
  <si>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</si>
  <si>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</si>
  <si>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</si>
  <si>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</si>
  <si>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</si>
  <si>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</si>
  <si>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</si>
  <si>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</si>
  <si>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</si>
  <si>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</si>
  <si>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</si>
  <si>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</si>
  <si>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</si>
  <si>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</si>
  <si>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</si>
  <si>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</si>
  <si>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</si>
  <si>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</si>
  <si>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</si>
  <si>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</si>
  <si>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</si>
  <si>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</si>
  <si>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</si>
  <si>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</si>
  <si>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</si>
  <si>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</si>
  <si>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</si>
  <si>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</si>
  <si>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</si>
  <si>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</si>
  <si>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</si>
  <si>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</si>
  <si>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</si>
  <si>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</si>
  <si>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</si>
  <si>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</si>
  <si>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</si>
  <si>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</si>
  <si>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</si>
  <si>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</si>
  <si>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</si>
  <si>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</si>
  <si>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</si>
  <si>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</si>
  <si>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</si>
  <si>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</si>
  <si>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</si>
  <si>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</si>
  <si>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</si>
  <si>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</si>
  <si>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</si>
  <si>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</si>
  <si>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</si>
  <si>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</si>
  <si>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</si>
  <si>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</si>
  <si>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</si>
  <si>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</si>
  <si>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</si>
  <si>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</si>
  <si>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</si>
  <si>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</si>
  <si>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</si>
  <si>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</si>
  <si>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</si>
  <si>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</si>
  <si>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</si>
  <si>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</si>
  <si>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</si>
  <si>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</si>
  <si>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</si>
  <si>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</si>
  <si>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</si>
  <si>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</si>
  <si>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</si>
  <si>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</si>
  <si>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</si>
  <si>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</si>
  <si>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</si>
  <si>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</si>
  <si>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</si>
  <si>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</si>
  <si>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</si>
  <si>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</si>
  <si>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</si>
  <si>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</si>
  <si>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</si>
  <si>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</si>
  <si>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</si>
  <si>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</si>
  <si>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</si>
  <si>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</si>
  <si>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</si>
  <si>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</si>
  <si>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</si>
  <si>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</si>
  <si>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</si>
  <si>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</si>
  <si>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</si>
  <si>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</si>
  <si>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</si>
  <si>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</si>
  <si>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</si>
  <si>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</si>
  <si>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</si>
  <si>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</si>
  <si>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</si>
  <si>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</si>
  <si>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</si>
  <si>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</si>
  <si>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</si>
  <si>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</si>
  <si>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</si>
  <si>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</si>
  <si>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</si>
  <si>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</si>
  <si>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</si>
  <si>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</si>
  <si>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</si>
  <si>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</si>
  <si>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</si>
  <si>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</si>
  <si>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</si>
  <si>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</si>
  <si>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</si>
  <si>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</si>
  <si>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</si>
  <si>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</si>
  <si>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</si>
  <si>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</si>
  <si>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</si>
  <si>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</si>
  <si>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</si>
  <si>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</si>
  <si>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</si>
  <si>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</si>
  <si>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</si>
  <si>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</si>
  <si>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</si>
  <si>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</si>
  <si>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</si>
  <si>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</si>
  <si>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</si>
  <si>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</si>
  <si>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</si>
  <si>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</si>
  <si>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</si>
  <si>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</si>
  <si>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</si>
  <si>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</si>
  <si>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</si>
  <si>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</si>
  <si>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</si>
  <si>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</si>
  <si>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</si>
  <si>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</si>
  <si>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</si>
  <si>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</si>
  <si>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</si>
  <si>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</si>
  <si>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</si>
  <si>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</si>
  <si>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</si>
  <si>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</si>
  <si>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</si>
  <si>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</si>
  <si>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</si>
  <si>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</si>
  <si>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</si>
  <si>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</si>
  <si>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</si>
  <si>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</si>
  <si>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</si>
  <si>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</si>
  <si>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</si>
  <si>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</si>
  <si>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</si>
  <si>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</si>
  <si>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</si>
  <si>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</si>
  <si>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</si>
  <si>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</si>
  <si>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</si>
  <si>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</si>
  <si>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</si>
  <si>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</si>
  <si>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</si>
  <si>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</si>
  <si>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</si>
  <si>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</si>
  <si>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</si>
  <si>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</si>
  <si>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</si>
  <si>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</si>
  <si>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</si>
  <si>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</si>
  <si>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</si>
  <si>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</si>
  <si>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</si>
  <si>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</si>
  <si>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</si>
  <si>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</si>
  <si>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</si>
  <si>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</si>
  <si>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</si>
  <si>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</si>
  <si>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</si>
  <si>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</si>
  <si>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</si>
  <si>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</si>
  <si>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</si>
  <si>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</si>
  <si>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</si>
  <si>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</si>
  <si>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</si>
  <si>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</si>
  <si>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</si>
  <si>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</si>
  <si>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</si>
  <si>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</si>
  <si>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</si>
  <si>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</si>
  <si>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</si>
  <si>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</si>
  <si>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</si>
  <si>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</si>
  <si>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</si>
  <si>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</si>
  <si>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</si>
  <si>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</si>
  <si>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</si>
  <si>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</si>
  <si>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</si>
  <si>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</si>
  <si>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</si>
  <si>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</si>
  <si>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</si>
  <si>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</si>
  <si>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</si>
  <si>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</si>
  <si>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</si>
  <si>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</si>
  <si>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</si>
  <si>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</si>
  <si>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</si>
  <si>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</si>
  <si>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</si>
  <si>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</si>
  <si>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</si>
  <si>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</si>
  <si>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</si>
  <si>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</si>
  <si>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</si>
  <si>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</si>
  <si>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</si>
  <si>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</si>
  <si>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</si>
  <si>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</si>
  <si>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</si>
  <si>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</si>
  <si>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4 Season</t>
  </si>
  <si>
    <t>Address: Lake City Riwind Road</t>
  </si>
  <si>
    <t>Invoice No # :4561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</si>
</sst>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4 Season</v>
      </c>
      <c r="T3" s="301">
        <f>+'1'!P35</f>
        <v>33227.151022627113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4 Season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4 Season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4 Season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5130.8325000000004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31.603315042372881</v>
      </c>
      <c r="P7" s="310">
        <f>M7+N7+O7</f>
        <v>6352.2663235169484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4 Season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4 Season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944.32499999999993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5130.8325000000004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31.603315042372881</v>
      </c>
      <c r="P9" s="311">
        <f t="shared" si="2"/>
        <v>6352.2663235169484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4 Season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1307.5199999999998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7104.1919999999991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43.75824813559322</v>
      </c>
      <c r="P10" s="311">
        <f t="shared" si="2"/>
        <v>8795.4078752542373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4 Season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4736.1279999999997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29.172165423728813</v>
      </c>
      <c r="P11" s="311">
        <f t="shared" si="2"/>
        <v>5863.6052501694912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4 Season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4736.1279999999997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29.172165423728813</v>
      </c>
      <c r="P12" s="311">
        <f t="shared" si="2"/>
        <v>5863.6052501694912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4 Season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4 Season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4 Season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4 Season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13</v>
      </c>
      <c r="H16" s="113">
        <f t="shared" ref="H16:M16" si="3">SUM(H7:H15)</f>
        <v>520</v>
      </c>
      <c r="I16" s="114">
        <f t="shared" si="3"/>
        <v>32930.199999999997</v>
      </c>
      <c r="J16" s="274">
        <f>SUM(J7:J15)</f>
        <v>4939.53</v>
      </c>
      <c r="K16" s="275">
        <f t="shared" si="3"/>
        <v>1152.5570000000002</v>
      </c>
      <c r="L16" s="276">
        <f t="shared" si="3"/>
        <v>0</v>
      </c>
      <c r="M16" s="232">
        <f t="shared" si="3"/>
        <v>26838.113000000001</v>
      </c>
      <c r="N16" s="233">
        <f>SUM(N7:N15)</f>
        <v>6223.7288135593208</v>
      </c>
      <c r="O16" s="101">
        <f>SUM(O7:O15)</f>
        <v>165.30920906779662</v>
      </c>
      <c r="P16" s="113">
        <f>SUM(P7:P15)</f>
        <v>33227.151022627113</v>
      </c>
      <c r="Q16" s="128">
        <f>SUM(Q7:Q15)</f>
        <v>0</v>
      </c>
      <c r="R16" s="313">
        <v>14</v>
      </c>
      <c r="S16" s="315" t="str">
        <f>+'14'!A6:A6</f>
        <v>4 Season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4 Season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4 Season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32930.199999999997</v>
      </c>
      <c r="R19" s="299">
        <v>17</v>
      </c>
      <c r="S19" s="300" t="str">
        <f>+'17'!A6:A6</f>
        <v>4 Season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4939.53</v>
      </c>
      <c r="R20" s="299">
        <v>18</v>
      </c>
      <c r="S20" s="300" t="str">
        <f>+'18'!A6:A6</f>
        <v>4 Season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1152.5570000000002</v>
      </c>
      <c r="R21" s="299">
        <v>19</v>
      </c>
      <c r="S21" s="300" t="str">
        <f>+'19'!A6:A6</f>
        <v>4 Season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26838.112999999998</v>
      </c>
      <c r="R22" s="299">
        <v>20</v>
      </c>
      <c r="S22" s="300" t="str">
        <f>+'20'!A6:A6</f>
        <v>4 Season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6223.7288135593208</v>
      </c>
      <c r="R23" s="299">
        <v>21</v>
      </c>
      <c r="S23" s="300" t="str">
        <f>+'21'!A6:A6</f>
        <v>4 Season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33061.841813559317</v>
      </c>
      <c r="R24" s="299">
        <v>22</v>
      </c>
      <c r="S24" s="300" t="str">
        <f>+'22'!A6:A6</f>
        <v>4 Season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165.30920906779662</v>
      </c>
      <c r="R25" s="299">
        <v>23</v>
      </c>
      <c r="S25" s="300" t="str">
        <f>+'23'!A6:A6</f>
        <v>4 Season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33227.151022627113</v>
      </c>
      <c r="R26" s="299">
        <v>24</v>
      </c>
      <c r="S26" s="300" t="str">
        <f>+'24'!A6:A6</f>
        <v>4 Season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4 Season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4 Season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4 Season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4 Season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4 Season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4 Season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33227.151022627113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220.34250000000003</v>
      </c>
      <c r="L16" s="118">
        <f>$I16*U16</f>
        <v>0</v>
      </c>
      <c r="M16" s="229">
        <f>I16-SUM(J16:L16)</f>
        <v>5130.8325000000004</v>
      </c>
      <c r="N16" s="248">
        <f>+(G16*D16+H16)*V16</f>
        <v>1189.8305084745757</v>
      </c>
      <c r="O16" s="238">
        <f>(N16+M16)*$O$15</f>
        <v>31.603315042372881</v>
      </c>
      <c r="P16" s="118">
        <f>M16+N16+O16</f>
        <v>6352.2663235169484</v>
      </c>
      <c r="Q16" s="318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944.32499999999993</v>
      </c>
      <c r="K18" s="128">
        <f t="shared" si="1"/>
        <v>220.34250000000003</v>
      </c>
      <c r="L18" s="119">
        <f t="shared" si="1"/>
        <v>0</v>
      </c>
      <c r="M18" s="230">
        <f t="shared" si="2"/>
        <v>5130.8325000000004</v>
      </c>
      <c r="N18" s="277">
        <f t="shared" si="3"/>
        <v>1189.8305084745757</v>
      </c>
      <c r="O18" s="239">
        <f t="shared" si="4"/>
        <v>31.603315042372881</v>
      </c>
      <c r="P18" s="119">
        <f t="shared" si="5"/>
        <v>6352.2663235169484</v>
      </c>
      <c r="Q18" s="319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1307.5199999999998</v>
      </c>
      <c r="K19" s="128">
        <f t="shared" si="1"/>
        <v>305.08800000000002</v>
      </c>
      <c r="L19" s="119">
        <f t="shared" si="1"/>
        <v>0</v>
      </c>
      <c r="M19" s="230">
        <f t="shared" si="2"/>
        <v>7104.1919999999991</v>
      </c>
      <c r="N19" s="277">
        <f t="shared" si="3"/>
        <v>1647.4576271186443</v>
      </c>
      <c r="O19" s="239">
        <f t="shared" si="4"/>
        <v>43.75824813559322</v>
      </c>
      <c r="P19" s="119">
        <f t="shared" si="5"/>
        <v>8795.4078752542373</v>
      </c>
      <c r="Q19" s="319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119">
        <f t="shared" si="5"/>
        <v>5863.6052501694912</v>
      </c>
      <c r="Q20" s="319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203.39200000000002</v>
      </c>
      <c r="L21" s="119">
        <f t="shared" si="1"/>
        <v>0</v>
      </c>
      <c r="M21" s="230">
        <f t="shared" si="2"/>
        <v>4736.1279999999997</v>
      </c>
      <c r="N21" s="277">
        <f t="shared" si="3"/>
        <v>1098.3050847457628</v>
      </c>
      <c r="O21" s="239">
        <f t="shared" si="4"/>
        <v>29.172165423728813</v>
      </c>
      <c r="P21" s="119">
        <f t="shared" si="5"/>
        <v>5863.6052501694912</v>
      </c>
      <c r="Q21" s="319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32930.199999999997</v>
      </c>
      <c r="J25" s="274">
        <f>SUM(J16:J24)</f>
        <v>4939.53</v>
      </c>
      <c r="K25" s="275">
        <f t="shared" si="10"/>
        <v>1152.5570000000002</v>
      </c>
      <c r="L25" s="276">
        <f t="shared" si="10"/>
        <v>0</v>
      </c>
      <c r="M25" s="232">
        <f t="shared" si="10"/>
        <v>26838.113000000001</v>
      </c>
      <c r="N25" s="233">
        <f>SUM(N16:N24)</f>
        <v>6223.7288135593208</v>
      </c>
      <c r="O25" s="101">
        <f>SUM(O16:O24)</f>
        <v>165.30920906779662</v>
      </c>
      <c r="P25" s="234">
        <f>SUM(P16:P24)</f>
        <v>33227.151022627113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32930.199999999997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4939.53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1152.5570000000002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26838.112999999998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6223.7288135593208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33061.841813559317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165.30920906779659</v>
      </c>
    </row>
    <row r="35" spans="2:16" ht="15.75" customHeight="1" thickBot="1" x14ac:dyDescent="0.4">
      <c r="N35" s="346" t="s">
        <v>88</v>
      </c>
      <c r="O35" s="347"/>
      <c r="P35" s="297">
        <f>+P33+P34</f>
        <v>33227.151022627113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2026-09-30T05:15:29Z</dcterms:modified>
</cp:coreProperties>
</file>