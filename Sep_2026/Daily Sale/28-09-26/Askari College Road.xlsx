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2A41909-60ED-4F7B-A3C5-E27D311ABE12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<sst xmlns="http://schemas.openxmlformats.org/spreadsheetml/2006/main" count="3918" uniqueCount="515">
  <si>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</si>
  <si>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</si>
  <si>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</si>
  <si>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</si>
  <si>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</si>
  <si>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</si>
  <si>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</si>
  <si>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</si>
  <si>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</si>
  <si>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</si>
  <si>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</si>
  <si>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</si>
  <si>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</si>
  <si>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</si>
  <si>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</si>
  <si>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</si>
  <si>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</si>
  <si>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</si>
  <si>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</si>
  <si>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</si>
  <si>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</si>
  <si>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</si>
  <si>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</si>
  <si>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</si>
  <si>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</si>
  <si>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</si>
  <si>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</si>
  <si>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</si>
  <si>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</si>
  <si>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</si>
  <si>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</si>
  <si>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</si>
  <si>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</si>
  <si>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</si>
  <si>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</si>
  <si>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</si>
  <si>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</si>
  <si>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</si>
  <si>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</si>
  <si>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</si>
  <si>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</si>
  <si>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</si>
  <si>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</si>
  <si>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</si>
  <si>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</si>
  <si>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</si>
  <si>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</si>
  <si>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</si>
  <si>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</si>
  <si>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</si>
  <si>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</si>
  <si>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</si>
  <si>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</si>
  <si>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</si>
  <si>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</si>
  <si>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</si>
  <si>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</si>
  <si>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</si>
  <si>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</si>
  <si>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</si>
  <si>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</si>
  <si>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</si>
  <si>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</si>
  <si>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</si>
  <si>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</si>
  <si>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</si>
  <si>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</si>
  <si>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</si>
  <si>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</si>
  <si>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</si>
  <si>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</si>
  <si>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</si>
  <si>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</si>
  <si>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</si>
  <si>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</si>
  <si>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</si>
  <si>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</si>
  <si>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</si>
  <si>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</si>
  <si>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</si>
  <si>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</si>
  <si>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</si>
  <si>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</si>
  <si>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</si>
  <si>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</si>
  <si>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</si>
  <si>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</si>
  <si>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</si>
  <si>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</si>
  <si>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</si>
  <si>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</si>
  <si>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</si>
  <si>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</si>
  <si>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</si>
  <si>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</si>
  <si>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</si>
  <si>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</si>
  <si>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</si>
  <si>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</si>
  <si>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</si>
  <si>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</si>
  <si>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</si>
  <si>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</si>
  <si>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</si>
  <si>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</si>
  <si>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</si>
  <si>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</si>
  <si>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</si>
  <si>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</si>
  <si>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</si>
  <si>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</si>
  <si>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</si>
  <si>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</si>
  <si>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</si>
  <si>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</si>
  <si>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</si>
  <si>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</si>
  <si>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</si>
  <si>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</si>
  <si>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</si>
  <si>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</si>
  <si>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</si>
  <si>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</si>
  <si>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</si>
  <si>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</si>
  <si>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</si>
  <si>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</si>
  <si>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</si>
  <si>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</si>
  <si>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</si>
  <si>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</si>
  <si>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</si>
  <si>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</si>
  <si>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</si>
  <si>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</si>
  <si>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</si>
  <si>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</si>
  <si>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</si>
  <si>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</si>
  <si>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</si>
  <si>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</si>
  <si>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</si>
  <si>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</si>
  <si>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</si>
  <si>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</si>
  <si>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</si>
  <si>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</si>
  <si>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</si>
  <si>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</si>
  <si>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</si>
  <si>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</si>
  <si>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</si>
  <si>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</si>
  <si>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</si>
  <si>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</si>
  <si>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</si>
  <si>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</si>
  <si>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</si>
  <si>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</si>
  <si>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</si>
  <si>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</si>
  <si>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</si>
  <si>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</si>
  <si>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</si>
  <si>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</si>
  <si>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</si>
  <si>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</si>
  <si>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</si>
  <si>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</si>
  <si>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</si>
  <si>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</si>
  <si>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</si>
  <si>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</si>
  <si>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</si>
  <si>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</si>
  <si>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</si>
  <si>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</si>
  <si>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</si>
  <si>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</si>
  <si>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</si>
  <si>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</si>
  <si>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</si>
  <si>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</si>
  <si>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</si>
  <si>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</si>
  <si>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</si>
  <si>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</si>
  <si>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</si>
  <si>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</si>
  <si>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</si>
  <si>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</si>
  <si>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</si>
  <si>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</si>
  <si>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</si>
  <si>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</si>
  <si>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</si>
  <si>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</si>
  <si>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</si>
  <si>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</si>
  <si>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</si>
  <si>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</si>
  <si>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</si>
  <si>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</si>
  <si>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</si>
  <si>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</si>
  <si>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</si>
  <si>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</si>
  <si>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</si>
  <si>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</si>
  <si>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</si>
  <si>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</si>
  <si>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</si>
  <si>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</si>
  <si>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</si>
  <si>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</si>
  <si>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</si>
  <si>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</si>
  <si>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</si>
  <si>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</si>
  <si>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</si>
  <si>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</si>
  <si>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</si>
  <si>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</si>
  <si>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</si>
  <si>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</si>
  <si>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</si>
  <si>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</si>
  <si>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</si>
  <si>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</si>
  <si>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</si>
  <si>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</si>
  <si>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</si>
  <si>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</si>
  <si>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</si>
  <si>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</si>
  <si>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</si>
  <si>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</si>
  <si>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</si>
  <si>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</si>
  <si>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</si>
  <si>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</si>
  <si>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</si>
  <si>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</si>
  <si>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</si>
  <si>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</si>
  <si>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</si>
  <si>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</si>
  <si>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</si>
  <si>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</si>
  <si>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</si>
  <si>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</si>
  <si>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</si>
  <si>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</si>
  <si>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</si>
  <si>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</si>
  <si>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</si>
  <si>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</si>
  <si>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</si>
  <si>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</si>
  <si>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</si>
  <si>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</si>
  <si>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</si>
  <si>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</si>
  <si>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</si>
  <si>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</si>
  <si>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</si>
  <si>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</si>
  <si>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</si>
  <si>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</si>
  <si>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</si>
  <si>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</si>
  <si>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</si>
  <si>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</si>
  <si>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</si>
  <si>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</si>
  <si>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</si>
  <si>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</si>
  <si>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</si>
  <si>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</si>
  <si>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</si>
  <si>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</si>
  <si>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</si>
  <si>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</si>
  <si>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</si>
  <si>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</si>
  <si>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</si>
  <si>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</si>
  <si>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</si>
  <si>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</si>
  <si>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</si>
  <si>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</si>
  <si>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</si>
  <si>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</si>
  <si>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</si>
  <si>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</si>
  <si>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</si>
  <si>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</si>
  <si>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</si>
  <si>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</si>
  <si>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</si>
  <si>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</si>
  <si>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</si>
  <si>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</si>
  <si>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</si>
  <si>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</si>
  <si>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</si>
  <si>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</si>
  <si>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</si>
  <si>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</si>
  <si>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</si>
  <si>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</si>
  <si>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</si>
  <si>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</si>
  <si>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</si>
  <si>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</si>
  <si>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</si>
  <si>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</si>
  <si>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</si>
  <si>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</si>
  <si>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</si>
  <si>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</si>
  <si>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</si>
  <si>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</si>
  <si>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</si>
  <si>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</si>
  <si>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</si>
  <si>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</si>
  <si>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</si>
  <si>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</si>
  <si>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</si>
  <si>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</si>
  <si>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</si>
  <si>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</si>
  <si>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</si>
  <si>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</si>
  <si>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</si>
  <si>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</si>
  <si>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</si>
  <si>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</si>
  <si>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</si>
  <si>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</si>
  <si>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</si>
  <si>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</si>
  <si>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</si>
  <si>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</si>
  <si>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</si>
  <si>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</si>
  <si>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</si>
  <si>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</si>
  <si>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</si>
  <si>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</si>
  <si>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</si>
  <si>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</si>
  <si>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</si>
  <si>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</si>
  <si>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</si>
  <si>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</si>
  <si>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</si>
  <si>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</si>
  <si>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</si>
  <si>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</si>
  <si>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</si>
  <si>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</si>
  <si>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</si>
  <si>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</si>
  <si>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</si>
  <si>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</si>
  <si>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</si>
  <si>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</si>
  <si>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</si>
  <si>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</si>
  <si>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</si>
  <si>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</si>
  <si>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</si>
  <si>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</si>
  <si>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</si>
  <si>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</si>
  <si>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</si>
  <si>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</si>
  <si>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</si>
  <si>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</si>
  <si>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</si>
  <si>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</si>
  <si>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</si>
  <si>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</si>
  <si>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</si>
  <si>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</si>
  <si>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</si>
  <si>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</si>
  <si>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</si>
  <si>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</si>
  <si>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</si>
  <si>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</si>
  <si>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</si>
  <si>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</si>
  <si>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</si>
  <si>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</si>
  <si>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</si>
  <si>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</si>
  <si>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</si>
  <si>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</si>
  <si>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</si>
  <si>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</si>
  <si>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</si>
  <si>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</si>
  <si>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</si>
  <si>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</si>
  <si>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</si>
  <si>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</si>
  <si>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</si>
  <si>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</si>
  <si>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</si>
  <si>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</si>
  <si>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</si>
  <si>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</si>
  <si>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</si>
  <si>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</si>
  <si>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</si>
  <si>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</si>
  <si>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</si>
  <si>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</si>
  <si>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</si>
  <si>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</si>
  <si>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</si>
  <si>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</si>
  <si>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</si>
  <si>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</si>
  <si>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</si>
  <si>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</si>
  <si>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</si>
  <si>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</si>
  <si>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</si>
  <si>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</si>
  <si>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</si>
  <si>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</si>
  <si>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</si>
  <si>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</si>
  <si>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</si>
  <si>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</si>
  <si>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</si>
  <si>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</si>
  <si>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</si>
  <si>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</si>
  <si>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</si>
  <si>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</si>
  <si>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</si>
  <si>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</si>
  <si>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</si>
  <si>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</si>
  <si>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</si>
  <si>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</si>
  <si>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</si>
  <si>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</si>
  <si>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</si>
  <si>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</si>
  <si>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</si>
  <si>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</si>
  <si>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</si>
  <si>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</si>
  <si>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</si>
  <si>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</si>
  <si>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</si>
  <si>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</si>
  <si>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</si>
  <si>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</si>
  <si>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</si>
  <si>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</si>
  <si>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</si>
  <si>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</si>
  <si>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</si>
  <si>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</si>
  <si>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</si>
  <si>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</si>
  <si>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</si>
  <si>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</si>
  <si>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</si>
  <si>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</si>
  <si>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</si>
  <si>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</si>
  <si>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</si>
  <si>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</si>
  <si>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</si>
  <si>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</si>
  <si>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</si>
  <si>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</si>
  <si>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</si>
  <si>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</si>
  <si>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</si>
  <si>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</si>
  <si>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</si>
  <si>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</si>
  <si>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</si>
  <si>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</si>
  <si>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</si>
  <si>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</si>
  <si>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</si>
  <si>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</si>
  <si>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</si>
  <si>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</si>
  <si>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</si>
  <si>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</si>
  <si>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</si>
  <si>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</si>
  <si>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</si>
  <si>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</si>
  <si>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</si>
  <si>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</si>
  <si>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</si>
  <si>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</si>
  <si>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</si>
  <si>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</si>
  <si>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</si>
  <si>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College Road</t>
  </si>
  <si>
    <t>Askari Departmental Store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</si>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</sst>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/>
    </xf>
    <xf numFmtId="10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514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Askari Departmental Store</v>
      </c>
      <c r="T3" s="301">
        <f>+'1'!P35</f>
        <v>15298.547813771187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Askari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Askari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Askari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367.23749999999995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310">
        <f>M7+N7+O7</f>
        <v>2138.512032838983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Askari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367.23749999999995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Askari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367.23749999999995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Askari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508.47999999999996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Askari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508.47999999999996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1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Askari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508.47999999999996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2397.12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14.731362711864406</v>
      </c>
      <c r="P12" s="311">
        <f t="shared" si="2"/>
        <v>2961.0039050847454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Askari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Askari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Askari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Askari Departmental Store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2627.1524999999997</v>
      </c>
      <c r="K16" s="275">
        <f t="shared" si="3"/>
        <v>0</v>
      </c>
      <c r="L16" s="276">
        <f t="shared" si="3"/>
        <v>0</v>
      </c>
      <c r="M16" s="232">
        <f t="shared" si="3"/>
        <v>12385.147499999999</v>
      </c>
      <c r="N16" s="233">
        <f>SUM(N7:N15)</f>
        <v>2837.2881355932195</v>
      </c>
      <c r="O16" s="101">
        <f>SUM(O7:O15)</f>
        <v>76.112178177966101</v>
      </c>
      <c r="P16" s="113">
        <f>SUM(P7:P15)</f>
        <v>15298.547813771183</v>
      </c>
      <c r="Q16" s="128">
        <f>SUM(Q7:Q15)</f>
        <v>0</v>
      </c>
      <c r="R16" s="313">
        <v>14</v>
      </c>
      <c r="S16" s="315" t="str">
        <f>+'14'!A6:A6</f>
        <v>Askari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Askari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Askari Departmental Store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15012.300000000001</v>
      </c>
      <c r="R19" s="299">
        <v>17</v>
      </c>
      <c r="S19" s="300" t="str">
        <f>+'17'!A6:A6</f>
        <v>Askari Departmental Store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2627.1524999999997</v>
      </c>
      <c r="R20" s="299">
        <v>18</v>
      </c>
      <c r="S20" s="300" t="str">
        <f>+'18'!A6:A6</f>
        <v>Askari Departmental Store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>Askari Departmental Store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12385.147500000001</v>
      </c>
      <c r="R22" s="299">
        <v>20</v>
      </c>
      <c r="S22" s="300" t="str">
        <f>+'20'!A6:A6</f>
        <v>Askari Departmental Store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Askari Departmental Store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15222.435635593221</v>
      </c>
      <c r="R24" s="299">
        <v>22</v>
      </c>
      <c r="S24" s="300" t="str">
        <f>+'22'!A6:A6</f>
        <v>Askari Departmental Store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76.112178177966101</v>
      </c>
      <c r="R25" s="299">
        <v>23</v>
      </c>
      <c r="S25" s="300" t="str">
        <f>+'23'!A6:A6</f>
        <v>Askari Departmental Store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15298.547813771187</v>
      </c>
      <c r="R26" s="299">
        <v>24</v>
      </c>
      <c r="S26" s="300" t="str">
        <f>+'24'!A6:A6</f>
        <v>Askari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Askari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Askari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Askari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Askari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Askari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Askari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15298.547813771187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1" workbookViewId="0">
      <selection activeCell="K38" sqref="K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417">
        <v>0.17499999999999999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367.23749999999995</v>
      </c>
      <c r="K16" s="127">
        <f>$I16*T16</f>
        <v>0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8"/>
      <c r="S16" s="416">
        <v>0.17499999999999999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367.23749999999995</v>
      </c>
      <c r="K17" s="128">
        <f>$I17*T17</f>
        <v>0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319"/>
      <c r="S17" s="416">
        <f>+S16</f>
        <v>0.17499999999999999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367.23749999999995</v>
      </c>
      <c r="K18" s="128">
        <f t="shared" si="1"/>
        <v>0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Q18" s="319"/>
      <c r="S18" s="416">
        <f>+S17</f>
        <v>0.17499999999999999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508.47999999999996</v>
      </c>
      <c r="K19" s="128">
        <f t="shared" si="1"/>
        <v>0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Q19" s="319"/>
      <c r="S19" s="416">
        <f>+S18</f>
        <v>0.17499999999999999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508.47999999999996</v>
      </c>
      <c r="K20" s="128">
        <f t="shared" si="1"/>
        <v>0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19"/>
      <c r="S20" s="416">
        <f>+S19</f>
        <v>0.17499999999999999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508.47999999999996</v>
      </c>
      <c r="K21" s="128">
        <f t="shared" si="1"/>
        <v>0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Q21" s="319"/>
      <c r="S21" s="416">
        <f>+S20</f>
        <v>0.17499999999999999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2627.1524999999997</v>
      </c>
      <c r="K25" s="275">
        <f t="shared" si="10"/>
        <v>0</v>
      </c>
      <c r="L25" s="276">
        <f t="shared" si="10"/>
        <v>0</v>
      </c>
      <c r="M25" s="232">
        <f t="shared" si="10"/>
        <v>12385.147499999999</v>
      </c>
      <c r="N25" s="233">
        <f>SUM(N16:N24)</f>
        <v>2837.2881355932195</v>
      </c>
      <c r="O25" s="101">
        <f>SUM(O16:O24)</f>
        <v>76.112178177966101</v>
      </c>
      <c r="P25" s="234">
        <f>SUM(P16:P24)</f>
        <v>15298.547813771183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15012.300000000001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2627.1524999999997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12385.147500000001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15222.435635593221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46" t="s">
        <v>88</v>
      </c>
      <c r="O35" s="347"/>
      <c r="P35" s="297">
        <f>+P33+P34</f>
        <v>15298.547813771187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46294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46293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2026-09-28T09:00:08Z</dcterms:modified>
</cp:coreProperties>
</file>