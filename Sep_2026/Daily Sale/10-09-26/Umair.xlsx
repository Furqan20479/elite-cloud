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2816C0B-3DAD-45D2-8780-EB0101F1EC9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5"/>
  <c r="N4" i="57"/>
  <c r="N4" i="50"/>
  <c r="N4" i="5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7" l="1"/>
  <c r="N5" i="67" s="1"/>
  <c r="N4" i="46"/>
  <c r="N4" i="53"/>
  <c r="N5" i="53" s="1"/>
  <c r="N4" i="69"/>
  <c r="N5" i="69" s="1"/>
  <c r="N4" i="64"/>
  <c r="N5" i="64" s="1"/>
  <c r="N4" i="63"/>
  <c r="N5" i="63" s="1"/>
  <c r="N4" i="70"/>
  <c r="N5" i="70" s="1"/>
  <c r="N4" i="45"/>
  <c r="N4" i="65"/>
  <c r="N5" i="65" s="1"/>
  <c r="N4" i="59"/>
  <c r="N5" i="59" s="1"/>
  <c r="N4" i="58"/>
  <c r="N5" i="58" s="1"/>
  <c r="N4" i="61"/>
  <c r="N4" i="68"/>
  <c r="N5" i="68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<sst xmlns="http://schemas.openxmlformats.org/spreadsheetml/2006/main" count="3948" uniqueCount="521">
  <si>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</si>
  <si>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</si>
  <si>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</si>
  <si>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</si>
  <si>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</si>
  <si>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</si>
  <si>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</si>
  <si>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</si>
  <si>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</si>
  <si>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</si>
  <si>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</si>
  <si>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</si>
  <si>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</si>
  <si>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</si>
  <si>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</si>
  <si>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</si>
  <si>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</si>
  <si>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</si>
  <si>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</si>
  <si>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</si>
  <si>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</si>
  <si>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</si>
  <si>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</si>
  <si>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</si>
  <si>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</si>
  <si>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</si>
  <si>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</si>
  <si>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</si>
  <si>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</si>
  <si>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</si>
  <si>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</si>
  <si>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</si>
  <si>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</si>
  <si>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</si>
  <si>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</si>
  <si>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</si>
  <si>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</si>
  <si>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</si>
  <si>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</si>
  <si>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</si>
  <si>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</si>
  <si>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</si>
  <si>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</si>
  <si>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</si>
  <si>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</si>
  <si>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</si>
  <si>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</si>
  <si>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</si>
  <si>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</si>
  <si>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</si>
  <si>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</si>
  <si>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</si>
  <si>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</si>
  <si>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</si>
  <si>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</si>
  <si>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</si>
  <si>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</si>
  <si>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</si>
  <si>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</si>
  <si>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</si>
  <si>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</si>
  <si>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</si>
  <si>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</si>
  <si>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</si>
  <si>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</si>
  <si>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</si>
  <si>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</si>
  <si>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</si>
  <si>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</si>
  <si>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</si>
  <si>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</si>
  <si>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</si>
  <si>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</si>
  <si>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</si>
  <si>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</si>
  <si>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</si>
  <si>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</si>
  <si>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</si>
  <si>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</si>
  <si>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</si>
  <si>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</si>
  <si>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</si>
  <si>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</si>
  <si>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</si>
  <si>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</si>
  <si>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</si>
  <si>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</si>
  <si>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</si>
  <si>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</si>
  <si>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</si>
  <si>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</si>
  <si>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</si>
  <si>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</si>
  <si>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</si>
  <si>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</si>
  <si>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</si>
  <si>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</si>
  <si>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</si>
  <si>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</si>
  <si>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</si>
  <si>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</si>
  <si>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</si>
  <si>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</si>
  <si>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</si>
  <si>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</si>
  <si>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</si>
  <si>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</si>
  <si>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</si>
  <si>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</si>
  <si>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</si>
  <si>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</si>
  <si>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</si>
  <si>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</si>
  <si>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</si>
  <si>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</si>
  <si>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</si>
  <si>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</si>
  <si>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</si>
  <si>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</si>
  <si>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</si>
  <si>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</si>
  <si>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</si>
  <si>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</si>
  <si>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</si>
  <si>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</si>
  <si>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</si>
  <si>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</si>
  <si>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</si>
  <si>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</si>
  <si>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</si>
  <si>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</si>
  <si>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</si>
  <si>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</si>
  <si>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</si>
  <si>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</si>
  <si>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</si>
  <si>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</si>
  <si>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</si>
  <si>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</si>
  <si>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</si>
  <si>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</si>
  <si>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</si>
  <si>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</si>
  <si>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</si>
  <si>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</si>
  <si>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</si>
  <si>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</si>
  <si>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</si>
  <si>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</si>
  <si>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</si>
  <si>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</si>
  <si>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</si>
  <si>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</si>
  <si>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</si>
  <si>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</si>
  <si>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</si>
  <si>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</si>
  <si>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</si>
  <si>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</si>
  <si>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</si>
  <si>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</si>
  <si>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</si>
  <si>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</si>
  <si>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</si>
  <si>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</si>
  <si>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</si>
  <si>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</si>
  <si>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</si>
  <si>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</si>
  <si>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</si>
  <si>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</si>
  <si>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</si>
  <si>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</si>
  <si>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</si>
  <si>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</si>
  <si>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</si>
  <si>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</si>
  <si>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</si>
  <si>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</si>
  <si>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</si>
  <si>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</si>
  <si>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</si>
  <si>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</si>
  <si>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</si>
  <si>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</si>
  <si>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</si>
  <si>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</si>
  <si>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</si>
  <si>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</si>
  <si>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</si>
  <si>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</si>
  <si>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</si>
  <si>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</si>
  <si>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</si>
  <si>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</si>
  <si>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</si>
  <si>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</si>
  <si>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</si>
  <si>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</si>
  <si>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</si>
  <si>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</si>
  <si>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</si>
  <si>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</si>
  <si>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</si>
  <si>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</si>
  <si>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</si>
  <si>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</si>
  <si>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</si>
  <si>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</si>
  <si>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</si>
  <si>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</si>
  <si>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</si>
  <si>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</si>
  <si>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</si>
  <si>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</si>
  <si>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</si>
  <si>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</si>
  <si>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</si>
  <si>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</si>
  <si>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</si>
  <si>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</si>
  <si>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</si>
  <si>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</si>
  <si>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</si>
  <si>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</si>
  <si>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</si>
  <si>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</si>
  <si>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</si>
  <si>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</si>
  <si>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</si>
  <si>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</si>
  <si>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</si>
  <si>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</si>
  <si>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</si>
  <si>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</si>
  <si>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</si>
  <si>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</si>
  <si>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</si>
  <si>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</si>
  <si>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</si>
  <si>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</si>
  <si>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</si>
  <si>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</si>
  <si>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</si>
  <si>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</si>
  <si>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</si>
  <si>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</si>
  <si>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</si>
  <si>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</si>
  <si>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</si>
  <si>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</si>
  <si>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</si>
  <si>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</si>
  <si>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</si>
  <si>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</si>
  <si>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</si>
  <si>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</si>
  <si>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</si>
  <si>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</si>
  <si>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</si>
  <si>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</si>
  <si>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</si>
  <si>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</si>
  <si>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</si>
  <si>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</si>
  <si>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</si>
  <si>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</si>
  <si>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</si>
  <si>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</si>
  <si>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</si>
  <si>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</si>
  <si>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</si>
  <si>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</si>
  <si>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</si>
  <si>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</si>
  <si>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</si>
  <si>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</si>
  <si>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</si>
  <si>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</si>
  <si>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</si>
  <si>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</si>
  <si>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</si>
  <si>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</si>
  <si>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</si>
  <si>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</si>
  <si>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</si>
  <si>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</si>
  <si>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</si>
  <si>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</si>
  <si>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</si>
  <si>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</si>
  <si>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</si>
  <si>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</si>
  <si>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</si>
  <si>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</si>
  <si>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</si>
  <si>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</si>
  <si>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</si>
  <si>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</si>
  <si>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</si>
  <si>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</si>
  <si>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</si>
  <si>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</si>
  <si>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</si>
  <si>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</si>
  <si>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</si>
  <si>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</si>
  <si>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</si>
  <si>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</si>
  <si>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</si>
  <si>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</si>
  <si>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</si>
  <si>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</si>
  <si>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</si>
  <si>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</si>
  <si>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</si>
  <si>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</si>
  <si>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</si>
  <si>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</si>
  <si>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</si>
  <si>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</si>
  <si>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</si>
  <si>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</si>
  <si>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</si>
  <si>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</si>
  <si>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</si>
  <si>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</si>
  <si>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</si>
  <si>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</si>
  <si>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</si>
  <si>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</si>
  <si>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</si>
  <si>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</si>
  <si>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</si>
  <si>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</si>
  <si>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</si>
  <si>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</si>
  <si>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</si>
  <si>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</si>
  <si>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</si>
  <si>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</si>
  <si>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</si>
  <si>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</si>
  <si>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</si>
  <si>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</si>
  <si>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</si>
  <si>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</si>
  <si>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</si>
  <si>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</si>
  <si>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</si>
  <si>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</si>
  <si>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</si>
  <si>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</si>
  <si>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</si>
  <si>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</si>
  <si>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</si>
  <si>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</si>
  <si>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</si>
  <si>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</si>
  <si>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</si>
  <si>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</si>
  <si>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</si>
  <si>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</si>
  <si>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</si>
  <si>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</si>
  <si>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</si>
  <si>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</si>
  <si>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</si>
  <si>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</si>
  <si>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</si>
  <si>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</si>
  <si>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</si>
  <si>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</si>
  <si>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</si>
  <si>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</si>
  <si>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</si>
  <si>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</si>
  <si>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</si>
  <si>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</si>
  <si>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</si>
  <si>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</si>
  <si>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</si>
  <si>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</si>
  <si>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</si>
  <si>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</si>
  <si>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</si>
  <si>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</si>
  <si>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</si>
  <si>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</si>
  <si>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</si>
  <si>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</si>
  <si>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</si>
  <si>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</si>
  <si>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</si>
  <si>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</si>
  <si>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</si>
  <si>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</si>
  <si>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</si>
  <si>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</si>
  <si>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</si>
  <si>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</si>
  <si>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</si>
  <si>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</si>
  <si>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</si>
  <si>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</si>
  <si>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</si>
  <si>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</si>
  <si>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</si>
  <si>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</si>
  <si>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</si>
  <si>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</si>
  <si>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</si>
  <si>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</si>
  <si>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</si>
  <si>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</si>
  <si>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</si>
  <si>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</si>
  <si>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</si>
  <si>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</si>
  <si>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</si>
  <si>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</si>
  <si>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</si>
  <si>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</si>
  <si>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</si>
  <si>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</si>
  <si>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</si>
  <si>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</si>
  <si>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</si>
  <si>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</si>
  <si>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</si>
  <si>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</si>
  <si>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</si>
  <si>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</si>
  <si>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</si>
  <si>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</si>
  <si>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</si>
  <si>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</si>
  <si>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</si>
  <si>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</si>
  <si>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</si>
  <si>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</si>
  <si>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</si>
  <si>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</si>
  <si>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</si>
  <si>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</si>
  <si>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</si>
  <si>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</si>
  <si>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</si>
  <si>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</si>
  <si>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</si>
  <si>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</si>
  <si>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</si>
  <si>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</si>
  <si>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</si>
  <si>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</si>
  <si>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</si>
  <si>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</si>
  <si>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</si>
  <si>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</si>
  <si>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</si>
  <si>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</si>
  <si>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</si>
  <si>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</si>
  <si>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</si>
  <si>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</si>
  <si>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</si>
  <si>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</si>
  <si>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</si>
  <si>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</si>
  <si>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</si>
  <si>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</si>
  <si>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</si>
  <si>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</si>
  <si>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</si>
  <si>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</si>
  <si>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</si>
  <si>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</si>
  <si>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</si>
  <si>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</si>
  <si>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</si>
  <si>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</si>
  <si>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</si>
  <si>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</si>
  <si>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</si>
  <si>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</si>
  <si>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</si>
  <si>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</si>
  <si>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</si>
  <si>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</si>
  <si>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</si>
  <si>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</si>
  <si>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</si>
  <si>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</si>
  <si>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</si>
  <si>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</si>
  <si>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</si>
  <si>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</si>
  <si>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</si>
  <si>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</si>
  <si>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</si>
  <si>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</si>
  <si>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</si>
  <si>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</si>
  <si>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</si>
  <si>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</si>
  <si>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</si>
  <si>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</si>
  <si>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</si>
  <si>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</si>
  <si>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</si>
  <si>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</si>
  <si>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</si>
  <si>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</si>
  <si>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</si>
  <si>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Rizwan GS</t>
  </si>
  <si>
    <t xml:space="preserve">Address: Awan Market </t>
  </si>
  <si>
    <t>Ghosia GS</t>
  </si>
  <si>
    <t xml:space="preserve">Gulshan Bakery </t>
  </si>
  <si>
    <t>Shah Taj Store</t>
  </si>
  <si>
    <t>Hafiz Bakery</t>
  </si>
  <si>
    <t>M.A Kareyana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</si>
</sst>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2" workbookViewId="0">
      <selection activeCell="I31" sqref="I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Rizwan GS</v>
      </c>
      <c r="T3" s="301">
        <f>+'1'!P35</f>
        <v>1669.1779134915255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Ghosia GS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Gulshan Bakery </v>
      </c>
      <c r="T5" s="301">
        <f>+'3'!P35</f>
        <v>834.58895674576274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Shah Taj Store</v>
      </c>
      <c r="T6" s="301">
        <f>+'4'!P35</f>
        <v>1001.5067480949152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Hafiz Bakery</v>
      </c>
      <c r="T7" s="301">
        <f>+'5'!P35</f>
        <v>250.37668702372881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M.A Kareyana Store</v>
      </c>
      <c r="T8" s="301">
        <f>+'6'!P35</f>
        <v>16691.779134915254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530</v>
      </c>
      <c r="I13" s="236">
        <f t="shared" si="0"/>
        <v>20791.900000000001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1039.5950000000003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727.71650000000022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1060.3869</v>
      </c>
      <c r="M13" s="230">
        <f t="shared" si="1"/>
        <v>17964.2016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4042.3728813559301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110.03287240677969</v>
      </c>
      <c r="P13" s="311">
        <f t="shared" si="2"/>
        <v>22116.607353762709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13.25</v>
      </c>
      <c r="H16" s="113">
        <f t="shared" ref="H16:M16" si="3">SUM(H7:H15)</f>
        <v>530</v>
      </c>
      <c r="I16" s="114">
        <f t="shared" si="3"/>
        <v>20791.900000000001</v>
      </c>
      <c r="J16" s="274">
        <f>SUM(J7:J15)</f>
        <v>1039.5950000000003</v>
      </c>
      <c r="K16" s="275">
        <f t="shared" si="3"/>
        <v>727.71650000000022</v>
      </c>
      <c r="L16" s="276">
        <f t="shared" si="3"/>
        <v>1060.3869</v>
      </c>
      <c r="M16" s="232">
        <f t="shared" si="3"/>
        <v>17964.2016</v>
      </c>
      <c r="N16" s="233">
        <f>SUM(N7:N15)</f>
        <v>4042.3728813559301</v>
      </c>
      <c r="O16" s="101">
        <f>SUM(O7:O15)</f>
        <v>110.03287240677969</v>
      </c>
      <c r="P16" s="113">
        <f>SUM(P7:P15)</f>
        <v>22116.607353762709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20791.900000000001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1039.5950000000003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1788.1034000000002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17964.2016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4042.3728813559301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22006.574481355929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110.03287240677969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22116.607353762709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22116.607353762713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78.460000000000022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1569.2000000000003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78.460000000000022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134.95120000000003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1355.7888000000003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1660.873545762712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5" t="s">
        <v>88</v>
      </c>
      <c r="O35" s="346"/>
      <c r="P35" s="297">
        <f>+P33+P34</f>
        <v>1669.1779134915255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1569.2000000000003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78.460000000000022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134.95120000000003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1355.7888000000003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1660.873545762712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5" t="s">
        <v>88</v>
      </c>
      <c r="O35" s="346"/>
      <c r="P35" s="297">
        <f>+P33+P34</f>
        <v>1669.1779134915255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234">
        <f>SUM(P16:P24)</f>
        <v>834.58895674576274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784.60000000000014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39.230000000000011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67.475600000000014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677.89440000000013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830.43677288135598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5" t="s">
        <v>88</v>
      </c>
      <c r="O35" s="346"/>
      <c r="P35" s="297">
        <f>+P33+P34</f>
        <v>834.58895674576274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941.5200000000001</v>
      </c>
      <c r="J25" s="274">
        <f>SUM(J16:J24)</f>
        <v>47.076000000000008</v>
      </c>
      <c r="K25" s="275">
        <f t="shared" si="7"/>
        <v>32.95320000000001</v>
      </c>
      <c r="L25" s="276">
        <f t="shared" si="7"/>
        <v>48.017520000000005</v>
      </c>
      <c r="M25" s="232">
        <f t="shared" si="7"/>
        <v>813.47328000000005</v>
      </c>
      <c r="N25" s="233">
        <f>SUM(N16:N24)</f>
        <v>183.05084745762701</v>
      </c>
      <c r="O25" s="101">
        <f>SUM(O16:O24)</f>
        <v>4.982620637288135</v>
      </c>
      <c r="P25" s="234">
        <f>SUM(P16:P24)</f>
        <v>1001.5067480949152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941.5200000000001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47.076000000000008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80.970720000000014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813.47328000000005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996.52412745762706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4.982620637288135</v>
      </c>
    </row>
    <row r="35" spans="2:16" ht="15.75" customHeight="1" thickBot="1" x14ac:dyDescent="0.4">
      <c r="N35" s="345" t="s">
        <v>88</v>
      </c>
      <c r="O35" s="346"/>
      <c r="P35" s="297">
        <f>+P33+P34</f>
        <v>1001.5067480949152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234">
        <f>SUM(P16:P24)</f>
        <v>250.37668702372881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235.38000000000002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11.769000000000002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20.242680000000004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203.36832000000001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249.13103186440676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5" t="s">
        <v>88</v>
      </c>
      <c r="O35" s="346"/>
      <c r="P35" s="297">
        <f>+P33+P34</f>
        <v>250.37668702372881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400</v>
      </c>
      <c r="I22" s="236">
        <f t="shared" si="0"/>
        <v>15692.000000000002</v>
      </c>
      <c r="J22" s="272">
        <f t="shared" si="1"/>
        <v>784.60000000000014</v>
      </c>
      <c r="K22" s="128">
        <f t="shared" si="1"/>
        <v>549.22000000000014</v>
      </c>
      <c r="L22" s="119">
        <f t="shared" si="1"/>
        <v>800.29200000000003</v>
      </c>
      <c r="M22" s="230">
        <f t="shared" si="2"/>
        <v>13557.888000000003</v>
      </c>
      <c r="N22" s="277">
        <f t="shared" si="3"/>
        <v>3050.8474576271169</v>
      </c>
      <c r="O22" s="239">
        <f t="shared" si="4"/>
        <v>83.043677288135612</v>
      </c>
      <c r="P22" s="119">
        <f t="shared" si="5"/>
        <v>16691.779134915258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400</v>
      </c>
      <c r="I25" s="114">
        <f t="shared" si="7"/>
        <v>15692.000000000002</v>
      </c>
      <c r="J25" s="274">
        <f>SUM(J16:J24)</f>
        <v>784.60000000000014</v>
      </c>
      <c r="K25" s="275">
        <f t="shared" si="7"/>
        <v>549.22000000000014</v>
      </c>
      <c r="L25" s="276">
        <f t="shared" si="7"/>
        <v>800.29200000000003</v>
      </c>
      <c r="M25" s="232">
        <f t="shared" si="7"/>
        <v>13557.888000000003</v>
      </c>
      <c r="N25" s="233">
        <f>SUM(N16:N24)</f>
        <v>3050.8474576271169</v>
      </c>
      <c r="O25" s="101">
        <f>SUM(O16:O24)</f>
        <v>83.043677288135612</v>
      </c>
      <c r="P25" s="234">
        <f>SUM(P16:P24)</f>
        <v>16691.779134915258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15692.000000000002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784.60000000000014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1349.5120000000002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13557.888000000001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3050.8474576271169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16608.735457627117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83.043677288135584</v>
      </c>
    </row>
    <row r="35" spans="2:16" ht="15.75" customHeight="1" thickBot="1" x14ac:dyDescent="0.4">
      <c r="N35" s="345" t="s">
        <v>88</v>
      </c>
      <c r="O35" s="346"/>
      <c r="P35" s="297">
        <f>+P33+P34</f>
        <v>16691.779134915254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2026-09-09T11:59:33Z</dcterms:modified>
</cp:coreProperties>
</file>