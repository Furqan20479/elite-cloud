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62F3D01-16B5-433A-8BAC-B0F313D9665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5" i="70" s="1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<sst xmlns="http://schemas.openxmlformats.org/spreadsheetml/2006/main" count="3918" uniqueCount="516">
  <si>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</si>
  <si>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</si>
  <si>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</si>
  <si>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</si>
  <si>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</si>
  <si>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</si>
  <si>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</si>
  <si>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</si>
  <si>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</si>
  <si>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</si>
  <si>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</si>
  <si>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</si>
  <si>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</si>
  <si>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</si>
  <si>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</si>
  <si>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</si>
  <si>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</si>
  <si>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</si>
  <si>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</si>
  <si>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</si>
  <si>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</si>
  <si>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</si>
  <si>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</si>
  <si>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</si>
  <si>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</si>
  <si>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</si>
  <si>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</si>
  <si>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</si>
  <si>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</si>
  <si>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</si>
  <si>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</si>
  <si>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</si>
  <si>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</si>
  <si>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</si>
  <si>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</si>
  <si>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</si>
  <si>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</si>
  <si>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</si>
  <si>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</si>
  <si>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</si>
  <si>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</si>
  <si>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</si>
  <si>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</si>
  <si>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</si>
  <si>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</si>
  <si>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</si>
  <si>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</si>
  <si>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</si>
  <si>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</si>
  <si>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</si>
  <si>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</si>
  <si>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</si>
  <si>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</si>
  <si>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</si>
  <si>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</si>
  <si>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</si>
  <si>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</si>
  <si>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</si>
  <si>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</si>
  <si>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</si>
  <si>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</si>
  <si>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</si>
  <si>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</si>
  <si>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</si>
  <si>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</si>
  <si>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</si>
  <si>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</si>
  <si>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</si>
  <si>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</si>
  <si>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</si>
  <si>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</si>
  <si>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</si>
  <si>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</si>
  <si>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</si>
  <si>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</si>
  <si>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</si>
  <si>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</si>
  <si>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</si>
  <si>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</si>
  <si>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</si>
  <si>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</si>
  <si>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</si>
  <si>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</si>
  <si>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</si>
  <si>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</si>
  <si>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</si>
  <si>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</si>
  <si>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</si>
  <si>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</si>
  <si>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</si>
  <si>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</si>
  <si>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</si>
  <si>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</si>
  <si>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</si>
  <si>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</si>
  <si>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</si>
  <si>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</si>
  <si>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</si>
  <si>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</si>
  <si>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</si>
  <si>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</si>
  <si>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</si>
  <si>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</si>
  <si>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</si>
  <si>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</si>
  <si>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</si>
  <si>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</si>
  <si>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</si>
  <si>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</si>
  <si>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</si>
  <si>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</si>
  <si>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</si>
  <si>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</si>
  <si>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</si>
  <si>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</si>
  <si>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</si>
  <si>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</si>
  <si>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</si>
  <si>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</si>
  <si>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</si>
  <si>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</si>
  <si>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</si>
  <si>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</si>
  <si>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</si>
  <si>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</si>
  <si>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</si>
  <si>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</si>
  <si>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</si>
  <si>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</si>
  <si>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</si>
  <si>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</si>
  <si>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</si>
  <si>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</si>
  <si>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</si>
  <si>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</si>
  <si>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</si>
  <si>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</si>
  <si>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</si>
  <si>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</si>
  <si>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</si>
  <si>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</si>
  <si>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</si>
  <si>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</si>
  <si>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</si>
  <si>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</si>
  <si>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</si>
  <si>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</si>
  <si>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</si>
  <si>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</si>
  <si>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</si>
  <si>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</si>
  <si>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</si>
  <si>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</si>
  <si>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</si>
  <si>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</si>
  <si>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</si>
  <si>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</si>
  <si>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</si>
  <si>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</si>
  <si>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</si>
  <si>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</si>
  <si>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</si>
  <si>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</si>
  <si>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</si>
  <si>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</si>
  <si>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</si>
  <si>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</si>
  <si>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</si>
  <si>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</si>
  <si>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</si>
  <si>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</si>
  <si>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</si>
  <si>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</si>
  <si>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</si>
  <si>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</si>
  <si>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</si>
  <si>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</si>
  <si>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</si>
  <si>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</si>
  <si>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</si>
  <si>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</si>
  <si>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</si>
  <si>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</si>
  <si>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</si>
  <si>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</si>
  <si>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</si>
  <si>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</si>
  <si>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</si>
  <si>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</si>
  <si>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</si>
  <si>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</si>
  <si>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</si>
  <si>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</si>
  <si>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</si>
  <si>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</si>
  <si>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</si>
  <si>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</si>
  <si>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</si>
  <si>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</si>
  <si>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</si>
  <si>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</si>
  <si>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</si>
  <si>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</si>
  <si>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</si>
  <si>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</si>
  <si>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</si>
  <si>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</si>
  <si>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</si>
  <si>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</si>
  <si>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</si>
  <si>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</si>
  <si>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</si>
  <si>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</si>
  <si>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</si>
  <si>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</si>
  <si>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</si>
  <si>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</si>
  <si>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</si>
  <si>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</si>
  <si>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</si>
  <si>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</si>
  <si>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</si>
  <si>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</si>
  <si>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</si>
  <si>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</si>
  <si>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</si>
  <si>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</si>
  <si>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</si>
  <si>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</si>
  <si>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</si>
  <si>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</si>
  <si>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</si>
  <si>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</si>
  <si>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</si>
  <si>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</si>
  <si>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</si>
  <si>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</si>
  <si>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</si>
  <si>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</si>
  <si>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</si>
  <si>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</si>
  <si>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</si>
  <si>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</si>
  <si>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</si>
  <si>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</si>
  <si>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</si>
  <si>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</si>
  <si>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</si>
  <si>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</si>
  <si>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</si>
  <si>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</si>
  <si>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</si>
  <si>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</si>
  <si>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</si>
  <si>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</si>
  <si>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</si>
  <si>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</si>
  <si>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</si>
  <si>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</si>
  <si>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</si>
  <si>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</si>
  <si>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</si>
  <si>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</si>
  <si>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</si>
  <si>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</si>
  <si>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</si>
  <si>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</si>
  <si>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</si>
  <si>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</si>
  <si>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</si>
  <si>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</si>
  <si>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</si>
  <si>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</si>
  <si>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</si>
  <si>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</si>
  <si>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</si>
  <si>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</si>
  <si>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</si>
  <si>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</si>
  <si>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</si>
  <si>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</si>
  <si>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</si>
  <si>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</si>
  <si>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</si>
  <si>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</si>
  <si>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</si>
  <si>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</si>
  <si>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</si>
  <si>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</si>
  <si>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</si>
  <si>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</si>
  <si>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</si>
  <si>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</si>
  <si>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</si>
  <si>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</si>
  <si>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</si>
  <si>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</si>
  <si>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</si>
  <si>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</si>
  <si>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</si>
  <si>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</si>
  <si>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</si>
  <si>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</si>
  <si>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</si>
  <si>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</si>
  <si>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</si>
  <si>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</si>
  <si>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</si>
  <si>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</si>
  <si>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</si>
  <si>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</si>
  <si>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</si>
  <si>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</si>
  <si>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</si>
  <si>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</si>
  <si>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</si>
  <si>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</si>
  <si>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</si>
  <si>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</si>
  <si>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</si>
  <si>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</si>
  <si>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</si>
  <si>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</si>
  <si>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</si>
  <si>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</si>
  <si>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</si>
  <si>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</si>
  <si>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</si>
  <si>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</si>
  <si>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</si>
  <si>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</si>
  <si>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</si>
  <si>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</si>
  <si>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</si>
  <si>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</si>
  <si>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</si>
  <si>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</si>
  <si>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</si>
  <si>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</si>
  <si>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</si>
  <si>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</si>
  <si>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</si>
  <si>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</si>
  <si>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</si>
  <si>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</si>
  <si>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</si>
  <si>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</si>
  <si>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</si>
  <si>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</si>
  <si>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</si>
  <si>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</si>
  <si>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</si>
  <si>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</si>
  <si>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</si>
  <si>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</si>
  <si>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</si>
  <si>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</si>
  <si>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</si>
  <si>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</si>
  <si>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</si>
  <si>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</si>
  <si>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</si>
  <si>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</si>
  <si>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</si>
  <si>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</si>
  <si>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</si>
  <si>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</si>
  <si>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</si>
  <si>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</si>
  <si>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</si>
  <si>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</si>
  <si>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</si>
  <si>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</si>
  <si>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</si>
  <si>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</si>
  <si>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</si>
  <si>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</si>
  <si>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</si>
  <si>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</si>
  <si>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</si>
  <si>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</si>
  <si>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</si>
  <si>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</si>
  <si>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</si>
  <si>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</si>
  <si>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</si>
  <si>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</si>
  <si>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</si>
  <si>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</si>
  <si>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</si>
  <si>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</si>
  <si>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</si>
  <si>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</si>
  <si>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</si>
  <si>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</si>
  <si>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</si>
  <si>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</si>
  <si>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</si>
  <si>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</si>
  <si>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</si>
  <si>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</si>
  <si>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</si>
  <si>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</si>
  <si>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</si>
  <si>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</si>
  <si>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</si>
  <si>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</si>
  <si>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</si>
  <si>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</si>
  <si>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</si>
  <si>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</si>
  <si>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</si>
  <si>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</si>
  <si>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</si>
  <si>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</si>
  <si>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</si>
  <si>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</si>
  <si>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</si>
  <si>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</si>
  <si>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</si>
  <si>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</si>
  <si>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</si>
  <si>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</si>
  <si>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</si>
  <si>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</si>
  <si>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</si>
  <si>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</si>
  <si>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</si>
  <si>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</si>
  <si>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</si>
  <si>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</si>
  <si>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</si>
  <si>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</si>
  <si>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</si>
  <si>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</si>
  <si>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</si>
  <si>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</si>
  <si>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</si>
  <si>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</si>
  <si>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</si>
  <si>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</si>
  <si>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</si>
  <si>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</si>
  <si>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</si>
  <si>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</si>
  <si>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</si>
  <si>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</si>
  <si>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</si>
  <si>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</si>
  <si>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</si>
  <si>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</si>
  <si>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</si>
  <si>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</si>
  <si>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</si>
  <si>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</si>
  <si>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</si>
  <si>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</si>
  <si>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</si>
  <si>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</si>
  <si>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</si>
  <si>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</si>
  <si>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</si>
  <si>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</si>
  <si>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</si>
  <si>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</si>
  <si>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</si>
  <si>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</si>
  <si>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</si>
  <si>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</si>
  <si>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</si>
  <si>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</si>
  <si>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</si>
  <si>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</si>
  <si>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</si>
  <si>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</si>
  <si>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</si>
  <si>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</si>
  <si>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</si>
  <si>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</si>
  <si>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</si>
  <si>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</si>
  <si>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</si>
  <si>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</si>
  <si>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</si>
  <si>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</si>
  <si>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</si>
  <si>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</si>
  <si>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</si>
  <si>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</si>
  <si>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</si>
  <si>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</si>
  <si>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</si>
  <si>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</si>
  <si>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</si>
  <si>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</si>
  <si>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</si>
  <si>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</si>
  <si>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</si>
  <si>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</si>
  <si>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</si>
  <si>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</si>
  <si>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</si>
  <si>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</si>
  <si>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</si>
  <si>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</si>
  <si>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</si>
  <si>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</si>
  <si>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</si>
  <si>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</si>
  <si>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</si>
  <si>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</si>
  <si>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</si>
  <si>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Family Store</t>
  </si>
  <si>
    <t xml:space="preserve">Address: Velencia Town </t>
  </si>
  <si>
    <t>NTN #: 4130928-6</t>
  </si>
  <si>
    <t>Invoice No # :156156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</si>
</sst>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498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Family Store</v>
      </c>
      <c r="T3" s="301">
        <f>+'1'!P35</f>
        <v>13000.245869809321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Family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Family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Family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886.61625000000004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5.424606673728813</v>
      </c>
      <c r="P7" s="310">
        <f>M7+N7+O7</f>
        <v>1090.3459414194913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Family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Family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Family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7.5109613559322028</v>
      </c>
      <c r="P10" s="311">
        <f t="shared" si="2"/>
        <v>1509.7032325423729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Family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Family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Family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Family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Family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Family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12510.25</v>
      </c>
      <c r="J16" s="274">
        <f>SUM(J7:J15)</f>
        <v>1501.23</v>
      </c>
      <c r="K16" s="275">
        <f t="shared" si="3"/>
        <v>437.8587500000001</v>
      </c>
      <c r="L16" s="276">
        <f t="shared" si="3"/>
        <v>0</v>
      </c>
      <c r="M16" s="232">
        <f t="shared" si="3"/>
        <v>10571.161250000001</v>
      </c>
      <c r="N16" s="233">
        <f>SUM(N7:N15)</f>
        <v>2364.4067796610166</v>
      </c>
      <c r="O16" s="101">
        <f>SUM(O7:O15)</f>
        <v>64.67784014830508</v>
      </c>
      <c r="P16" s="113">
        <f>SUM(P7:P15)</f>
        <v>13000.245869809321</v>
      </c>
      <c r="Q16" s="128">
        <f>SUM(Q7:Q15)</f>
        <v>0</v>
      </c>
      <c r="R16" s="314">
        <v>14</v>
      </c>
      <c r="S16" s="318" t="str">
        <f>+'14'!A6:A6</f>
        <v>Family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Family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Family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12510.25</v>
      </c>
      <c r="R19" s="299">
        <v>17</v>
      </c>
      <c r="S19" s="300" t="str">
        <f>+'17'!A6:A6</f>
        <v>Family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1501.23</v>
      </c>
      <c r="R20" s="299">
        <v>18</v>
      </c>
      <c r="S20" s="300" t="str">
        <f>+'18'!A6:A6</f>
        <v>Family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437.8587500000001</v>
      </c>
      <c r="R21" s="299">
        <v>19</v>
      </c>
      <c r="S21" s="300" t="str">
        <f>+'19'!A6:A6</f>
        <v>Family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10571.161250000001</v>
      </c>
      <c r="R22" s="299">
        <v>20</v>
      </c>
      <c r="S22" s="300" t="str">
        <f>+'20'!A6:A6</f>
        <v>Family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2364.4067796610166</v>
      </c>
      <c r="R23" s="299">
        <v>21</v>
      </c>
      <c r="S23" s="300" t="str">
        <f>+'21'!A6:A6</f>
        <v>Family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12935.568029661017</v>
      </c>
      <c r="R24" s="299">
        <v>22</v>
      </c>
      <c r="S24" s="300" t="str">
        <f>+'22'!A6:A6</f>
        <v>Family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64.67784014830508</v>
      </c>
      <c r="R25" s="299">
        <v>23</v>
      </c>
      <c r="S25" s="300" t="str">
        <f>+'23'!A6:A6</f>
        <v>Family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13000.245869809321</v>
      </c>
      <c r="R26" s="299">
        <v>24</v>
      </c>
      <c r="S26" s="300" t="str">
        <f>+'24'!A6:A6</f>
        <v>Family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Family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Family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Family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Family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Family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Family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13000.245869809321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125.91</v>
      </c>
      <c r="K16" s="127">
        <f>$I16*T16</f>
        <v>36.723750000000003</v>
      </c>
      <c r="L16" s="118">
        <f>$I16*U16</f>
        <v>0</v>
      </c>
      <c r="M16" s="229">
        <f>I16-SUM(J16:L16)</f>
        <v>886.61625000000004</v>
      </c>
      <c r="N16" s="248">
        <f>+(G16*D16+H16)*V16</f>
        <v>198.30508474576263</v>
      </c>
      <c r="O16" s="238">
        <f>(N16+M16)*$O$15</f>
        <v>5.424606673728813</v>
      </c>
      <c r="P16" s="310">
        <f>M16+N16+O16</f>
        <v>1090.3459414194913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174.33599999999998</v>
      </c>
      <c r="K19" s="128">
        <f t="shared" si="1"/>
        <v>50.848000000000006</v>
      </c>
      <c r="L19" s="119">
        <f t="shared" si="1"/>
        <v>0</v>
      </c>
      <c r="M19" s="230">
        <f t="shared" si="2"/>
        <v>1227.616</v>
      </c>
      <c r="N19" s="277">
        <f t="shared" si="3"/>
        <v>274.57627118644069</v>
      </c>
      <c r="O19" s="239">
        <f t="shared" si="4"/>
        <v>7.5109613559322028</v>
      </c>
      <c r="P19" s="311">
        <f t="shared" si="5"/>
        <v>1509.7032325423729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12510.25</v>
      </c>
      <c r="J25" s="274">
        <f>SUM(J16:J24)</f>
        <v>1501.23</v>
      </c>
      <c r="K25" s="275">
        <f t="shared" si="10"/>
        <v>437.8587500000001</v>
      </c>
      <c r="L25" s="276">
        <f t="shared" si="10"/>
        <v>0</v>
      </c>
      <c r="M25" s="232">
        <f t="shared" si="10"/>
        <v>10571.161250000001</v>
      </c>
      <c r="N25" s="233">
        <f>SUM(N16:N24)</f>
        <v>2364.4067796610166</v>
      </c>
      <c r="O25" s="101">
        <f>SUM(O16:O24)</f>
        <v>64.67784014830508</v>
      </c>
      <c r="P25" s="113">
        <f>SUM(P16:P24)</f>
        <v>13000.245869809321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12510.25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1501.23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437.8587500000001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10571.161250000001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2364.4067796610166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12935.568029661017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64.67784014830508</v>
      </c>
    </row>
    <row r="35" spans="2:16" ht="15.75" customHeight="1" thickBot="1" x14ac:dyDescent="0.4">
      <c r="N35" s="345" t="s">
        <v>88</v>
      </c>
      <c r="O35" s="346"/>
      <c r="P35" s="297">
        <f>+P33+P34</f>
        <v>13000.245869809321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 Name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2026-09-09T12:12:29Z</dcterms:modified>
</cp:coreProperties>
</file>