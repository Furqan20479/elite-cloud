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254CAE-FEBD-42C2-8FD8-4F6DDC017A4C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69"/>
  <c r="O21" i="69" s="1"/>
  <c r="P21" i="69" s="1"/>
  <c r="M20" i="43"/>
  <c r="O20" i="43" s="1"/>
  <c r="P20" i="43" s="1"/>
  <c r="R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16" i="44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<sst xmlns="http://schemas.openxmlformats.org/spreadsheetml/2006/main" count="3947" uniqueCount="521">
  <si>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</si>
  <si>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</si>
  <si>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</si>
  <si>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</si>
  <si>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</si>
  <si>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</si>
  <si>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</si>
  <si>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</si>
  <si>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</si>
  <si>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</si>
  <si>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</si>
  <si>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</si>
  <si>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</si>
  <si>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</si>
  <si>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</si>
  <si>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</si>
  <si>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</si>
  <si>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</si>
  <si>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</si>
  <si>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</si>
  <si>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</si>
  <si>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</si>
  <si>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</si>
  <si>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</si>
  <si>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</si>
  <si>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</si>
  <si>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</si>
  <si>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</si>
  <si>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</si>
  <si>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</si>
  <si>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</si>
  <si>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</si>
  <si>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</si>
  <si>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</si>
  <si>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</si>
  <si>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</si>
  <si>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</si>
  <si>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</si>
  <si>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</si>
  <si>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</si>
  <si>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</si>
  <si>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</si>
  <si>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</si>
  <si>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</si>
  <si>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</si>
  <si>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</si>
  <si>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</si>
  <si>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</si>
  <si>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</si>
  <si>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</si>
  <si>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</si>
  <si>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</si>
  <si>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</si>
  <si>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</si>
  <si>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</si>
  <si>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</si>
  <si>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</si>
  <si>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</si>
  <si>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</si>
  <si>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</si>
  <si>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</si>
  <si>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</si>
  <si>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</si>
  <si>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</si>
  <si>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</si>
  <si>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</si>
  <si>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</si>
  <si>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</si>
  <si>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</si>
  <si>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</si>
  <si>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</si>
  <si>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</si>
  <si>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</si>
  <si>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</si>
  <si>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</si>
  <si>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</si>
  <si>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</si>
  <si>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</si>
  <si>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</si>
  <si>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</si>
  <si>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</si>
  <si>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</si>
  <si>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</si>
  <si>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</si>
  <si>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</si>
  <si>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</si>
  <si>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</si>
  <si>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</si>
  <si>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</si>
  <si>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</si>
  <si>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</si>
  <si>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</si>
  <si>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</si>
  <si>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</si>
  <si>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</si>
  <si>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</si>
  <si>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</si>
  <si>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</si>
  <si>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</si>
  <si>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</si>
  <si>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</si>
  <si>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</si>
  <si>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</si>
  <si>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</si>
  <si>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</si>
  <si>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</si>
  <si>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</si>
  <si>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</si>
  <si>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</si>
  <si>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</si>
  <si>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</si>
  <si>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</si>
  <si>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</si>
  <si>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</si>
  <si>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</si>
  <si>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</si>
  <si>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</si>
  <si>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</si>
  <si>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</si>
  <si>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</si>
  <si>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</si>
  <si>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</si>
  <si>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</si>
  <si>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</si>
  <si>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</si>
  <si>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</si>
  <si>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</si>
  <si>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</si>
  <si>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</si>
  <si>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</si>
  <si>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</si>
  <si>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</si>
  <si>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</si>
  <si>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</si>
  <si>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</si>
  <si>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</si>
  <si>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</si>
  <si>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</si>
  <si>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</si>
  <si>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</si>
  <si>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</si>
  <si>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</si>
  <si>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</si>
  <si>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</si>
  <si>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</si>
  <si>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</si>
  <si>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</si>
  <si>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</si>
  <si>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</si>
  <si>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</si>
  <si>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</si>
  <si>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</si>
  <si>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</si>
  <si>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</si>
  <si>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</si>
  <si>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</si>
  <si>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</si>
  <si>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</si>
  <si>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</si>
  <si>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</si>
  <si>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</si>
  <si>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</si>
  <si>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</si>
  <si>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</si>
  <si>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</si>
  <si>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</si>
  <si>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</si>
  <si>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</si>
  <si>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</si>
  <si>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</si>
  <si>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</si>
  <si>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</si>
  <si>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</si>
  <si>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</si>
  <si>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</si>
  <si>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</si>
  <si>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</si>
  <si>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</si>
  <si>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</si>
  <si>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</si>
  <si>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</si>
  <si>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</si>
  <si>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</si>
  <si>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</si>
  <si>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</si>
  <si>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</si>
  <si>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</si>
  <si>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</si>
  <si>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</si>
  <si>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</si>
  <si>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</si>
  <si>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</si>
  <si>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</si>
  <si>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</si>
  <si>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</si>
  <si>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</si>
  <si>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</si>
  <si>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</si>
  <si>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</si>
  <si>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</si>
  <si>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</si>
  <si>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</si>
  <si>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</si>
  <si>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</si>
  <si>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</si>
  <si>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</si>
  <si>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</si>
  <si>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</si>
  <si>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</si>
  <si>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</si>
  <si>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</si>
  <si>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</si>
  <si>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</si>
  <si>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</si>
  <si>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</si>
  <si>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</si>
  <si>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</si>
  <si>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</si>
  <si>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</si>
  <si>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</si>
  <si>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</si>
  <si>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</si>
  <si>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</si>
  <si>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</si>
  <si>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</si>
  <si>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</si>
  <si>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</si>
  <si>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</si>
  <si>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</si>
  <si>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</si>
  <si>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</si>
  <si>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</si>
  <si>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</si>
  <si>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</si>
  <si>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</si>
  <si>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</si>
  <si>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</si>
  <si>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</si>
  <si>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</si>
  <si>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</si>
  <si>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</si>
  <si>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</si>
  <si>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</si>
  <si>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</si>
  <si>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</si>
  <si>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</si>
  <si>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</si>
  <si>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</si>
  <si>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</si>
  <si>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</si>
  <si>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</si>
  <si>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</si>
  <si>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</si>
  <si>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</si>
  <si>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</si>
  <si>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</si>
  <si>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</si>
  <si>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</si>
  <si>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</si>
  <si>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</si>
  <si>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</si>
  <si>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</si>
  <si>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</si>
  <si>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</si>
  <si>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</si>
  <si>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</si>
  <si>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</si>
  <si>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</si>
  <si>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</si>
  <si>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</si>
  <si>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</si>
  <si>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</si>
  <si>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</si>
  <si>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</si>
  <si>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</si>
  <si>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</si>
  <si>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</si>
  <si>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</si>
  <si>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</si>
  <si>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</si>
  <si>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</si>
  <si>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</si>
  <si>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</si>
  <si>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</si>
  <si>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</si>
  <si>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</si>
  <si>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</si>
  <si>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</si>
  <si>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</si>
  <si>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</si>
  <si>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</si>
  <si>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</si>
  <si>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</si>
  <si>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</si>
  <si>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</si>
  <si>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</si>
  <si>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</si>
  <si>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</si>
  <si>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</si>
  <si>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</si>
  <si>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</si>
  <si>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</si>
  <si>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</si>
  <si>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</si>
  <si>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</si>
  <si>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</si>
  <si>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</si>
  <si>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</si>
  <si>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</si>
  <si>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</si>
  <si>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</si>
  <si>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</si>
  <si>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</si>
  <si>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</si>
  <si>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</si>
  <si>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</si>
  <si>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</si>
  <si>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</si>
  <si>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</si>
  <si>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</si>
  <si>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</si>
  <si>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</si>
  <si>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</si>
  <si>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</si>
  <si>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</si>
  <si>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</si>
  <si>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</si>
  <si>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</si>
  <si>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</si>
  <si>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</si>
  <si>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</si>
  <si>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</si>
  <si>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</si>
  <si>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</si>
  <si>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</si>
  <si>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</si>
  <si>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</si>
  <si>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</si>
  <si>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</si>
  <si>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</si>
  <si>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</si>
  <si>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</si>
  <si>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</si>
  <si>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</si>
  <si>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</si>
  <si>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</si>
  <si>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</si>
  <si>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</si>
  <si>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</si>
  <si>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</si>
  <si>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</si>
  <si>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</si>
  <si>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</si>
  <si>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</si>
  <si>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</si>
  <si>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</si>
  <si>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</si>
  <si>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</si>
  <si>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</si>
  <si>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</si>
  <si>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</si>
  <si>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</si>
  <si>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</si>
  <si>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</si>
  <si>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</si>
  <si>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</si>
  <si>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</si>
  <si>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</si>
  <si>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</si>
  <si>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</si>
  <si>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</si>
  <si>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</si>
  <si>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</si>
  <si>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</si>
  <si>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</si>
  <si>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</si>
  <si>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</si>
  <si>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</si>
  <si>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</si>
  <si>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</si>
  <si>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</si>
  <si>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</si>
  <si>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</si>
  <si>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</si>
  <si>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</si>
  <si>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</si>
  <si>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</si>
  <si>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</si>
  <si>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</si>
  <si>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</si>
  <si>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</si>
  <si>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</si>
  <si>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</si>
  <si>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</si>
  <si>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</si>
  <si>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</si>
  <si>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</si>
  <si>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</si>
  <si>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</si>
  <si>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</si>
  <si>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</si>
  <si>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</si>
  <si>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</si>
  <si>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</si>
  <si>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</si>
  <si>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</si>
  <si>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</si>
  <si>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</si>
  <si>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</si>
  <si>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</si>
  <si>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</si>
  <si>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</si>
  <si>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</si>
  <si>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</si>
  <si>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</si>
  <si>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</si>
  <si>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</si>
  <si>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</si>
  <si>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</si>
  <si>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</si>
  <si>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</si>
  <si>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</si>
  <si>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</si>
  <si>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</si>
  <si>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</si>
  <si>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</si>
  <si>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</si>
  <si>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</si>
  <si>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</si>
  <si>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</si>
  <si>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</si>
  <si>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</si>
  <si>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</si>
  <si>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</si>
  <si>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</si>
  <si>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</si>
  <si>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</si>
  <si>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</si>
  <si>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</si>
  <si>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</si>
  <si>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</si>
  <si>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</si>
  <si>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</si>
  <si>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</si>
  <si>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</si>
  <si>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</si>
  <si>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</si>
  <si>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</si>
  <si>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</si>
  <si>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</si>
  <si>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</si>
  <si>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</si>
  <si>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</si>
  <si>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</si>
  <si>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</si>
  <si>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</si>
  <si>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</si>
  <si>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</si>
  <si>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</si>
  <si>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</si>
  <si>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</si>
  <si>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</si>
  <si>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</si>
  <si>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</si>
  <si>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</si>
  <si>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</si>
  <si>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</si>
  <si>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</si>
  <si>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</si>
  <si>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</si>
  <si>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</si>
  <si>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</si>
  <si>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</si>
  <si>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</si>
  <si>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</si>
  <si>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</si>
  <si>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</si>
  <si>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</si>
  <si>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</si>
  <si>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</si>
  <si>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</si>
  <si>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</si>
  <si>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</si>
  <si>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</si>
  <si>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</si>
  <si>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</si>
  <si>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</si>
  <si>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</si>
  <si>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</si>
  <si>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</si>
  <si>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</si>
  <si>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</si>
  <si>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</si>
  <si>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</si>
  <si>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</si>
  <si>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</si>
  <si>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</si>
  <si>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</si>
  <si>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</si>
  <si>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</si>
  <si>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</si>
  <si>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</si>
  <si>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</si>
  <si>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</si>
  <si>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</si>
  <si>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</si>
  <si>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</si>
  <si>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</si>
  <si>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</si>
  <si>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</si>
  <si>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</si>
  <si>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</si>
  <si>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</si>
  <si>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</si>
  <si>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</si>
  <si>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Address: Lake City</t>
  </si>
  <si>
    <t>Invoice No # :12458</t>
  </si>
  <si>
    <t xml:space="preserve">Shakoor </t>
  </si>
  <si>
    <t>Address: Behria Orchard</t>
  </si>
  <si>
    <t>Invoice No # :12451</t>
  </si>
  <si>
    <t>Invoice No # :127864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</si>
</sst>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46274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20058.205541949148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15170.035525423727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629.54999999999995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3567.45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21.80335169491525</v>
      </c>
      <c r="P7" s="310">
        <f>M7+N7+O7</f>
        <v>4382.4736906779654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629.54999999999995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3567.45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21.80335169491525</v>
      </c>
      <c r="P9" s="311">
        <f t="shared" si="2"/>
        <v>4382.4736906779654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7409.2799999999988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45.283688135593216</v>
      </c>
      <c r="P10" s="311">
        <f t="shared" si="2"/>
        <v>9102.0213152542365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4939.5199999999995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30.189125423728811</v>
      </c>
      <c r="P11" s="311">
        <f t="shared" si="2"/>
        <v>6068.014210169491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7409.2799999999988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45.283688135593216</v>
      </c>
      <c r="P12" s="311">
        <f t="shared" si="2"/>
        <v>9102.0213152542365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13</v>
      </c>
      <c r="H16" s="113">
        <f t="shared" ref="H16:M16" si="3">SUM(H7:H15)</f>
        <v>520</v>
      </c>
      <c r="I16" s="114">
        <f t="shared" si="3"/>
        <v>33737.300000000003</v>
      </c>
      <c r="J16" s="274">
        <f>SUM(J7:J15)</f>
        <v>5060.5949999999993</v>
      </c>
      <c r="K16" s="275">
        <f t="shared" si="3"/>
        <v>0</v>
      </c>
      <c r="L16" s="276">
        <f t="shared" si="3"/>
        <v>0</v>
      </c>
      <c r="M16" s="232">
        <f t="shared" si="3"/>
        <v>28676.704999999998</v>
      </c>
      <c r="N16" s="233">
        <f>SUM(N7:N15)</f>
        <v>6376.2711864406774</v>
      </c>
      <c r="O16" s="101">
        <f>SUM(O7:O15)</f>
        <v>175.2648809322034</v>
      </c>
      <c r="P16" s="113">
        <f>SUM(P7:P15)</f>
        <v>35228.241067372881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33737.300000000003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5060.5949999999993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28676.705000000002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6376.2711864406774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35052.976186440676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175.2648809322034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35228.241067372881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35228.241067372874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activeCell="G26" sqref="G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519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46275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46274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515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629.54999999999995</v>
      </c>
      <c r="K16" s="127">
        <f>$I16*T16</f>
        <v>0</v>
      </c>
      <c r="L16" s="118">
        <f>$I16*U16</f>
        <v>0</v>
      </c>
      <c r="M16" s="229">
        <f>I16-SUM(J16:L16)</f>
        <v>3567.45</v>
      </c>
      <c r="N16" s="248">
        <f>+(G16*D16+H16)*V16</f>
        <v>793.22033898305051</v>
      </c>
      <c r="O16" s="238">
        <f>(N16+M16)*$O$15</f>
        <v>21.80335169491525</v>
      </c>
      <c r="P16" s="310">
        <f>M16+N16+O16</f>
        <v>4382.4736906779654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629.54999999999995</v>
      </c>
      <c r="K18" s="128">
        <f t="shared" si="1"/>
        <v>0</v>
      </c>
      <c r="L18" s="119">
        <f t="shared" si="1"/>
        <v>0</v>
      </c>
      <c r="M18" s="230">
        <f t="shared" si="2"/>
        <v>3567.45</v>
      </c>
      <c r="N18" s="277">
        <f t="shared" si="3"/>
        <v>793.22033898305051</v>
      </c>
      <c r="O18" s="239">
        <f t="shared" si="4"/>
        <v>21.80335169491525</v>
      </c>
      <c r="P18" s="311">
        <f t="shared" si="5"/>
        <v>4382.4736906779654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R20">
        <f>P20/21</f>
        <v>144.4765288135593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19209.3</v>
      </c>
      <c r="J25" s="274">
        <f>SUM(J16:J24)</f>
        <v>2881.395</v>
      </c>
      <c r="K25" s="275">
        <f t="shared" si="10"/>
        <v>0</v>
      </c>
      <c r="L25" s="276">
        <f t="shared" si="10"/>
        <v>0</v>
      </c>
      <c r="M25" s="232">
        <f t="shared" si="10"/>
        <v>16327.905000000001</v>
      </c>
      <c r="N25" s="233">
        <f>SUM(N16:N24)</f>
        <v>3630.5084745762701</v>
      </c>
      <c r="O25" s="101">
        <f>SUM(O16:O24)</f>
        <v>99.79206737288132</v>
      </c>
      <c r="P25" s="113">
        <f>SUM(P16:P24)</f>
        <v>20058.205541949152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19209.3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2881.395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16327.904999999999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3630.5084745762701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19958.413474576268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99.792067372881334</v>
      </c>
    </row>
    <row r="35" spans="2:16" ht="15.75" customHeight="1" thickBot="1" x14ac:dyDescent="0.4">
      <c r="N35" s="386" t="s">
        <v>88</v>
      </c>
      <c r="O35" s="387"/>
      <c r="P35" s="297">
        <f>+P33+P34</f>
        <v>20058.205541949148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520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46275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46274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517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518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/>
      <c r="I16" s="128">
        <f>(G16*D16)*F16+H16*F16</f>
        <v>0</v>
      </c>
      <c r="J16" s="128">
        <f>$I16*S16</f>
        <v>0</v>
      </c>
      <c r="K16" s="128">
        <f>$I16*T16</f>
        <v>0</v>
      </c>
      <c r="L16" s="128">
        <f>$I16*U16</f>
        <v>0</v>
      </c>
      <c r="M16" s="213">
        <f>I16-SUM(J16:L16)</f>
        <v>0</v>
      </c>
      <c r="N16" s="128">
        <f>+(G16*D16+H16)*V16</f>
        <v>0</v>
      </c>
      <c r="O16" s="128">
        <f>(N16+M16)*$O$15</f>
        <v>0</v>
      </c>
      <c r="P16" s="119">
        <f>M16+N16+O16</f>
        <v>0</v>
      </c>
      <c r="Q16" s="326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/>
      <c r="I17" s="128">
        <f t="shared" ref="I17:I23" si="0">(G17*D17)*F17+H17*F17</f>
        <v>0</v>
      </c>
      <c r="J17" s="128">
        <f t="shared" ref="J17:L24" si="1">$I17*S17</f>
        <v>0</v>
      </c>
      <c r="K17" s="128">
        <f>$I17*T17</f>
        <v>0</v>
      </c>
      <c r="L17" s="128">
        <f>$I17*U17</f>
        <v>0</v>
      </c>
      <c r="M17" s="213">
        <f t="shared" ref="M17:M24" si="2">I17-SUM(J17:L17)</f>
        <v>0</v>
      </c>
      <c r="N17" s="128">
        <f t="shared" ref="N17:N24" si="3">+(G17*D17+H17)*V17</f>
        <v>0</v>
      </c>
      <c r="O17" s="128">
        <f t="shared" ref="O17:O24" si="4">(N17+M17)*$O$15</f>
        <v>0</v>
      </c>
      <c r="P17" s="119">
        <f t="shared" ref="P17:P24" si="5">M17+N17+O17</f>
        <v>0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/>
      <c r="I18" s="128">
        <f t="shared" si="0"/>
        <v>0</v>
      </c>
      <c r="J18" s="128">
        <f t="shared" si="1"/>
        <v>0</v>
      </c>
      <c r="K18" s="128">
        <f t="shared" si="1"/>
        <v>0</v>
      </c>
      <c r="L18" s="128">
        <f t="shared" si="1"/>
        <v>0</v>
      </c>
      <c r="M18" s="213">
        <f t="shared" si="2"/>
        <v>0</v>
      </c>
      <c r="N18" s="128">
        <f t="shared" si="3"/>
        <v>0</v>
      </c>
      <c r="O18" s="128">
        <f t="shared" si="4"/>
        <v>0</v>
      </c>
      <c r="P18" s="119">
        <f t="shared" si="5"/>
        <v>0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>
        <v>80</v>
      </c>
      <c r="I19" s="128">
        <f t="shared" si="0"/>
        <v>5811.2</v>
      </c>
      <c r="J19" s="128">
        <f t="shared" si="1"/>
        <v>871.68</v>
      </c>
      <c r="K19" s="128">
        <f t="shared" si="1"/>
        <v>0</v>
      </c>
      <c r="L19" s="128">
        <f t="shared" si="1"/>
        <v>0</v>
      </c>
      <c r="M19" s="213">
        <f t="shared" si="2"/>
        <v>4939.5199999999995</v>
      </c>
      <c r="N19" s="128">
        <f t="shared" si="3"/>
        <v>1098.3050847457628</v>
      </c>
      <c r="O19" s="128">
        <f t="shared" si="4"/>
        <v>30.189125423728811</v>
      </c>
      <c r="P19" s="119">
        <f t="shared" si="5"/>
        <v>6068.014210169491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>
        <v>40</v>
      </c>
      <c r="I20" s="128">
        <f t="shared" si="0"/>
        <v>2905.6</v>
      </c>
      <c r="J20" s="128">
        <f t="shared" si="1"/>
        <v>435.84</v>
      </c>
      <c r="K20" s="128">
        <f t="shared" si="1"/>
        <v>0</v>
      </c>
      <c r="L20" s="128">
        <f t="shared" si="1"/>
        <v>0</v>
      </c>
      <c r="M20" s="213">
        <f t="shared" si="2"/>
        <v>2469.7599999999998</v>
      </c>
      <c r="N20" s="128">
        <f t="shared" si="3"/>
        <v>549.15254237288138</v>
      </c>
      <c r="O20" s="128">
        <f t="shared" si="4"/>
        <v>15.094562711864405</v>
      </c>
      <c r="P20" s="119">
        <f t="shared" si="5"/>
        <v>3034.0071050847455</v>
      </c>
      <c r="Q20" s="327"/>
      <c r="R20">
        <f>P20/21</f>
        <v>144.4765288135593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>
        <v>80</v>
      </c>
      <c r="I21" s="128">
        <f t="shared" si="0"/>
        <v>5811.2</v>
      </c>
      <c r="J21" s="128">
        <f t="shared" si="1"/>
        <v>871.68</v>
      </c>
      <c r="K21" s="128">
        <f t="shared" si="1"/>
        <v>0</v>
      </c>
      <c r="L21" s="128">
        <f t="shared" si="1"/>
        <v>0</v>
      </c>
      <c r="M21" s="213">
        <f t="shared" si="2"/>
        <v>4939.5199999999995</v>
      </c>
      <c r="N21" s="128">
        <f t="shared" si="3"/>
        <v>1098.3050847457628</v>
      </c>
      <c r="O21" s="128">
        <f t="shared" si="4"/>
        <v>30.189125423728811</v>
      </c>
      <c r="P21" s="119">
        <f t="shared" si="5"/>
        <v>6068.014210169491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200</v>
      </c>
      <c r="I25" s="330">
        <f t="shared" si="7"/>
        <v>14528</v>
      </c>
      <c r="J25" s="330">
        <f>SUM(J16:J24)</f>
        <v>2179.1999999999998</v>
      </c>
      <c r="K25" s="330">
        <f t="shared" si="7"/>
        <v>0</v>
      </c>
      <c r="L25" s="330">
        <f t="shared" si="7"/>
        <v>0</v>
      </c>
      <c r="M25" s="329">
        <f t="shared" si="7"/>
        <v>12348.8</v>
      </c>
      <c r="N25" s="329">
        <f>SUM(N16:N24)</f>
        <v>2745.7627118644068</v>
      </c>
      <c r="O25" s="331">
        <f>SUM(O16:O24)</f>
        <v>75.47281355932202</v>
      </c>
      <c r="P25" s="332">
        <f>SUM(P16:P24)</f>
        <v>15170.035525423727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14528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2179.1999999999998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12348.8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15094.562711864406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75.472813559322034</v>
      </c>
    </row>
    <row r="35" spans="2:16" ht="15.75" customHeight="1" thickBot="1" x14ac:dyDescent="0.4">
      <c r="N35" s="386" t="s">
        <v>88</v>
      </c>
      <c r="O35" s="387"/>
      <c r="P35" s="297">
        <f>+P33+P34</f>
        <v>15170.035525423727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516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46275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46274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2026-09-09T12:04:22Z</dcterms:modified>
</cp:coreProperties>
</file>