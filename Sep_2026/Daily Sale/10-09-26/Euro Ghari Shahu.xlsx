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1EC6F25-CA38-4050-B46A-25445562E9EA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60" l="1"/>
  <c r="O17" i="60" s="1"/>
  <c r="P17" i="60" s="1"/>
  <c r="M16" i="66"/>
  <c r="M20" i="46"/>
  <c r="O20" i="46" s="1"/>
  <c r="P20" i="46" s="1"/>
  <c r="R20" i="46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<sst xmlns="http://schemas.openxmlformats.org/spreadsheetml/2006/main" count="3978" uniqueCount="522">
  <si>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</si>
  <si>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</si>
  <si>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</si>
  <si>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</si>
  <si>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</si>
  <si>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</si>
  <si>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</si>
  <si>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</si>
  <si>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</si>
  <si>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</si>
  <si>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</si>
  <si>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</si>
  <si>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</si>
  <si>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</si>
  <si>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</si>
  <si>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</si>
  <si>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</si>
  <si>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</si>
  <si>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</si>
  <si>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</si>
  <si>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</si>
  <si>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</si>
  <si>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</si>
  <si>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</si>
  <si>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</si>
  <si>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</si>
  <si>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</si>
  <si>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</si>
  <si>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</si>
  <si>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</si>
  <si>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</si>
  <si>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</si>
  <si>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</si>
  <si>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</si>
  <si>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</si>
  <si>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</si>
  <si>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</si>
  <si>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</si>
  <si>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</si>
  <si>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</si>
  <si>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</si>
  <si>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</si>
  <si>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</si>
  <si>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</si>
  <si>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</si>
  <si>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</si>
  <si>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</si>
  <si>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</si>
  <si>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</si>
  <si>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</si>
  <si>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</si>
  <si>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</si>
  <si>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</si>
  <si>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</si>
  <si>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</si>
  <si>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</si>
  <si>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</si>
  <si>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</si>
  <si>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</si>
  <si>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</si>
  <si>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</si>
  <si>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</si>
  <si>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</si>
  <si>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</si>
  <si>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</si>
  <si>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</si>
  <si>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</si>
  <si>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</si>
  <si>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</si>
  <si>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</si>
  <si>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</si>
  <si>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</si>
  <si>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</si>
  <si>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</si>
  <si>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</si>
  <si>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</si>
  <si>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</si>
  <si>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</si>
  <si>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</si>
  <si>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</si>
  <si>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</si>
  <si>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</si>
  <si>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</si>
  <si>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</si>
  <si>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</si>
  <si>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</si>
  <si>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</si>
  <si>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</si>
  <si>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</si>
  <si>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</si>
  <si>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</si>
  <si>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</si>
  <si>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</si>
  <si>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</si>
  <si>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</si>
  <si>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</si>
  <si>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</si>
  <si>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</si>
  <si>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</si>
  <si>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</si>
  <si>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</si>
  <si>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</si>
  <si>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</si>
  <si>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</si>
  <si>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</si>
  <si>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</si>
  <si>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</si>
  <si>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</si>
  <si>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</si>
  <si>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</si>
  <si>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</si>
  <si>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</si>
  <si>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</si>
  <si>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</si>
  <si>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</si>
  <si>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</si>
  <si>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</si>
  <si>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</si>
  <si>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</si>
  <si>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</si>
  <si>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</si>
  <si>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</si>
  <si>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</si>
  <si>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</si>
  <si>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</si>
  <si>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</si>
  <si>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</si>
  <si>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</si>
  <si>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</si>
  <si>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</si>
  <si>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</si>
  <si>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</si>
  <si>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</si>
  <si>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</si>
  <si>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</si>
  <si>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</si>
  <si>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</si>
  <si>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</si>
  <si>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</si>
  <si>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</si>
  <si>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</si>
  <si>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</si>
  <si>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</si>
  <si>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</si>
  <si>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</si>
  <si>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</si>
  <si>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</si>
  <si>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</si>
  <si>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</si>
  <si>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</si>
  <si>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</si>
  <si>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</si>
  <si>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</si>
  <si>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</si>
  <si>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</si>
  <si>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</si>
  <si>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</si>
  <si>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</si>
  <si>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</si>
  <si>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</si>
  <si>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</si>
  <si>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</si>
  <si>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</si>
  <si>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</si>
  <si>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</si>
  <si>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</si>
  <si>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</si>
  <si>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</si>
  <si>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</si>
  <si>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</si>
  <si>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</si>
  <si>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</si>
  <si>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</si>
  <si>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</si>
  <si>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</si>
  <si>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</si>
  <si>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</si>
  <si>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</si>
  <si>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</si>
  <si>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</si>
  <si>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</si>
  <si>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</si>
  <si>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</si>
  <si>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</si>
  <si>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</si>
  <si>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</si>
  <si>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</si>
  <si>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</si>
  <si>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</si>
  <si>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</si>
  <si>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</si>
  <si>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</si>
  <si>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</si>
  <si>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</si>
  <si>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</si>
  <si>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</si>
  <si>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</si>
  <si>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</si>
  <si>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</si>
  <si>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</si>
  <si>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</si>
  <si>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</si>
  <si>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</si>
  <si>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</si>
  <si>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</si>
  <si>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</si>
  <si>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</si>
  <si>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</si>
  <si>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</si>
  <si>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</si>
  <si>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</si>
  <si>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</si>
  <si>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</si>
  <si>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</si>
  <si>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</si>
  <si>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</si>
  <si>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</si>
  <si>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</si>
  <si>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</si>
  <si>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</si>
  <si>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</si>
  <si>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</si>
  <si>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</si>
  <si>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</si>
  <si>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</si>
  <si>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</si>
  <si>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</si>
  <si>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</si>
  <si>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</si>
  <si>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</si>
  <si>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</si>
  <si>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</si>
  <si>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</si>
  <si>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</si>
  <si>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</si>
  <si>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</si>
  <si>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</si>
  <si>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</si>
  <si>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</si>
  <si>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</si>
  <si>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</si>
  <si>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</si>
  <si>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</si>
  <si>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</si>
  <si>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</si>
  <si>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</si>
  <si>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</si>
  <si>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</si>
  <si>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</si>
  <si>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</si>
  <si>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</si>
  <si>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</si>
  <si>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</si>
  <si>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</si>
  <si>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</si>
  <si>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</si>
  <si>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</si>
  <si>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</si>
  <si>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</si>
  <si>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</si>
  <si>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</si>
  <si>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</si>
  <si>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</si>
  <si>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</si>
  <si>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</si>
  <si>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</si>
  <si>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</si>
  <si>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</si>
  <si>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</si>
  <si>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</si>
  <si>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</si>
  <si>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</si>
  <si>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</si>
  <si>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</si>
  <si>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</si>
  <si>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</si>
  <si>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</si>
  <si>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</si>
  <si>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</si>
  <si>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</si>
  <si>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</si>
  <si>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</si>
  <si>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</si>
  <si>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</si>
  <si>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</si>
  <si>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</si>
  <si>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</si>
  <si>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</si>
  <si>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</si>
  <si>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</si>
  <si>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</si>
  <si>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</si>
  <si>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</si>
  <si>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</si>
  <si>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</si>
  <si>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</si>
  <si>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</si>
  <si>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</si>
  <si>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</si>
  <si>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</si>
  <si>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</si>
  <si>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</si>
  <si>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</si>
  <si>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</si>
  <si>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</si>
  <si>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</si>
  <si>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</si>
  <si>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</si>
  <si>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</si>
  <si>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</si>
  <si>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</si>
  <si>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</si>
  <si>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</si>
  <si>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</si>
  <si>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</si>
  <si>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</si>
  <si>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</si>
  <si>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</si>
  <si>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</si>
  <si>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</si>
  <si>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</si>
  <si>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</si>
  <si>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</si>
  <si>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</si>
  <si>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</si>
  <si>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</si>
  <si>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</si>
  <si>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</si>
  <si>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</si>
  <si>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</si>
  <si>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</si>
  <si>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</si>
  <si>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</si>
  <si>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</si>
  <si>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</si>
  <si>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</si>
  <si>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</si>
  <si>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</si>
  <si>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</si>
  <si>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</si>
  <si>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</si>
  <si>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</si>
  <si>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</si>
  <si>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</si>
  <si>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</si>
  <si>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</si>
  <si>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</si>
  <si>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</si>
  <si>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</si>
  <si>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</si>
  <si>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</si>
  <si>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</si>
  <si>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</si>
  <si>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</si>
  <si>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</si>
  <si>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</si>
  <si>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</si>
  <si>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</si>
  <si>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</si>
  <si>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</si>
  <si>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</si>
  <si>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</si>
  <si>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</si>
  <si>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</si>
  <si>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</si>
  <si>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</si>
  <si>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</si>
  <si>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</si>
  <si>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</si>
  <si>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</si>
  <si>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</si>
  <si>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</si>
  <si>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</si>
  <si>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</si>
  <si>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</si>
  <si>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</si>
  <si>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</si>
  <si>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</si>
  <si>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</si>
  <si>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</si>
  <si>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</si>
  <si>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</si>
  <si>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</si>
  <si>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</si>
  <si>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</si>
  <si>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</si>
  <si>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</si>
  <si>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</si>
  <si>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</si>
  <si>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</si>
  <si>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</si>
  <si>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</si>
  <si>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</si>
  <si>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</si>
  <si>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</si>
  <si>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</si>
  <si>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</si>
  <si>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</si>
  <si>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</si>
  <si>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</si>
  <si>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</si>
  <si>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</si>
  <si>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</si>
  <si>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</si>
  <si>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</si>
  <si>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</si>
  <si>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</si>
  <si>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</si>
  <si>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</si>
  <si>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</si>
  <si>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</si>
  <si>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</si>
  <si>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</si>
  <si>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</si>
  <si>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</si>
  <si>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</si>
  <si>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</si>
  <si>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</si>
  <si>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</si>
  <si>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</si>
  <si>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</si>
  <si>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</si>
  <si>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</si>
  <si>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</si>
  <si>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</si>
  <si>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</si>
  <si>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</si>
  <si>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</si>
  <si>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</si>
  <si>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</si>
  <si>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</si>
  <si>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</si>
  <si>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</si>
  <si>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</si>
  <si>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</si>
  <si>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</si>
  <si>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</si>
  <si>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</si>
  <si>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</si>
  <si>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</si>
  <si>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</si>
  <si>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</si>
  <si>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</si>
  <si>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</si>
  <si>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</si>
  <si>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</si>
  <si>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</si>
  <si>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</si>
  <si>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</si>
  <si>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</si>
  <si>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</si>
  <si>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</si>
  <si>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</si>
  <si>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</si>
  <si>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</si>
  <si>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</si>
  <si>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</si>
  <si>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</si>
  <si>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</si>
  <si>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</si>
  <si>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</si>
  <si>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</si>
  <si>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</si>
  <si>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</si>
  <si>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</si>
  <si>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</si>
  <si>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</si>
  <si>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</si>
  <si>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</si>
  <si>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</si>
  <si>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</si>
  <si>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</si>
  <si>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</si>
  <si>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</si>
  <si>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</si>
  <si>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</si>
  <si>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</si>
  <si>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</si>
  <si>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</si>
  <si>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</si>
  <si>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</si>
  <si>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</si>
  <si>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</si>
  <si>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</si>
  <si>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</si>
  <si>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</si>
  <si>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</si>
  <si>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</si>
  <si>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</si>
  <si>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</si>
  <si>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</si>
  <si>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</si>
  <si>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</si>
  <si>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</si>
  <si>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</si>
  <si>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</si>
  <si>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</si>
  <si>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</si>
  <si>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</si>
  <si>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</si>
  <si>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 xml:space="preserve">Mart Cash 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</si>
  <si>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</si>
  <si>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</si>
  <si>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</si>
  <si>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</si>
  <si>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</si>
  <si>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</si>
  <si>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</si>
  <si>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</si>
  <si>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</si>
  <si>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</si>
  <si>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</si>
  <si>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</si>
  <si>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</si>
  <si>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</si>
  <si>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</si>
  <si>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</si>
  <si>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</si>
  <si>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Euro</t>
  </si>
  <si>
    <t>NTN #: E757686-3</t>
  </si>
  <si>
    <t xml:space="preserve">Address: Gari Shahu </t>
  </si>
  <si>
    <t>Invoice No # :442233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</si>
</sst>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6" t="s">
        <v>91</v>
      </c>
      <c r="B2" s="366"/>
      <c r="C2" s="366"/>
      <c r="E2" s="353" t="s">
        <v>499</v>
      </c>
      <c r="F2" s="354"/>
      <c r="G2" s="354"/>
      <c r="H2" s="351" t="s">
        <v>518</v>
      </c>
      <c r="I2" s="351"/>
      <c r="J2" s="352"/>
      <c r="R2" s="348" t="s">
        <v>498</v>
      </c>
      <c r="S2" s="349"/>
      <c r="T2" s="350"/>
    </row>
    <row r="3" spans="1:20 16377:16378" ht="21.75" customHeight="1" thickBot="1" x14ac:dyDescent="0.4">
      <c r="A3" s="367" t="s">
        <v>92</v>
      </c>
      <c r="B3" s="367"/>
      <c r="C3" s="367"/>
      <c r="E3" s="357" t="s">
        <v>514</v>
      </c>
      <c r="F3" s="358"/>
      <c r="G3" s="358"/>
      <c r="H3" s="355">
        <f ca="1">TODAY()</f>
        <v>46274</v>
      </c>
      <c r="I3" s="355"/>
      <c r="J3" s="356"/>
      <c r="K3" s="368" t="s">
        <v>43</v>
      </c>
      <c r="L3" s="368"/>
      <c r="M3" s="368"/>
      <c r="N3" s="367"/>
      <c r="O3" s="367"/>
      <c r="P3" s="367"/>
      <c r="R3" s="299">
        <v>1</v>
      </c>
      <c r="S3" s="300" t="str">
        <f>+'1'!A6:A6</f>
        <v>Euro</v>
      </c>
      <c r="T3" s="301">
        <f>+'1'!P35</f>
        <v>79510.211368855948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Fine Dedical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7" t="s">
        <v>51</v>
      </c>
      <c r="B5" s="359"/>
      <c r="C5" s="389" t="s">
        <v>90</v>
      </c>
      <c r="D5" s="115" t="s">
        <v>52</v>
      </c>
      <c r="E5" s="391" t="s">
        <v>58</v>
      </c>
      <c r="F5" s="392"/>
      <c r="G5" s="364" t="s">
        <v>54</v>
      </c>
      <c r="H5" s="365"/>
      <c r="I5" s="393" t="s">
        <v>77</v>
      </c>
      <c r="J5" s="363" t="s">
        <v>55</v>
      </c>
      <c r="K5" s="364"/>
      <c r="L5" s="365"/>
      <c r="M5" s="359" t="s">
        <v>84</v>
      </c>
      <c r="N5" s="361" t="s">
        <v>495</v>
      </c>
      <c r="O5" s="103" t="s">
        <v>89</v>
      </c>
      <c r="P5" s="115" t="s">
        <v>56</v>
      </c>
      <c r="Q5" s="315" t="s">
        <v>513</v>
      </c>
      <c r="R5" s="314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8"/>
      <c r="B6" s="360"/>
      <c r="C6" s="39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2"/>
      <c r="J6" s="143" t="s">
        <v>59</v>
      </c>
      <c r="K6" s="144" t="s">
        <v>39</v>
      </c>
      <c r="L6" s="145" t="s">
        <v>493</v>
      </c>
      <c r="M6" s="360"/>
      <c r="N6" s="362"/>
      <c r="O6" s="228" t="e">
        <f>IF(#REF!="Filer",0.5%,2.5%)</f>
        <v>#REF!</v>
      </c>
      <c r="P6" s="111" t="s">
        <v>38</v>
      </c>
      <c r="Q6" s="315" t="s">
        <v>512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200</v>
      </c>
      <c r="I7" s="235">
        <f>(G7*D7)*F7+H7*F7</f>
        <v>10492.5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1049.25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367.23750000000001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9076.0125000000007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1983.0508474576263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55.29531673728814</v>
      </c>
      <c r="P7" s="310">
        <f>M7+N7+O7</f>
        <v>11114.358664194917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200</v>
      </c>
      <c r="I8" s="236">
        <f t="shared" ref="I8:I14" si="0">(G8*D8)*F8+H8*F8</f>
        <v>10492.5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1049.25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367.23750000000001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9076.0125000000007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1983.0508474576263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55.29531673728814</v>
      </c>
      <c r="P8" s="311">
        <f t="shared" ref="P8:P15" si="2">M8+N8+O8</f>
        <v>11114.358664194917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200</v>
      </c>
      <c r="I9" s="236">
        <f t="shared" si="0"/>
        <v>10492.5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1049.25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367.23750000000001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9076.0125000000007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1983.0508474576263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55.29531673728814</v>
      </c>
      <c r="P9" s="311">
        <f t="shared" si="2"/>
        <v>11114.358664194917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200</v>
      </c>
      <c r="I10" s="236">
        <f t="shared" si="0"/>
        <v>14528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1452.8000000000002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508.48000000000008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12566.72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2745.7627118644068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76.562413559322039</v>
      </c>
      <c r="P10" s="311">
        <f t="shared" si="2"/>
        <v>15389.045125423729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200</v>
      </c>
      <c r="I11" s="236">
        <f t="shared" si="0"/>
        <v>14528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1452.8000000000002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508.48000000000008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12566.72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2745.7627118644068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76.562413559322039</v>
      </c>
      <c r="P11" s="311">
        <f t="shared" si="2"/>
        <v>15389.045125423729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200</v>
      </c>
      <c r="I12" s="236">
        <f t="shared" si="0"/>
        <v>14528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1452.8000000000002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508.48000000000008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12566.72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2745.7627118644068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76.562413559322039</v>
      </c>
      <c r="P12" s="311">
        <f t="shared" si="2"/>
        <v>15389.045125423729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200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9">
        <f>COUNT(A7:A15)</f>
        <v>0</v>
      </c>
      <c r="B16" s="370"/>
      <c r="C16" s="370" t="s">
        <v>40</v>
      </c>
      <c r="D16" s="370"/>
      <c r="E16" s="370"/>
      <c r="F16" s="371"/>
      <c r="G16" s="117">
        <f>H16/40</f>
        <v>30</v>
      </c>
      <c r="H16" s="113">
        <f t="shared" ref="H16:M16" si="3">SUM(H7:H15)</f>
        <v>1200</v>
      </c>
      <c r="I16" s="114">
        <f t="shared" si="3"/>
        <v>75061.5</v>
      </c>
      <c r="J16" s="274">
        <f>SUM(J7:J15)</f>
        <v>7506.1500000000005</v>
      </c>
      <c r="K16" s="275">
        <f t="shared" si="3"/>
        <v>2627.1525000000001</v>
      </c>
      <c r="L16" s="276">
        <f t="shared" si="3"/>
        <v>0</v>
      </c>
      <c r="M16" s="232">
        <f t="shared" si="3"/>
        <v>64928.197500000002</v>
      </c>
      <c r="N16" s="233">
        <f>SUM(N7:N15)</f>
        <v>14186.4406779661</v>
      </c>
      <c r="O16" s="101">
        <f>SUM(O7:O15)</f>
        <v>395.57319088983058</v>
      </c>
      <c r="P16" s="113">
        <f>SUM(P7:P15)</f>
        <v>79510.211368855933</v>
      </c>
      <c r="Q16" s="128">
        <f>SUM(Q7:Q15)</f>
        <v>200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2" t="s">
        <v>64</v>
      </c>
      <c r="C19" s="373"/>
      <c r="D19" s="373"/>
      <c r="E19" s="373"/>
      <c r="F19" s="373"/>
      <c r="G19" s="373"/>
      <c r="H19" s="373"/>
      <c r="I19" s="373"/>
      <c r="J19" s="373"/>
      <c r="K19" s="373"/>
      <c r="L19" s="374"/>
      <c r="N19" s="381" t="s">
        <v>60</v>
      </c>
      <c r="O19" s="382"/>
      <c r="P19" s="139">
        <f>I16</f>
        <v>75061.5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5"/>
      <c r="C20" s="376"/>
      <c r="D20" s="376"/>
      <c r="E20" s="376"/>
      <c r="F20" s="376"/>
      <c r="G20" s="376"/>
      <c r="H20" s="376"/>
      <c r="I20" s="376"/>
      <c r="J20" s="376"/>
      <c r="K20" s="376"/>
      <c r="L20" s="377"/>
      <c r="N20" s="383" t="s">
        <v>85</v>
      </c>
      <c r="O20" s="384"/>
      <c r="P20" s="140">
        <f>+J16</f>
        <v>7506.1500000000005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5"/>
      <c r="C21" s="376"/>
      <c r="D21" s="376"/>
      <c r="E21" s="376"/>
      <c r="F21" s="376"/>
      <c r="G21" s="376"/>
      <c r="H21" s="376"/>
      <c r="I21" s="376"/>
      <c r="J21" s="376"/>
      <c r="K21" s="376"/>
      <c r="L21" s="377"/>
      <c r="N21" s="383" t="s">
        <v>86</v>
      </c>
      <c r="O21" s="384"/>
      <c r="P21" s="140">
        <f>+K16+L16</f>
        <v>2627.1525000000001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5"/>
      <c r="C22" s="376"/>
      <c r="D22" s="376"/>
      <c r="E22" s="376"/>
      <c r="F22" s="376"/>
      <c r="G22" s="376"/>
      <c r="H22" s="376"/>
      <c r="I22" s="376"/>
      <c r="J22" s="376"/>
      <c r="K22" s="376"/>
      <c r="L22" s="377"/>
      <c r="M22" s="131"/>
      <c r="N22" s="383" t="s">
        <v>87</v>
      </c>
      <c r="O22" s="384"/>
      <c r="P22" s="140">
        <f>P19-P20-P21</f>
        <v>64928.197500000009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5"/>
      <c r="C23" s="376"/>
      <c r="D23" s="376"/>
      <c r="E23" s="376"/>
      <c r="F23" s="376"/>
      <c r="G23" s="376"/>
      <c r="H23" s="376"/>
      <c r="I23" s="376"/>
      <c r="J23" s="376"/>
      <c r="K23" s="376"/>
      <c r="L23" s="377"/>
      <c r="M23" s="131"/>
      <c r="N23" s="136" t="s">
        <v>61</v>
      </c>
      <c r="O23" s="133">
        <v>0.18</v>
      </c>
      <c r="P23" s="140">
        <f>+N16</f>
        <v>14186.4406779661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5"/>
      <c r="C24" s="376"/>
      <c r="D24" s="376"/>
      <c r="E24" s="376"/>
      <c r="F24" s="376"/>
      <c r="G24" s="376"/>
      <c r="H24" s="376"/>
      <c r="I24" s="376"/>
      <c r="J24" s="376"/>
      <c r="K24" s="376"/>
      <c r="L24" s="377"/>
      <c r="M24" s="131"/>
      <c r="N24" s="385" t="s">
        <v>76</v>
      </c>
      <c r="O24" s="386"/>
      <c r="P24" s="140">
        <f>P22+P23</f>
        <v>79114.638177966117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8"/>
      <c r="C25" s="379"/>
      <c r="D25" s="379"/>
      <c r="E25" s="379"/>
      <c r="F25" s="379"/>
      <c r="G25" s="379"/>
      <c r="H25" s="379"/>
      <c r="I25" s="379"/>
      <c r="J25" s="379"/>
      <c r="K25" s="379"/>
      <c r="L25" s="380"/>
      <c r="M25" s="99"/>
      <c r="N25" s="138" t="s">
        <v>83</v>
      </c>
      <c r="O25" s="137" t="e">
        <f>IF(#REF!="Filer",0.5%,2.5%)</f>
        <v>#REF!</v>
      </c>
      <c r="P25" s="140">
        <f>+O16</f>
        <v>395.57319088983058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2" t="s">
        <v>88</v>
      </c>
      <c r="O26" s="343"/>
      <c r="P26" s="297">
        <f>+P24+P25</f>
        <v>79510.211368855948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79510.211368855948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  <row r="49" spans="2:2" x14ac:dyDescent="0.35">
      <c r="B49" t="s">
        <v>515</v>
      </c>
    </row>
    <row r="50" spans="2:2" x14ac:dyDescent="0.35">
      <c r="B50" t="s">
        <v>517</v>
      </c>
    </row>
    <row r="51" spans="2:2" x14ac:dyDescent="0.35">
      <c r="B51" t="s">
        <v>516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H5" sqref="H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521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46274</v>
      </c>
      <c r="O5" s="367"/>
      <c r="P5" s="367"/>
      <c r="R5" s="85"/>
      <c r="S5" s="266"/>
    </row>
    <row r="6" spans="1:22 16383:16384" ht="17.25" customHeight="1" x14ac:dyDescent="0.4">
      <c r="A6" s="396" t="s">
        <v>518</v>
      </c>
      <c r="B6" s="396"/>
      <c r="C6" s="396"/>
      <c r="F6" s="85"/>
      <c r="G6" s="86"/>
      <c r="K6" s="368" t="s">
        <v>69</v>
      </c>
      <c r="L6" s="368"/>
      <c r="M6" s="368"/>
      <c r="N6" s="397" t="s">
        <v>506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520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200</v>
      </c>
      <c r="I16" s="235">
        <f>(G16*D16)*F16+H16*F16</f>
        <v>10492.5</v>
      </c>
      <c r="J16" s="271">
        <f>$I16*S16</f>
        <v>1049.25</v>
      </c>
      <c r="K16" s="127">
        <f>$I16*T16</f>
        <v>367.23750000000001</v>
      </c>
      <c r="L16" s="118">
        <f>$I16*U16</f>
        <v>0</v>
      </c>
      <c r="M16" s="229">
        <f>I16-SUM(J16:L16)</f>
        <v>9076.0125000000007</v>
      </c>
      <c r="N16" s="248">
        <f>+(G16*D16+H16)*V16</f>
        <v>1983.0508474576263</v>
      </c>
      <c r="O16" s="238">
        <f>(N16+M16)*$O$15</f>
        <v>55.29531673728814</v>
      </c>
      <c r="P16" s="310">
        <f>M16+N16+O16</f>
        <v>11114.358664194917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200</v>
      </c>
      <c r="I17" s="236">
        <f t="shared" ref="I17:I23" si="0">(G17*D17)*F17+H17*F17</f>
        <v>10492.5</v>
      </c>
      <c r="J17" s="272">
        <f t="shared" ref="J17:L24" si="1">$I17*S17</f>
        <v>1049.25</v>
      </c>
      <c r="K17" s="128">
        <f>$I17*T17</f>
        <v>367.23750000000001</v>
      </c>
      <c r="L17" s="119">
        <f>$I17*U17</f>
        <v>0</v>
      </c>
      <c r="M17" s="230">
        <f t="shared" ref="M17:M24" si="2">I17-SUM(J17:L17)</f>
        <v>9076.0125000000007</v>
      </c>
      <c r="N17" s="277">
        <f t="shared" ref="N17:N24" si="3">+(G17*D17+H17)*V17</f>
        <v>1983.0508474576263</v>
      </c>
      <c r="O17" s="239">
        <f t="shared" ref="O17:O24" si="4">(N17+M17)*$O$15</f>
        <v>55.29531673728814</v>
      </c>
      <c r="P17" s="311">
        <f t="shared" ref="P17:P24" si="5">M17+N17+O17</f>
        <v>11114.358664194917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200</v>
      </c>
      <c r="I18" s="236">
        <f t="shared" ref="I18:I21" si="7">(G18*D18)*F18+H18*F18</f>
        <v>10492.5</v>
      </c>
      <c r="J18" s="272">
        <f t="shared" si="1"/>
        <v>1049.25</v>
      </c>
      <c r="K18" s="128">
        <f t="shared" si="1"/>
        <v>367.23750000000001</v>
      </c>
      <c r="L18" s="119">
        <f t="shared" si="1"/>
        <v>0</v>
      </c>
      <c r="M18" s="230">
        <f t="shared" si="2"/>
        <v>9076.0125000000007</v>
      </c>
      <c r="N18" s="277">
        <f t="shared" si="3"/>
        <v>1983.0508474576263</v>
      </c>
      <c r="O18" s="239">
        <f t="shared" si="4"/>
        <v>55.29531673728814</v>
      </c>
      <c r="P18" s="311">
        <f t="shared" si="5"/>
        <v>11114.358664194917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200</v>
      </c>
      <c r="I19" s="236">
        <f t="shared" si="7"/>
        <v>14528</v>
      </c>
      <c r="J19" s="272">
        <f t="shared" si="1"/>
        <v>1452.8000000000002</v>
      </c>
      <c r="K19" s="128">
        <f t="shared" si="1"/>
        <v>508.48000000000008</v>
      </c>
      <c r="L19" s="119">
        <f t="shared" si="1"/>
        <v>0</v>
      </c>
      <c r="M19" s="230">
        <f t="shared" si="2"/>
        <v>12566.72</v>
      </c>
      <c r="N19" s="277">
        <f t="shared" si="3"/>
        <v>2745.7627118644068</v>
      </c>
      <c r="O19" s="239">
        <f t="shared" si="4"/>
        <v>76.562413559322039</v>
      </c>
      <c r="P19" s="311">
        <f t="shared" si="5"/>
        <v>15389.045125423729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200</v>
      </c>
      <c r="I20" s="236">
        <f t="shared" si="7"/>
        <v>14528</v>
      </c>
      <c r="J20" s="272">
        <f t="shared" si="1"/>
        <v>1452.8000000000002</v>
      </c>
      <c r="K20" s="128">
        <f t="shared" si="1"/>
        <v>508.48000000000008</v>
      </c>
      <c r="L20" s="119">
        <f t="shared" si="1"/>
        <v>0</v>
      </c>
      <c r="M20" s="230">
        <f t="shared" si="2"/>
        <v>12566.72</v>
      </c>
      <c r="N20" s="277">
        <f t="shared" si="3"/>
        <v>2745.7627118644068</v>
      </c>
      <c r="O20" s="239">
        <f t="shared" si="4"/>
        <v>76.562413559322039</v>
      </c>
      <c r="P20" s="311">
        <f t="shared" si="5"/>
        <v>15389.045125423729</v>
      </c>
      <c r="Q20" s="156"/>
      <c r="R20">
        <f>P20/21</f>
        <v>732.81167263922521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200</v>
      </c>
      <c r="I21" s="236">
        <f t="shared" si="7"/>
        <v>14528</v>
      </c>
      <c r="J21" s="272">
        <f t="shared" si="1"/>
        <v>1452.8000000000002</v>
      </c>
      <c r="K21" s="128">
        <f t="shared" si="1"/>
        <v>508.48000000000008</v>
      </c>
      <c r="L21" s="119">
        <f t="shared" si="1"/>
        <v>0</v>
      </c>
      <c r="M21" s="230">
        <f t="shared" si="2"/>
        <v>12566.72</v>
      </c>
      <c r="N21" s="277">
        <f t="shared" si="3"/>
        <v>2745.7627118644068</v>
      </c>
      <c r="O21" s="239">
        <f t="shared" si="4"/>
        <v>76.562413559322039</v>
      </c>
      <c r="P21" s="311">
        <f t="shared" si="5"/>
        <v>15389.045125423729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200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" si="8">SUM(G16:G24)</f>
        <v>0</v>
      </c>
      <c r="H25" s="113">
        <f t="shared" ref="H25" si="9">SUM(H16:H24)</f>
        <v>1200</v>
      </c>
      <c r="I25" s="114">
        <f t="shared" ref="I25:M25" si="10">SUM(I16:I24)</f>
        <v>75061.5</v>
      </c>
      <c r="J25" s="274">
        <f>SUM(J16:J24)</f>
        <v>7506.1500000000005</v>
      </c>
      <c r="K25" s="275">
        <f t="shared" si="10"/>
        <v>2627.1525000000001</v>
      </c>
      <c r="L25" s="276">
        <f t="shared" si="10"/>
        <v>0</v>
      </c>
      <c r="M25" s="232">
        <f t="shared" si="10"/>
        <v>64928.197500000002</v>
      </c>
      <c r="N25" s="233">
        <f>SUM(N16:N24)</f>
        <v>14186.4406779661</v>
      </c>
      <c r="O25" s="101">
        <f>SUM(O16:O24)</f>
        <v>395.57319088983058</v>
      </c>
      <c r="P25" s="113">
        <f>SUM(P16:P24)</f>
        <v>79510.211368855933</v>
      </c>
      <c r="Q25" s="128">
        <f>SUM(Q16:Q24)</f>
        <v>200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75061.5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7506.1500000000005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2627.1525000000001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64928.197500000009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14186.4406779661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79114.638177966117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395.57319088983058</v>
      </c>
    </row>
    <row r="35" spans="2:16" ht="15.75" customHeight="1" thickBot="1" x14ac:dyDescent="0.4">
      <c r="N35" s="342" t="s">
        <v>88</v>
      </c>
      <c r="O35" s="343"/>
      <c r="P35" s="297">
        <f>+P33+P34</f>
        <v>79510.211368855948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508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8.75" customHeight="1" x14ac:dyDescent="0.4">
      <c r="A6" s="396" t="s">
        <v>500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501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502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503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8.75" customHeight="1" x14ac:dyDescent="0.4">
      <c r="A6" s="396" t="s">
        <v>504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519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6" t="s">
        <v>91</v>
      </c>
      <c r="B2" s="366"/>
      <c r="C2" s="366"/>
    </row>
    <row r="3" spans="1:18 16382:16383" ht="15" customHeight="1" x14ac:dyDescent="0.35">
      <c r="A3" s="367" t="s">
        <v>92</v>
      </c>
      <c r="B3" s="367"/>
      <c r="C3" s="367"/>
      <c r="F3" s="85"/>
      <c r="G3" s="1"/>
      <c r="J3" s="368" t="s">
        <v>43</v>
      </c>
      <c r="K3" s="368"/>
      <c r="L3" s="368"/>
      <c r="M3" s="367"/>
      <c r="N3" s="367"/>
      <c r="O3" s="36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7" t="s">
        <v>65</v>
      </c>
      <c r="B4" s="367"/>
      <c r="C4" s="367"/>
      <c r="F4" s="85"/>
      <c r="G4" s="1"/>
      <c r="J4" s="368" t="s">
        <v>44</v>
      </c>
      <c r="K4" s="368"/>
      <c r="L4" s="368"/>
      <c r="M4" s="398">
        <f ca="1">TODAY()+1</f>
        <v>46275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68" t="s">
        <v>45</v>
      </c>
      <c r="K5" s="368"/>
      <c r="L5" s="368"/>
      <c r="M5" s="398">
        <f ca="1">M4-1</f>
        <v>46274</v>
      </c>
      <c r="N5" s="367"/>
      <c r="O5" s="367"/>
      <c r="Q5" s="85"/>
      <c r="R5" s="1"/>
    </row>
    <row r="6" spans="1:18 16382:16383" ht="15" customHeight="1" x14ac:dyDescent="0.35">
      <c r="A6" s="368" t="s">
        <v>94</v>
      </c>
      <c r="B6" s="368"/>
      <c r="C6" s="368"/>
      <c r="F6" s="85"/>
      <c r="G6" s="86"/>
      <c r="J6" s="368" t="s">
        <v>69</v>
      </c>
      <c r="K6" s="368"/>
      <c r="L6" s="368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8" t="s">
        <v>73</v>
      </c>
      <c r="B7" s="368"/>
      <c r="C7" s="368"/>
      <c r="F7" s="85"/>
      <c r="G7" s="86"/>
      <c r="J7" s="368" t="s">
        <v>66</v>
      </c>
      <c r="K7" s="368"/>
      <c r="L7" s="368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4" t="s">
        <v>95</v>
      </c>
      <c r="B8" s="394"/>
      <c r="C8" s="394"/>
      <c r="F8" s="85"/>
      <c r="G8" s="86"/>
      <c r="J8" s="368" t="s">
        <v>67</v>
      </c>
      <c r="K8" s="368"/>
      <c r="L8" s="368"/>
      <c r="M8" s="397" t="s">
        <v>71</v>
      </c>
      <c r="N8" s="397"/>
      <c r="O8" s="397"/>
      <c r="Q8" s="85"/>
      <c r="R8" s="86"/>
    </row>
    <row r="9" spans="1:18 16382:16383" x14ac:dyDescent="0.35">
      <c r="A9" s="394" t="s">
        <v>96</v>
      </c>
      <c r="B9" s="394"/>
      <c r="C9" s="394"/>
      <c r="F9" s="85"/>
      <c r="G9" s="86"/>
      <c r="J9" s="368" t="s">
        <v>68</v>
      </c>
      <c r="K9" s="368"/>
      <c r="L9" s="368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394" t="s">
        <v>97</v>
      </c>
      <c r="B10" s="394"/>
      <c r="C10" s="394"/>
      <c r="F10" s="85"/>
      <c r="G10" s="1"/>
      <c r="J10" s="368" t="s">
        <v>46</v>
      </c>
      <c r="K10" s="368"/>
      <c r="L10" s="368"/>
      <c r="M10" s="367" t="s">
        <v>47</v>
      </c>
      <c r="N10" s="367"/>
      <c r="O10" s="36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8" t="s">
        <v>48</v>
      </c>
      <c r="K11" s="368"/>
      <c r="L11" s="368"/>
      <c r="M11" s="367" t="s">
        <v>49</v>
      </c>
      <c r="N11" s="367"/>
      <c r="O11" s="36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8" t="s">
        <v>50</v>
      </c>
      <c r="K12" s="368"/>
      <c r="L12" s="368"/>
      <c r="M12" s="367"/>
      <c r="N12" s="367"/>
      <c r="O12" s="36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7" t="s">
        <v>51</v>
      </c>
      <c r="B14" s="359"/>
      <c r="C14" s="389" t="s">
        <v>90</v>
      </c>
      <c r="D14" s="88" t="s">
        <v>52</v>
      </c>
      <c r="E14" s="95" t="s">
        <v>74</v>
      </c>
      <c r="F14" s="115" t="s">
        <v>53</v>
      </c>
      <c r="G14" s="363" t="s">
        <v>54</v>
      </c>
      <c r="H14" s="365"/>
      <c r="I14" s="393" t="s">
        <v>77</v>
      </c>
      <c r="J14" s="364" t="s">
        <v>55</v>
      </c>
      <c r="K14" s="365"/>
      <c r="L14" s="39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8"/>
      <c r="B15" s="360"/>
      <c r="C15" s="39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2"/>
      <c r="J15" s="144" t="s">
        <v>39</v>
      </c>
      <c r="K15" s="145" t="s">
        <v>59</v>
      </c>
      <c r="L15" s="36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4"/>
      <c r="M28" s="381" t="s">
        <v>60</v>
      </c>
      <c r="N28" s="382"/>
      <c r="O28" s="139">
        <f>I25</f>
        <v>1452.8</v>
      </c>
    </row>
    <row r="29" spans="1:18 16383:16383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7"/>
      <c r="M29" s="383" t="s">
        <v>85</v>
      </c>
      <c r="N29" s="384"/>
      <c r="O29" s="140">
        <f>K25</f>
        <v>0</v>
      </c>
    </row>
    <row r="30" spans="1:18 16383:16383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7"/>
      <c r="M30" s="383" t="s">
        <v>86</v>
      </c>
      <c r="N30" s="384"/>
      <c r="O30" s="140">
        <f>J25</f>
        <v>50.848000000000006</v>
      </c>
    </row>
    <row r="31" spans="1:18 16383:16383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7"/>
      <c r="L31" s="131"/>
      <c r="M31" s="383" t="s">
        <v>87</v>
      </c>
      <c r="N31" s="384"/>
      <c r="O31" s="140">
        <f>O28-O29-O30</f>
        <v>1401.952</v>
      </c>
    </row>
    <row r="32" spans="1:18 16383:16383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7"/>
      <c r="L33" s="131"/>
      <c r="M33" s="385" t="s">
        <v>76</v>
      </c>
      <c r="N33" s="386"/>
      <c r="O33" s="140">
        <f>O31+O32</f>
        <v>1710.3814400000001</v>
      </c>
    </row>
    <row r="34" spans="2:15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8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8" t="s">
        <v>441</v>
      </c>
      <c r="J1" s="408"/>
      <c r="K1" s="408" t="s">
        <v>442</v>
      </c>
      <c r="L1" s="408"/>
      <c r="M1" s="403" t="s">
        <v>484</v>
      </c>
      <c r="N1" s="404"/>
      <c r="O1" s="405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2" t="s">
        <v>58</v>
      </c>
      <c r="F7" s="402"/>
      <c r="G7" s="400" t="s">
        <v>440</v>
      </c>
      <c r="H7" s="335"/>
      <c r="I7" s="336" t="s">
        <v>441</v>
      </c>
      <c r="J7" s="337"/>
      <c r="K7" s="336" t="s">
        <v>442</v>
      </c>
      <c r="L7" s="337"/>
      <c r="M7" s="403" t="s">
        <v>484</v>
      </c>
      <c r="N7" s="404"/>
      <c r="O7" s="405"/>
      <c r="P7" s="256" t="s">
        <v>475</v>
      </c>
      <c r="Q7" s="242" t="s">
        <v>473</v>
      </c>
      <c r="R7" s="401" t="s">
        <v>475</v>
      </c>
      <c r="S7" s="401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3" t="s">
        <v>484</v>
      </c>
      <c r="N13" s="404"/>
      <c r="O13" s="405"/>
      <c r="P13" s="256" t="s">
        <v>475</v>
      </c>
      <c r="Q13" s="242" t="s">
        <v>473</v>
      </c>
      <c r="R13" s="401" t="s">
        <v>475</v>
      </c>
      <c r="S13" s="401" t="s">
        <v>485</v>
      </c>
      <c r="T13" s="399" t="s">
        <v>486</v>
      </c>
      <c r="U13" s="399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3" t="s">
        <v>484</v>
      </c>
      <c r="N20" s="404"/>
      <c r="O20" s="405"/>
      <c r="P20" s="256" t="s">
        <v>475</v>
      </c>
      <c r="Q20" s="242" t="s">
        <v>473</v>
      </c>
      <c r="R20" s="401" t="s">
        <v>475</v>
      </c>
      <c r="S20" s="401" t="s">
        <v>485</v>
      </c>
      <c r="T20" s="399" t="s">
        <v>486</v>
      </c>
      <c r="U20" s="399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3" t="s">
        <v>484</v>
      </c>
      <c r="N27" s="404"/>
      <c r="O27" s="405"/>
      <c r="P27" s="256" t="s">
        <v>475</v>
      </c>
      <c r="Q27" s="242" t="s">
        <v>473</v>
      </c>
      <c r="R27" s="401" t="s">
        <v>475</v>
      </c>
      <c r="S27" s="401" t="s">
        <v>485</v>
      </c>
      <c r="T27" s="399" t="s">
        <v>486</v>
      </c>
      <c r="U27" s="399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8" t="s">
        <v>441</v>
      </c>
      <c r="I1" s="408"/>
      <c r="J1" s="408" t="s">
        <v>442</v>
      </c>
      <c r="K1" s="408"/>
      <c r="L1" s="403" t="s">
        <v>484</v>
      </c>
      <c r="M1" s="404"/>
      <c r="N1" s="405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2026-09-09T12:09:05Z</dcterms:modified>
</cp:coreProperties>
</file>