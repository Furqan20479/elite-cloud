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8DCDDD4-669F-4A65-A3AE-234B8B634A8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5" i="70" s="1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66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<sst xmlns="http://schemas.openxmlformats.org/spreadsheetml/2006/main" count="3918" uniqueCount="516">
  <si>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</si>
  <si>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</si>
  <si>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</si>
  <si>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</si>
  <si>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</si>
  <si>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</si>
  <si>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</si>
  <si>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</si>
  <si>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</si>
  <si>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</si>
  <si>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</si>
  <si>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</si>
  <si>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</si>
  <si>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</si>
  <si>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</si>
  <si>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</si>
  <si>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</si>
  <si>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</si>
  <si>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</si>
  <si>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</si>
  <si>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</si>
  <si>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</si>
  <si>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</si>
  <si>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</si>
  <si>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</si>
  <si>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</si>
  <si>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</si>
  <si>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</si>
  <si>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</si>
  <si>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</si>
  <si>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</si>
  <si>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</si>
  <si>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</si>
  <si>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</si>
  <si>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</si>
  <si>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</si>
  <si>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</si>
  <si>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</si>
  <si>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</si>
  <si>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</si>
  <si>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</si>
  <si>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</si>
  <si>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</si>
  <si>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</si>
  <si>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</si>
  <si>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</si>
  <si>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</si>
  <si>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</si>
  <si>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</si>
  <si>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</si>
  <si>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</si>
  <si>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</si>
  <si>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</si>
  <si>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</si>
  <si>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</si>
  <si>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</si>
  <si>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</si>
  <si>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</si>
  <si>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</si>
  <si>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</si>
  <si>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</si>
  <si>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</si>
  <si>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</si>
  <si>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</si>
  <si>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</si>
  <si>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</si>
  <si>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</si>
  <si>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</si>
  <si>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</si>
  <si>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</si>
  <si>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</si>
  <si>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</si>
  <si>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</si>
  <si>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</si>
  <si>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</si>
  <si>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</si>
  <si>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</si>
  <si>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</si>
  <si>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</si>
  <si>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</si>
  <si>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</si>
  <si>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</si>
  <si>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</si>
  <si>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</si>
  <si>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</si>
  <si>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</si>
  <si>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</si>
  <si>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</si>
  <si>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</si>
  <si>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</si>
  <si>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</si>
  <si>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</si>
  <si>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</si>
  <si>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</si>
  <si>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</si>
  <si>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</si>
  <si>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</si>
  <si>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</si>
  <si>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</si>
  <si>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</si>
  <si>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</si>
  <si>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</si>
  <si>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</si>
  <si>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</si>
  <si>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</si>
  <si>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</si>
  <si>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</si>
  <si>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</si>
  <si>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</si>
  <si>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</si>
  <si>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</si>
  <si>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</si>
  <si>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</si>
  <si>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</si>
  <si>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</si>
  <si>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</si>
  <si>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</si>
  <si>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</si>
  <si>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</si>
  <si>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</si>
  <si>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</si>
  <si>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</si>
  <si>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</si>
  <si>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</si>
  <si>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</si>
  <si>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</si>
  <si>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</si>
  <si>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</si>
  <si>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</si>
  <si>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</si>
  <si>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</si>
  <si>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</si>
  <si>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</si>
  <si>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</si>
  <si>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</si>
  <si>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</si>
  <si>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</si>
  <si>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</si>
  <si>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</si>
  <si>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</si>
  <si>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</si>
  <si>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</si>
  <si>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</si>
  <si>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</si>
  <si>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</si>
  <si>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</si>
  <si>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</si>
  <si>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</si>
  <si>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</si>
  <si>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</si>
  <si>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</si>
  <si>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</si>
  <si>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</si>
  <si>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</si>
  <si>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</si>
  <si>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</si>
  <si>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</si>
  <si>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</si>
  <si>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</si>
  <si>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</si>
  <si>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</si>
  <si>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</si>
  <si>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</si>
  <si>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</si>
  <si>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</si>
  <si>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</si>
  <si>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</si>
  <si>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</si>
  <si>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</si>
  <si>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</si>
  <si>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</si>
  <si>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</si>
  <si>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</si>
  <si>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</si>
  <si>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</si>
  <si>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</si>
  <si>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</si>
  <si>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</si>
  <si>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</si>
  <si>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</si>
  <si>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</si>
  <si>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</si>
  <si>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</si>
  <si>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</si>
  <si>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</si>
  <si>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</si>
  <si>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</si>
  <si>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</si>
  <si>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</si>
  <si>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</si>
  <si>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</si>
  <si>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</si>
  <si>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</si>
  <si>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</si>
  <si>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</si>
  <si>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</si>
  <si>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</si>
  <si>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</si>
  <si>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</si>
  <si>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</si>
  <si>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</si>
  <si>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</si>
  <si>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</si>
  <si>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</si>
  <si>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</si>
  <si>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</si>
  <si>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</si>
  <si>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</si>
  <si>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</si>
  <si>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</si>
  <si>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</si>
  <si>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</si>
  <si>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</si>
  <si>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</si>
  <si>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</si>
  <si>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</si>
  <si>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</si>
  <si>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</si>
  <si>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</si>
  <si>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</si>
  <si>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</si>
  <si>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</si>
  <si>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</si>
  <si>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</si>
  <si>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</si>
  <si>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</si>
  <si>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</si>
  <si>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</si>
  <si>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</si>
  <si>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</si>
  <si>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</si>
  <si>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</si>
  <si>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</si>
  <si>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</si>
  <si>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</si>
  <si>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</si>
  <si>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</si>
  <si>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</si>
  <si>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</si>
  <si>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</si>
  <si>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</si>
  <si>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</si>
  <si>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</si>
  <si>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</si>
  <si>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</si>
  <si>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</si>
  <si>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</si>
  <si>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</si>
  <si>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</si>
  <si>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</si>
  <si>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</si>
  <si>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</si>
  <si>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</si>
  <si>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</si>
  <si>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</si>
  <si>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</si>
  <si>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</si>
  <si>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</si>
  <si>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</si>
  <si>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</si>
  <si>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</si>
  <si>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</si>
  <si>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</si>
  <si>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</si>
  <si>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</si>
  <si>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</si>
  <si>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</si>
  <si>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</si>
  <si>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</si>
  <si>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</si>
  <si>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</si>
  <si>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</si>
  <si>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</si>
  <si>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</si>
  <si>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</si>
  <si>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</si>
  <si>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</si>
  <si>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</si>
  <si>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</si>
  <si>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</si>
  <si>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</si>
  <si>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</si>
  <si>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</si>
  <si>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</si>
  <si>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</si>
  <si>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</si>
  <si>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</si>
  <si>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</si>
  <si>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</si>
  <si>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</si>
  <si>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</si>
  <si>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</si>
  <si>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</si>
  <si>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</si>
  <si>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</si>
  <si>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</si>
  <si>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</si>
  <si>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</si>
  <si>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</si>
  <si>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</si>
  <si>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</si>
  <si>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</si>
  <si>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</si>
  <si>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</si>
  <si>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</si>
  <si>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</si>
  <si>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</si>
  <si>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</si>
  <si>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</si>
  <si>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</si>
  <si>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</si>
  <si>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</si>
  <si>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</si>
  <si>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</si>
  <si>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</si>
  <si>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</si>
  <si>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</si>
  <si>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</si>
  <si>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</si>
  <si>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</si>
  <si>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</si>
  <si>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</si>
  <si>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</si>
  <si>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</si>
  <si>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</si>
  <si>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</si>
  <si>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</si>
  <si>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</si>
  <si>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</si>
  <si>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</si>
  <si>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</si>
  <si>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</si>
  <si>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</si>
  <si>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</si>
  <si>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</si>
  <si>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</si>
  <si>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</si>
  <si>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</si>
  <si>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</si>
  <si>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</si>
  <si>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</si>
  <si>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</si>
  <si>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</si>
  <si>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</si>
  <si>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</si>
  <si>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</si>
  <si>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</si>
  <si>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</si>
  <si>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</si>
  <si>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</si>
  <si>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</si>
  <si>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</si>
  <si>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</si>
  <si>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</si>
  <si>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</si>
  <si>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</si>
  <si>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</si>
  <si>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</si>
  <si>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</si>
  <si>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</si>
  <si>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</si>
  <si>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</si>
  <si>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</si>
  <si>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</si>
  <si>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</si>
  <si>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</si>
  <si>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</si>
  <si>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</si>
  <si>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</si>
  <si>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</si>
  <si>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</si>
  <si>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</si>
  <si>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</si>
  <si>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</si>
  <si>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</si>
  <si>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</si>
  <si>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</si>
  <si>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</si>
  <si>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</si>
  <si>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</si>
  <si>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</si>
  <si>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</si>
  <si>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</si>
  <si>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</si>
  <si>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</si>
  <si>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</si>
  <si>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</si>
  <si>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</si>
  <si>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</si>
  <si>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</si>
  <si>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</si>
  <si>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</si>
  <si>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</si>
  <si>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</si>
  <si>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</si>
  <si>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</si>
  <si>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</si>
  <si>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</si>
  <si>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</si>
  <si>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</si>
  <si>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</si>
  <si>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</si>
  <si>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</si>
  <si>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</si>
  <si>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</si>
  <si>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</si>
  <si>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</si>
  <si>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</si>
  <si>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</si>
  <si>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</si>
  <si>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</si>
  <si>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</si>
  <si>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</si>
  <si>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</si>
  <si>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</si>
  <si>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</si>
  <si>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</si>
  <si>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</si>
  <si>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</si>
  <si>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</si>
  <si>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</si>
  <si>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</si>
  <si>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</si>
  <si>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</si>
  <si>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</si>
  <si>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</si>
  <si>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</si>
  <si>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</si>
  <si>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</si>
  <si>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</si>
  <si>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</si>
  <si>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</si>
  <si>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</si>
  <si>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</si>
  <si>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</si>
  <si>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</si>
  <si>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</si>
  <si>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</si>
  <si>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</si>
  <si>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</si>
  <si>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</si>
  <si>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</si>
  <si>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</si>
  <si>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</si>
  <si>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</si>
  <si>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</si>
  <si>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</si>
  <si>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</si>
  <si>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</si>
  <si>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</si>
  <si>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</si>
  <si>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</si>
  <si>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</si>
  <si>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</si>
  <si>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</si>
  <si>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</si>
  <si>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</si>
  <si>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</si>
  <si>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</si>
  <si>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</si>
  <si>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</si>
  <si>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</si>
  <si>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</si>
  <si>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</si>
  <si>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</si>
  <si>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</si>
  <si>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</si>
  <si>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</si>
  <si>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</si>
  <si>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</si>
  <si>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</si>
  <si>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</si>
  <si>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</si>
  <si>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</si>
  <si>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</si>
  <si>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</si>
  <si>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</si>
  <si>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</si>
  <si>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</si>
  <si>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</si>
  <si>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</si>
  <si>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</si>
  <si>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</si>
  <si>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</si>
  <si>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</si>
  <si>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</si>
  <si>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</si>
  <si>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</si>
  <si>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</si>
  <si>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</si>
  <si>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</si>
  <si>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</si>
  <si>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</si>
  <si>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</si>
  <si>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</si>
  <si>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</si>
  <si>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</si>
  <si>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</si>
  <si>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</si>
  <si>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</si>
  <si>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</si>
  <si>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</si>
  <si>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</si>
  <si>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</si>
  <si>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</si>
  <si>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</si>
  <si>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</si>
  <si>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</si>
  <si>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</si>
  <si>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</si>
  <si>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</si>
  <si>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</si>
  <si>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Family Store</t>
  </si>
  <si>
    <t xml:space="preserve">Address: Velencia Town </t>
  </si>
  <si>
    <t>NTN #: 4130928-6</t>
  </si>
  <si>
    <t>Invoice No # :156156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</si>
</sst>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498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46266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Family Store</v>
      </c>
      <c r="T3" s="301">
        <f>+'1'!P35</f>
        <v>13000.245869809321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Family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Family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Family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886.61625000000004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5.424606673728813</v>
      </c>
      <c r="P7" s="310">
        <f>M7+N7+O7</f>
        <v>1090.3459414194913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Family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1773.2325000000001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10.849213347457626</v>
      </c>
      <c r="P8" s="311">
        <f t="shared" ref="P8:P15" si="2">M8+N8+O8</f>
        <v>2180.6918828389826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Family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251.82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1773.2325000000001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10.849213347457626</v>
      </c>
      <c r="P9" s="311">
        <f t="shared" si="2"/>
        <v>2180.6918828389826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Family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</v>
      </c>
      <c r="I10" s="236">
        <f t="shared" si="0"/>
        <v>1452.8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174.33599999999998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50.848000000000006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274.57627118644069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7.5109613559322028</v>
      </c>
      <c r="P10" s="311">
        <f t="shared" si="2"/>
        <v>1509.7032325423729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Family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2455.232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15.021922711864406</v>
      </c>
      <c r="P11" s="311">
        <f t="shared" si="2"/>
        <v>3019.4064650847458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Family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40</v>
      </c>
      <c r="I12" s="236">
        <f t="shared" si="0"/>
        <v>2905.6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348.67199999999997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101.69600000000001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2455.232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549.15254237288138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15.021922711864406</v>
      </c>
      <c r="P12" s="311">
        <f t="shared" si="2"/>
        <v>3019.4064650847458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Family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Family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Family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Family Store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5</v>
      </c>
      <c r="H16" s="113">
        <f t="shared" ref="H16:M16" si="3">SUM(H7:H15)</f>
        <v>200</v>
      </c>
      <c r="I16" s="114">
        <f t="shared" si="3"/>
        <v>12510.25</v>
      </c>
      <c r="J16" s="274">
        <f>SUM(J7:J15)</f>
        <v>1501.23</v>
      </c>
      <c r="K16" s="275">
        <f t="shared" si="3"/>
        <v>437.8587500000001</v>
      </c>
      <c r="L16" s="276">
        <f t="shared" si="3"/>
        <v>0</v>
      </c>
      <c r="M16" s="232">
        <f t="shared" si="3"/>
        <v>10571.161250000001</v>
      </c>
      <c r="N16" s="233">
        <f>SUM(N7:N15)</f>
        <v>2364.4067796610166</v>
      </c>
      <c r="O16" s="101">
        <f>SUM(O7:O15)</f>
        <v>64.67784014830508</v>
      </c>
      <c r="P16" s="113">
        <f>SUM(P7:P15)</f>
        <v>13000.245869809321</v>
      </c>
      <c r="Q16" s="128">
        <f>SUM(Q7:Q15)</f>
        <v>0</v>
      </c>
      <c r="R16" s="314">
        <v>14</v>
      </c>
      <c r="S16" s="318" t="str">
        <f>+'14'!A6:A6</f>
        <v>Family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Family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Family Store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12510.25</v>
      </c>
      <c r="R19" s="299">
        <v>17</v>
      </c>
      <c r="S19" s="300" t="str">
        <f>+'17'!A6:A6</f>
        <v>Family Store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1501.23</v>
      </c>
      <c r="R20" s="299">
        <v>18</v>
      </c>
      <c r="S20" s="300" t="str">
        <f>+'18'!A6:A6</f>
        <v>Family Store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437.8587500000001</v>
      </c>
      <c r="R21" s="299">
        <v>19</v>
      </c>
      <c r="S21" s="300" t="str">
        <f>+'19'!A6:A6</f>
        <v>Family Store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10571.161250000001</v>
      </c>
      <c r="R22" s="299">
        <v>20</v>
      </c>
      <c r="S22" s="300" t="str">
        <f>+'20'!A6:A6</f>
        <v>Family Store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2364.4067796610166</v>
      </c>
      <c r="R23" s="299">
        <v>21</v>
      </c>
      <c r="S23" s="300" t="str">
        <f>+'21'!A6:A6</f>
        <v>Family Store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12935.568029661017</v>
      </c>
      <c r="R24" s="299">
        <v>22</v>
      </c>
      <c r="S24" s="300" t="str">
        <f>+'22'!A6:A6</f>
        <v>Family Store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64.67784014830508</v>
      </c>
      <c r="R25" s="299">
        <v>23</v>
      </c>
      <c r="S25" s="300" t="str">
        <f>+'23'!A6:A6</f>
        <v>Family Store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13000.245869809321</v>
      </c>
      <c r="R26" s="299">
        <v>24</v>
      </c>
      <c r="S26" s="300" t="str">
        <f>+'24'!A6:A6</f>
        <v>Family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Family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Family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Family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Family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Family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Family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13000.245869809321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515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7.2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125.91</v>
      </c>
      <c r="K16" s="127">
        <f>$I16*T16</f>
        <v>36.723750000000003</v>
      </c>
      <c r="L16" s="118">
        <f>$I16*U16</f>
        <v>0</v>
      </c>
      <c r="M16" s="229">
        <f>I16-SUM(J16:L16)</f>
        <v>886.61625000000004</v>
      </c>
      <c r="N16" s="248">
        <f>+(G16*D16+H16)*V16</f>
        <v>198.30508474576263</v>
      </c>
      <c r="O16" s="238">
        <f>(N16+M16)*$O$15</f>
        <v>5.424606673728813</v>
      </c>
      <c r="P16" s="310">
        <f>M16+N16+O16</f>
        <v>1090.3459414194913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1773.2325000000001</v>
      </c>
      <c r="N17" s="277">
        <f t="shared" ref="N17:N24" si="3">+(G17*D17+H17)*V17</f>
        <v>396.61016949152526</v>
      </c>
      <c r="O17" s="239">
        <f t="shared" ref="O17:O24" si="4">(N17+M17)*$O$15</f>
        <v>10.849213347457626</v>
      </c>
      <c r="P17" s="311">
        <f t="shared" ref="P17:P24" si="5">M17+N17+O17</f>
        <v>2180.6918828389826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251.82</v>
      </c>
      <c r="K18" s="128">
        <f t="shared" si="1"/>
        <v>73.447500000000005</v>
      </c>
      <c r="L18" s="119">
        <f t="shared" si="1"/>
        <v>0</v>
      </c>
      <c r="M18" s="230">
        <f t="shared" si="2"/>
        <v>1773.2325000000001</v>
      </c>
      <c r="N18" s="277">
        <f t="shared" si="3"/>
        <v>396.61016949152526</v>
      </c>
      <c r="O18" s="239">
        <f t="shared" si="4"/>
        <v>10.849213347457626</v>
      </c>
      <c r="P18" s="311">
        <f t="shared" si="5"/>
        <v>2180.6918828389826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174.33599999999998</v>
      </c>
      <c r="K19" s="128">
        <f t="shared" si="1"/>
        <v>50.848000000000006</v>
      </c>
      <c r="L19" s="119">
        <f t="shared" si="1"/>
        <v>0</v>
      </c>
      <c r="M19" s="230">
        <f t="shared" si="2"/>
        <v>1227.616</v>
      </c>
      <c r="N19" s="277">
        <f t="shared" si="3"/>
        <v>274.57627118644069</v>
      </c>
      <c r="O19" s="239">
        <f t="shared" si="4"/>
        <v>7.5109613559322028</v>
      </c>
      <c r="P19" s="311">
        <f t="shared" si="5"/>
        <v>1509.7032325423729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101.69600000000001</v>
      </c>
      <c r="L20" s="119">
        <f t="shared" si="1"/>
        <v>0</v>
      </c>
      <c r="M20" s="230">
        <f t="shared" si="2"/>
        <v>2455.232</v>
      </c>
      <c r="N20" s="277">
        <f t="shared" si="3"/>
        <v>549.15254237288138</v>
      </c>
      <c r="O20" s="239">
        <f t="shared" si="4"/>
        <v>15.021922711864406</v>
      </c>
      <c r="P20" s="311">
        <f t="shared" si="5"/>
        <v>3019.4064650847458</v>
      </c>
      <c r="Q20" s="156"/>
      <c r="R20">
        <f>P20/21</f>
        <v>143.78126024213074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348.67199999999997</v>
      </c>
      <c r="K21" s="128">
        <f t="shared" si="1"/>
        <v>101.69600000000001</v>
      </c>
      <c r="L21" s="119">
        <f t="shared" si="1"/>
        <v>0</v>
      </c>
      <c r="M21" s="230">
        <f t="shared" si="2"/>
        <v>2455.232</v>
      </c>
      <c r="N21" s="277">
        <f t="shared" si="3"/>
        <v>549.15254237288138</v>
      </c>
      <c r="O21" s="239">
        <f t="shared" si="4"/>
        <v>15.021922711864406</v>
      </c>
      <c r="P21" s="311">
        <f t="shared" si="5"/>
        <v>3019.4064650847458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12510.25</v>
      </c>
      <c r="J25" s="274">
        <f>SUM(J16:J24)</f>
        <v>1501.23</v>
      </c>
      <c r="K25" s="275">
        <f t="shared" si="10"/>
        <v>437.8587500000001</v>
      </c>
      <c r="L25" s="276">
        <f t="shared" si="10"/>
        <v>0</v>
      </c>
      <c r="M25" s="232">
        <f t="shared" si="10"/>
        <v>10571.161250000001</v>
      </c>
      <c r="N25" s="233">
        <f>SUM(N16:N24)</f>
        <v>2364.4067796610166</v>
      </c>
      <c r="O25" s="101">
        <f>SUM(O16:O24)</f>
        <v>64.67784014830508</v>
      </c>
      <c r="P25" s="113">
        <f>SUM(P16:P24)</f>
        <v>13000.245869809321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12510.25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1501.23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437.8587500000001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10571.161250000001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2364.4067796610166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12935.568029661017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64.67784014830508</v>
      </c>
    </row>
    <row r="35" spans="2:16" ht="15.75" customHeight="1" thickBot="1" x14ac:dyDescent="0.4">
      <c r="N35" s="374" t="s">
        <v>88</v>
      </c>
      <c r="O35" s="375"/>
      <c r="P35" s="297">
        <f>+P33+P34</f>
        <v>13000.245869809321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J16" sqref="J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46275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46274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 Name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514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320">
        <v>0.12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46277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46276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2026-09-11T05:03:25Z</dcterms:modified>
</cp:coreProperties>
</file>