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639F51C-E7F6-4ED2-A92C-7678D1A4332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M20" i="61" s="1"/>
  <c r="O20" i="61" s="1"/>
  <c r="P20" i="61" s="1"/>
  <c r="R20" i="61" s="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16" i="60"/>
  <c r="M16" i="59"/>
  <c r="O16" i="59" s="1"/>
  <c r="P16" i="59" s="1"/>
  <c r="M20" i="57"/>
  <c r="O20" i="57" s="1"/>
  <c r="P20" i="57" s="1"/>
  <c r="R20" i="57" s="1"/>
  <c r="M17" i="56"/>
  <c r="O17" i="56" s="1"/>
  <c r="P17" i="56" s="1"/>
  <c r="M21" i="53"/>
  <c r="O21" i="53" s="1"/>
  <c r="P21" i="53" s="1"/>
  <c r="M20" i="53"/>
  <c r="O20" i="53" s="1"/>
  <c r="P20" i="53" s="1"/>
  <c r="R20" i="53" s="1"/>
  <c r="M18" i="53"/>
  <c r="O18" i="53" s="1"/>
  <c r="P18" i="53" s="1"/>
  <c r="M21" i="52"/>
  <c r="O21" i="52" s="1"/>
  <c r="P21" i="52" s="1"/>
  <c r="M21" i="51"/>
  <c r="M16" i="48"/>
  <c r="M21" i="47"/>
  <c r="O21" i="47" s="1"/>
  <c r="P21" i="47" s="1"/>
  <c r="M20" i="47"/>
  <c r="O20" i="47" s="1"/>
  <c r="P20" i="47" s="1"/>
  <c r="R20" i="47" s="1"/>
  <c r="J7" i="62"/>
  <c r="K12" i="62"/>
  <c r="M21" i="44"/>
  <c r="O21" i="44" s="1"/>
  <c r="P21" i="44" s="1"/>
  <c r="M17" i="44"/>
  <c r="O17" i="44" s="1"/>
  <c r="P17" i="44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<sst xmlns="http://schemas.openxmlformats.org/spreadsheetml/2006/main" count="3948" uniqueCount="536">
  <si>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</si>
  <si>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</si>
  <si>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</si>
  <si>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</si>
  <si>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</si>
  <si>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</si>
  <si>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</si>
  <si>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</si>
  <si>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</si>
  <si>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</si>
  <si>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</si>
  <si>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</si>
  <si>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</si>
  <si>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</si>
  <si>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</si>
  <si>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</si>
  <si>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</si>
  <si>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</si>
  <si>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</si>
  <si>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</si>
  <si>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</si>
  <si>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</si>
  <si>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</si>
  <si>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</si>
  <si>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</si>
  <si>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</si>
  <si>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</si>
  <si>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</si>
  <si>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</si>
  <si>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</si>
  <si>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</si>
  <si>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</si>
  <si>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</si>
  <si>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</si>
  <si>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</si>
  <si>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</si>
  <si>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</si>
  <si>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</si>
  <si>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</si>
  <si>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</si>
  <si>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</si>
  <si>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</si>
  <si>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</si>
  <si>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</si>
  <si>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</si>
  <si>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</si>
  <si>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</si>
  <si>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</si>
  <si>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</si>
  <si>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</si>
  <si>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</si>
  <si>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</si>
  <si>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</si>
  <si>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</si>
  <si>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</si>
  <si>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</si>
  <si>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</si>
  <si>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</si>
  <si>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</si>
  <si>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</si>
  <si>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</si>
  <si>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</si>
  <si>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</si>
  <si>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</si>
  <si>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</si>
  <si>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</si>
  <si>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</si>
  <si>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</si>
  <si>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</si>
  <si>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</si>
  <si>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</si>
  <si>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</si>
  <si>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</si>
  <si>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</si>
  <si>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</si>
  <si>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</si>
  <si>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</si>
  <si>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</si>
  <si>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</si>
  <si>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</si>
  <si>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</si>
  <si>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</si>
  <si>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</si>
  <si>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</si>
  <si>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</si>
  <si>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</si>
  <si>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</si>
  <si>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</si>
  <si>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</si>
  <si>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</si>
  <si>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</si>
  <si>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</si>
  <si>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</si>
  <si>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</si>
  <si>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</si>
  <si>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</si>
  <si>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</si>
  <si>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</si>
  <si>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</si>
  <si>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</si>
  <si>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</si>
  <si>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</si>
  <si>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</si>
  <si>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</si>
  <si>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</si>
  <si>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</si>
  <si>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</si>
  <si>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</si>
  <si>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</si>
  <si>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</si>
  <si>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</si>
  <si>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</si>
  <si>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</si>
  <si>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</si>
  <si>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</si>
  <si>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</si>
  <si>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</si>
  <si>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</si>
  <si>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</si>
  <si>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</si>
  <si>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</si>
  <si>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</si>
  <si>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</si>
  <si>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</si>
  <si>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</si>
  <si>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</si>
  <si>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</si>
  <si>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</si>
  <si>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</si>
  <si>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</si>
  <si>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</si>
  <si>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</si>
  <si>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</si>
  <si>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</si>
  <si>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</si>
  <si>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</si>
  <si>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</si>
  <si>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</si>
  <si>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</si>
  <si>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</si>
  <si>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</si>
  <si>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</si>
  <si>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</si>
  <si>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</si>
  <si>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</si>
  <si>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</si>
  <si>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</si>
  <si>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</si>
  <si>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</si>
  <si>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</si>
  <si>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</si>
  <si>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</si>
  <si>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</si>
  <si>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</si>
  <si>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</si>
  <si>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</si>
  <si>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</si>
  <si>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</si>
  <si>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</si>
  <si>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</si>
  <si>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</si>
  <si>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</si>
  <si>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</si>
  <si>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</si>
  <si>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</si>
  <si>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</si>
  <si>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</si>
  <si>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</si>
  <si>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</si>
  <si>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</si>
  <si>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</si>
  <si>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</si>
  <si>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</si>
  <si>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</si>
  <si>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</si>
  <si>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</si>
  <si>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</si>
  <si>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</si>
  <si>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</si>
  <si>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</si>
  <si>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</si>
  <si>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</si>
  <si>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</si>
  <si>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</si>
  <si>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</si>
  <si>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</si>
  <si>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</si>
  <si>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</si>
  <si>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</si>
  <si>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</si>
  <si>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</si>
  <si>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</si>
  <si>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</si>
  <si>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</si>
  <si>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</si>
  <si>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</si>
  <si>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</si>
  <si>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</si>
  <si>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</si>
  <si>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</si>
  <si>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</si>
  <si>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</si>
  <si>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</si>
  <si>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</si>
  <si>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</si>
  <si>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</si>
  <si>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</si>
  <si>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</si>
  <si>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</si>
  <si>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</si>
  <si>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</si>
  <si>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</si>
  <si>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</si>
  <si>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</si>
  <si>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</si>
  <si>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</si>
  <si>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</si>
  <si>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</si>
  <si>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</si>
  <si>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</si>
  <si>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</si>
  <si>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</si>
  <si>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</si>
  <si>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</si>
  <si>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</si>
  <si>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</si>
  <si>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</si>
  <si>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</si>
  <si>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</si>
  <si>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</si>
  <si>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</si>
  <si>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</si>
  <si>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</si>
  <si>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</si>
  <si>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</si>
  <si>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</si>
  <si>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</si>
  <si>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</si>
  <si>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</si>
  <si>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</si>
  <si>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</si>
  <si>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</si>
  <si>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</si>
  <si>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</si>
  <si>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</si>
  <si>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</si>
  <si>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</si>
  <si>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</si>
  <si>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</si>
  <si>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</si>
  <si>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</si>
  <si>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</si>
  <si>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</si>
  <si>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</si>
  <si>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</si>
  <si>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</si>
  <si>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</si>
  <si>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</si>
  <si>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</si>
  <si>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</si>
  <si>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</si>
  <si>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</si>
  <si>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</si>
  <si>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</si>
  <si>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</si>
  <si>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</si>
  <si>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</si>
  <si>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</si>
  <si>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</si>
  <si>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</si>
  <si>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</si>
  <si>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</si>
  <si>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</si>
  <si>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</si>
  <si>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</si>
  <si>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</si>
  <si>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</si>
  <si>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</si>
  <si>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</si>
  <si>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</si>
  <si>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</si>
  <si>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</si>
  <si>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</si>
  <si>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</si>
  <si>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</si>
  <si>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</si>
  <si>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</si>
  <si>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</si>
  <si>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</si>
  <si>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</si>
  <si>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</si>
  <si>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</si>
  <si>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</si>
  <si>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</si>
  <si>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</si>
  <si>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</si>
  <si>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</si>
  <si>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</si>
  <si>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</si>
  <si>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</si>
  <si>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</si>
  <si>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</si>
  <si>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</si>
  <si>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</si>
  <si>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</si>
  <si>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</si>
  <si>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</si>
  <si>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</si>
  <si>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</si>
  <si>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</si>
  <si>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</si>
  <si>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</si>
  <si>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</si>
  <si>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</si>
  <si>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</si>
  <si>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</si>
  <si>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</si>
  <si>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</si>
  <si>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</si>
  <si>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</si>
  <si>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</si>
  <si>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</si>
  <si>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</si>
  <si>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</si>
  <si>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</si>
  <si>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</si>
  <si>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</si>
  <si>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</si>
  <si>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</si>
  <si>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</si>
  <si>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</si>
  <si>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</si>
  <si>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</si>
  <si>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</si>
  <si>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</si>
  <si>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</si>
  <si>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</si>
  <si>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</si>
  <si>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</si>
  <si>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</si>
  <si>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</si>
  <si>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</si>
  <si>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</si>
  <si>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</si>
  <si>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</si>
  <si>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</si>
  <si>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</si>
  <si>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</si>
  <si>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</si>
  <si>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</si>
  <si>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</si>
  <si>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</si>
  <si>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</si>
  <si>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</si>
  <si>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</si>
  <si>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</si>
  <si>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</si>
  <si>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</si>
  <si>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</si>
  <si>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</si>
  <si>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</si>
  <si>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</si>
  <si>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</si>
  <si>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</si>
  <si>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</si>
  <si>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</si>
  <si>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</si>
  <si>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</si>
  <si>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</si>
  <si>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</si>
  <si>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</si>
  <si>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</si>
  <si>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</si>
  <si>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</si>
  <si>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</si>
  <si>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</si>
  <si>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</si>
  <si>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</si>
  <si>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</si>
  <si>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</si>
  <si>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</si>
  <si>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</si>
  <si>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</si>
  <si>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</si>
  <si>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</si>
  <si>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</si>
  <si>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</si>
  <si>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</si>
  <si>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</si>
  <si>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</si>
  <si>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</si>
  <si>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</si>
  <si>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</si>
  <si>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</si>
  <si>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</si>
  <si>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</si>
  <si>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</si>
  <si>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</si>
  <si>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</si>
  <si>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</si>
  <si>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</si>
  <si>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</si>
  <si>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</si>
  <si>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</si>
  <si>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</si>
  <si>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</si>
  <si>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</si>
  <si>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</si>
  <si>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</si>
  <si>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</si>
  <si>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</si>
  <si>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</si>
  <si>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</si>
  <si>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</si>
  <si>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</si>
  <si>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</si>
  <si>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</si>
  <si>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</si>
  <si>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</si>
  <si>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</si>
  <si>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</si>
  <si>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</si>
  <si>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</si>
  <si>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</si>
  <si>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</si>
  <si>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</si>
  <si>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</si>
  <si>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</si>
  <si>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</si>
  <si>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</si>
  <si>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</si>
  <si>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</si>
  <si>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</si>
  <si>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</si>
  <si>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</si>
  <si>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</si>
  <si>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</si>
  <si>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</si>
  <si>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</si>
  <si>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</si>
  <si>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</si>
  <si>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</si>
  <si>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</si>
  <si>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</si>
  <si>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</si>
  <si>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</si>
  <si>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</si>
  <si>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</si>
  <si>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</si>
  <si>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</si>
  <si>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</si>
  <si>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</si>
  <si>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</si>
  <si>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</si>
  <si>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</si>
  <si>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</si>
  <si>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</si>
  <si>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</si>
  <si>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</si>
  <si>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</si>
  <si>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</si>
  <si>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</si>
  <si>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</si>
  <si>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</si>
  <si>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</si>
  <si>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</si>
  <si>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</si>
  <si>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</si>
  <si>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</si>
  <si>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</si>
  <si>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</si>
  <si>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</si>
  <si>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</si>
  <si>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</si>
  <si>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</si>
  <si>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</si>
  <si>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</si>
  <si>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</si>
  <si>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</si>
  <si>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</si>
  <si>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</si>
  <si>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</si>
  <si>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</si>
  <si>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</si>
  <si>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</si>
  <si>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</si>
  <si>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</si>
  <si>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</si>
  <si>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</si>
  <si>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</si>
  <si>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</si>
  <si>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</si>
  <si>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</si>
  <si>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</si>
  <si>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</si>
  <si>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</si>
  <si>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</si>
  <si>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</si>
  <si>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</si>
  <si>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</si>
  <si>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</si>
  <si>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</si>
  <si>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</si>
  <si>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</si>
  <si>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</si>
  <si>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</si>
  <si>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</si>
  <si>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</si>
  <si>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</si>
  <si>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</si>
  <si>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</si>
  <si>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</si>
  <si>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</si>
  <si>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</si>
  <si>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Dhrampura</t>
  </si>
  <si>
    <t>Khuram Store</t>
  </si>
  <si>
    <t>Mehroz Store</t>
  </si>
  <si>
    <t>Rao Store</t>
  </si>
  <si>
    <t>Khan Store</t>
  </si>
  <si>
    <t>Al Madina Store</t>
  </si>
  <si>
    <t>Hadi Store</t>
  </si>
  <si>
    <t>Al Rehman Store</t>
  </si>
  <si>
    <t>Bilal Store</t>
  </si>
  <si>
    <t>Zesahn GS</t>
  </si>
  <si>
    <t>Munah GS</t>
  </si>
  <si>
    <t>Faisal GS</t>
  </si>
  <si>
    <t>Babu GS</t>
  </si>
  <si>
    <t>Kashmir Store</t>
  </si>
  <si>
    <t>Ashir Store</t>
  </si>
  <si>
    <t>Bhai Bhai Store</t>
  </si>
  <si>
    <t>Sohail Gs</t>
  </si>
  <si>
    <t>Butt Store</t>
  </si>
  <si>
    <t>Ayyan Khan Store</t>
  </si>
  <si>
    <t>Honey Store</t>
  </si>
  <si>
    <t>Waleed Store</t>
  </si>
  <si>
    <t>Misam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</si>
</sst>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activeCell="D30" sqref="D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Khuram Store</v>
      </c>
      <c r="T3" s="301">
        <f>+'1'!P35</f>
        <v>1752.6368091661016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Mehroz Store</v>
      </c>
      <c r="T4" s="301">
        <f>+'2'!P35</f>
        <v>1393.8737920932199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Rao Store</v>
      </c>
      <c r="T5" s="301">
        <f>+'3'!P35</f>
        <v>1393.8737920932199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Khan Store</v>
      </c>
      <c r="T6" s="301">
        <f>+'4'!P35</f>
        <v>1393.8737920932199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73.447500000000019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396.61016949152531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11.268913347457625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Madina Store</v>
      </c>
      <c r="T7" s="301">
        <f>+'5'!P35</f>
        <v>1393.8737920932199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73.447500000000019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11.268913347457625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Hadi Store</v>
      </c>
      <c r="T8" s="301">
        <f>+'6'!P35</f>
        <v>1393.8737920932199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3714.3449999999998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</v>
      </c>
      <c r="P9" s="311">
        <f t="shared" si="2"/>
        <v>4530.103165677966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Rehman Store</v>
      </c>
      <c r="T9" s="301">
        <f>+'7'!P35</f>
        <v>1393.8737920932199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5142.9119999999994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31.206085423728808</v>
      </c>
      <c r="P10" s="311">
        <f t="shared" si="2"/>
        <v>6272.4231701694907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Bilal Store</v>
      </c>
      <c r="T10" s="301">
        <f>+'8'!P35</f>
        <v>1393.8737920932199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5142.9119999999994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31.206085423728808</v>
      </c>
      <c r="P11" s="311">
        <f t="shared" si="2"/>
        <v>6272.4231701694907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Zesahn GS</v>
      </c>
      <c r="T11" s="301">
        <f>+'9'!P35</f>
        <v>1393.8737920932199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5142.9119999999994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31.206085423728808</v>
      </c>
      <c r="P12" s="311">
        <f t="shared" si="2"/>
        <v>6272.4231701694907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Munah GS</v>
      </c>
      <c r="T12" s="301">
        <f>+'10'!P35</f>
        <v>1393.8737920932199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82</v>
      </c>
      <c r="I13" s="236">
        <f t="shared" si="0"/>
        <v>3216.86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160.84300000000002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112.59010000000002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164.05986000000001</v>
      </c>
      <c r="M13" s="230">
        <f t="shared" si="1"/>
        <v>2779.3670400000001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625.42372881355891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17.023953844067798</v>
      </c>
      <c r="P13" s="311">
        <f t="shared" si="2"/>
        <v>3421.814722657627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Faisal GS</v>
      </c>
      <c r="T13" s="301">
        <f>+'11'!P35</f>
        <v>1393.8737920932199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Babu GS</v>
      </c>
      <c r="T14" s="301">
        <f>+'12'!P35</f>
        <v>1393.8737920932199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Kashmir Store</v>
      </c>
      <c r="T15" s="301">
        <f>+'13'!P35</f>
        <v>1393.8737920932199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12.05</v>
      </c>
      <c r="H16" s="113">
        <f t="shared" ref="H16:M16" si="3">SUM(H7:H15)</f>
        <v>482</v>
      </c>
      <c r="I16" s="114">
        <f t="shared" si="3"/>
        <v>29044.460000000003</v>
      </c>
      <c r="J16" s="274">
        <f>SUM(J7:J15)</f>
        <v>2227.0510000000004</v>
      </c>
      <c r="K16" s="275">
        <f t="shared" si="3"/>
        <v>1016.5561000000002</v>
      </c>
      <c r="L16" s="276">
        <f t="shared" si="3"/>
        <v>164.05986000000001</v>
      </c>
      <c r="M16" s="232">
        <f t="shared" si="3"/>
        <v>25636.79304</v>
      </c>
      <c r="N16" s="233">
        <f>SUM(N7:N15)</f>
        <v>5506.779661016948</v>
      </c>
      <c r="O16" s="101">
        <f>SUM(O7:O15)</f>
        <v>155.71786350508472</v>
      </c>
      <c r="P16" s="113">
        <f>SUM(P7:P15)</f>
        <v>31299.290564522031</v>
      </c>
      <c r="Q16" s="128">
        <f>SUM(Q7:Q15)</f>
        <v>0</v>
      </c>
      <c r="R16" s="313">
        <v>14</v>
      </c>
      <c r="S16" s="315" t="str">
        <f>+'14'!A6:A6</f>
        <v>Ashir Store</v>
      </c>
      <c r="T16" s="301">
        <f>+'14'!P35</f>
        <v>1393.8737920932199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Bhai Bhai Store</v>
      </c>
      <c r="T17" s="301">
        <f>+'15'!P35</f>
        <v>1393.8737920932199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Sohail Gs</v>
      </c>
      <c r="T18" s="301">
        <f>+'16'!P35</f>
        <v>940.86347552542372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29044.460000000003</v>
      </c>
      <c r="R19" s="299">
        <v>17</v>
      </c>
      <c r="S19" s="300" t="str">
        <f>+'17'!A6:A6</f>
        <v>Butt Store</v>
      </c>
      <c r="T19" s="301">
        <f>+'17'!P35</f>
        <v>2352.1586888135594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2227.0510000000004</v>
      </c>
      <c r="R20" s="299">
        <v>18</v>
      </c>
      <c r="S20" s="300" t="str">
        <f>+'18'!A6:A6</f>
        <v>Ayyan Khan Store</v>
      </c>
      <c r="T20" s="301">
        <f>+'18'!P35</f>
        <v>1359.0309497033895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1180.6159600000003</v>
      </c>
      <c r="R21" s="299">
        <v>19</v>
      </c>
      <c r="S21" s="300" t="str">
        <f>+'19'!A6:A6</f>
        <v>Honey Store</v>
      </c>
      <c r="T21" s="301">
        <f>+'19'!P35</f>
        <v>1359.0309497033895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25636.793040000004</v>
      </c>
      <c r="R22" s="299">
        <v>20</v>
      </c>
      <c r="S22" s="300" t="str">
        <f>+'20'!A6:A6</f>
        <v>Waleed Store</v>
      </c>
      <c r="T22" s="301">
        <f>+'20'!P35</f>
        <v>2352.1586888135594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5506.779661016948</v>
      </c>
      <c r="R23" s="299">
        <v>21</v>
      </c>
      <c r="S23" s="300" t="str">
        <f>+'21'!A6:A6</f>
        <v>Misam Store</v>
      </c>
      <c r="T23" s="301">
        <f>+'21'!P35</f>
        <v>1669.1779134915255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31143.57270101695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155.71786350508472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31299.290564522034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31299.290564522023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42</v>
      </c>
      <c r="I22" s="236">
        <f t="shared" si="0"/>
        <v>1647.66</v>
      </c>
      <c r="J22" s="272">
        <f t="shared" si="1"/>
        <v>82.38300000000001</v>
      </c>
      <c r="K22" s="128">
        <f t="shared" si="1"/>
        <v>57.66810000000001</v>
      </c>
      <c r="L22" s="119">
        <f t="shared" si="1"/>
        <v>84.030659999999997</v>
      </c>
      <c r="M22" s="230">
        <f t="shared" si="2"/>
        <v>1423.5782400000001</v>
      </c>
      <c r="N22" s="277">
        <f t="shared" si="3"/>
        <v>320.33898305084728</v>
      </c>
      <c r="O22" s="239">
        <f t="shared" si="4"/>
        <v>8.719586115254236</v>
      </c>
      <c r="P22" s="119">
        <f t="shared" si="5"/>
        <v>1752.6368091661016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42</v>
      </c>
      <c r="I25" s="114">
        <f t="shared" ref="I25:M25" si="10">SUM(I16:I24)</f>
        <v>1647.66</v>
      </c>
      <c r="J25" s="274">
        <f>SUM(J16:J24)</f>
        <v>82.38300000000001</v>
      </c>
      <c r="K25" s="275">
        <f t="shared" si="10"/>
        <v>57.66810000000001</v>
      </c>
      <c r="L25" s="276">
        <f t="shared" si="10"/>
        <v>84.030659999999997</v>
      </c>
      <c r="M25" s="232">
        <f t="shared" si="10"/>
        <v>1423.5782400000001</v>
      </c>
      <c r="N25" s="233">
        <f>SUM(N16:N24)</f>
        <v>320.33898305084728</v>
      </c>
      <c r="O25" s="101">
        <f>SUM(O16:O24)</f>
        <v>8.719586115254236</v>
      </c>
      <c r="P25" s="234">
        <f>SUM(P16:P24)</f>
        <v>1752.6368091661016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1647.66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82.38300000000001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141.69875999999999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1423.5782400000001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320.33898305084728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1743.9172230508473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8.719586115254236</v>
      </c>
    </row>
    <row r="35" spans="2:16" ht="15.75" customHeight="1" thickBot="1" x14ac:dyDescent="0.4">
      <c r="N35" s="374" t="s">
        <v>88</v>
      </c>
      <c r="O35" s="375"/>
      <c r="P35" s="297">
        <f>+P33+P34</f>
        <v>1752.6368091661016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1291.3799999999999</v>
      </c>
      <c r="J25" s="274">
        <f>SUM(J16:J24)</f>
        <v>103.3104</v>
      </c>
      <c r="K25" s="275">
        <f t="shared" si="7"/>
        <v>45.198300000000003</v>
      </c>
      <c r="L25" s="276">
        <f t="shared" si="7"/>
        <v>0</v>
      </c>
      <c r="M25" s="232">
        <f t="shared" si="7"/>
        <v>1142.8713</v>
      </c>
      <c r="N25" s="233">
        <f>SUM(N16:N24)</f>
        <v>244.06779661016947</v>
      </c>
      <c r="O25" s="101">
        <f>SUM(O16:O24)</f>
        <v>6.9346954830508469</v>
      </c>
      <c r="P25" s="234">
        <f>SUM(P16:P24)</f>
        <v>1393.8737920932201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1291.3799999999999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103.3104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45.198300000000003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1142.8712999999998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244.06779661016947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1386.9390966101691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6.934695483050846</v>
      </c>
    </row>
    <row r="35" spans="2:16" ht="15.75" customHeight="1" thickBot="1" x14ac:dyDescent="0.4">
      <c r="N35" s="374" t="s">
        <v>88</v>
      </c>
      <c r="O35" s="375"/>
      <c r="P35" s="297">
        <f>+P33+P34</f>
        <v>1393.8737920932199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2179.1999999999998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174.33600000000001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76.272000000000006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1928.5919999999999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2340.4564067796609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74" t="s">
        <v>88</v>
      </c>
      <c r="O35" s="375"/>
      <c r="P35" s="297">
        <f>+P33+P34</f>
        <v>2352.1586888135594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2026-09-10T09:13:11Z</dcterms:modified>
</cp:coreProperties>
</file>