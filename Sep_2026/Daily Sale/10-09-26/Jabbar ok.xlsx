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686BA9C-A087-40D0-9EDC-6BEF69B58D1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15" i="62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4" i="55" l="1"/>
  <c r="O25" i="55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<sst xmlns="http://schemas.openxmlformats.org/spreadsheetml/2006/main" count="3948" uniqueCount="536">
  <si>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</si>
  <si>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</si>
  <si>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</si>
  <si>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</si>
  <si>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</si>
  <si>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</si>
  <si>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</si>
  <si>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</si>
  <si>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</si>
  <si>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</si>
  <si>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</si>
  <si>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</si>
  <si>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</si>
  <si>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</si>
  <si>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</si>
  <si>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</si>
  <si>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</si>
  <si>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</si>
  <si>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</si>
  <si>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</si>
  <si>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</si>
  <si>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</si>
  <si>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</si>
  <si>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</si>
  <si>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</si>
  <si>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</si>
  <si>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</si>
  <si>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</si>
  <si>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</si>
  <si>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</si>
  <si>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</si>
  <si>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</si>
  <si>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</si>
  <si>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</si>
  <si>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</si>
  <si>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</si>
  <si>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</si>
  <si>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</si>
  <si>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</si>
  <si>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</si>
  <si>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</si>
  <si>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</si>
  <si>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</si>
  <si>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</si>
  <si>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</si>
  <si>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</si>
  <si>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</si>
  <si>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</si>
  <si>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</si>
  <si>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</si>
  <si>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</si>
  <si>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</si>
  <si>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</si>
  <si>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</si>
  <si>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</si>
  <si>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</si>
  <si>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</si>
  <si>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</si>
  <si>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</si>
  <si>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</si>
  <si>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</si>
  <si>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</si>
  <si>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</si>
  <si>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</si>
  <si>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</si>
  <si>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</si>
  <si>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</si>
  <si>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</si>
  <si>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</si>
  <si>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</si>
  <si>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</si>
  <si>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</si>
  <si>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</si>
  <si>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</si>
  <si>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</si>
  <si>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</si>
  <si>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</si>
  <si>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</si>
  <si>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</si>
  <si>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</si>
  <si>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</si>
  <si>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</si>
  <si>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</si>
  <si>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</si>
  <si>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</si>
  <si>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</si>
  <si>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</si>
  <si>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</si>
  <si>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</si>
  <si>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</si>
  <si>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</si>
  <si>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</si>
  <si>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</si>
  <si>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</si>
  <si>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</si>
  <si>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</si>
  <si>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</si>
  <si>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</si>
  <si>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</si>
  <si>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</si>
  <si>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</si>
  <si>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</si>
  <si>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</si>
  <si>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</si>
  <si>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</si>
  <si>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</si>
  <si>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</si>
  <si>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</si>
  <si>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</si>
  <si>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</si>
  <si>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</si>
  <si>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</si>
  <si>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</si>
  <si>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</si>
  <si>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</si>
  <si>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</si>
  <si>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</si>
  <si>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</si>
  <si>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</si>
  <si>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</si>
  <si>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</si>
  <si>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</si>
  <si>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</si>
  <si>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</si>
  <si>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</si>
  <si>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</si>
  <si>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</si>
  <si>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</si>
  <si>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</si>
  <si>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</si>
  <si>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</si>
  <si>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</si>
  <si>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</si>
  <si>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</si>
  <si>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</si>
  <si>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</si>
  <si>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</si>
  <si>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</si>
  <si>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</si>
  <si>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</si>
  <si>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</si>
  <si>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</si>
  <si>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</si>
  <si>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</si>
  <si>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</si>
  <si>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</si>
  <si>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</si>
  <si>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</si>
  <si>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</si>
  <si>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</si>
  <si>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</si>
  <si>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</si>
  <si>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</si>
  <si>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</si>
  <si>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</si>
  <si>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</si>
  <si>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</si>
  <si>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</si>
  <si>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</si>
  <si>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</si>
  <si>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</si>
  <si>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</si>
  <si>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</si>
  <si>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</si>
  <si>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</si>
  <si>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</si>
  <si>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</si>
  <si>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</si>
  <si>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</si>
  <si>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</si>
  <si>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</si>
  <si>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</si>
  <si>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</si>
  <si>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</si>
  <si>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</si>
  <si>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</si>
  <si>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</si>
  <si>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</si>
  <si>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</si>
  <si>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</si>
  <si>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</si>
  <si>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</si>
  <si>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</si>
  <si>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</si>
  <si>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</si>
  <si>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</si>
  <si>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</si>
  <si>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</si>
  <si>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</si>
  <si>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</si>
  <si>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</si>
  <si>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</si>
  <si>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</si>
  <si>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</si>
  <si>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</si>
  <si>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</si>
  <si>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</si>
  <si>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</si>
  <si>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</si>
  <si>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</si>
  <si>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</si>
  <si>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</si>
  <si>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</si>
  <si>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</si>
  <si>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</si>
  <si>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</si>
  <si>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</si>
  <si>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</si>
  <si>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</si>
  <si>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</si>
  <si>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</si>
  <si>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</si>
  <si>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</si>
  <si>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</si>
  <si>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</si>
  <si>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</si>
  <si>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</si>
  <si>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</si>
  <si>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</si>
  <si>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</si>
  <si>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</si>
  <si>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</si>
  <si>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</si>
  <si>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</si>
  <si>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</si>
  <si>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</si>
  <si>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</si>
  <si>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</si>
  <si>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</si>
  <si>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</si>
  <si>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</si>
  <si>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</si>
  <si>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</si>
  <si>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</si>
  <si>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</si>
  <si>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</si>
  <si>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</si>
  <si>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</si>
  <si>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</si>
  <si>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</si>
  <si>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</si>
  <si>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</si>
  <si>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</si>
  <si>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</si>
  <si>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</si>
  <si>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</si>
  <si>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</si>
  <si>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</si>
  <si>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</si>
  <si>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</si>
  <si>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</si>
  <si>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</si>
  <si>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</si>
  <si>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</si>
  <si>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</si>
  <si>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</si>
  <si>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</si>
  <si>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</si>
  <si>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</si>
  <si>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</si>
  <si>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</si>
  <si>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</si>
  <si>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</si>
  <si>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</si>
  <si>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</si>
  <si>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</si>
  <si>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</si>
  <si>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</si>
  <si>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</si>
  <si>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</si>
  <si>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</si>
  <si>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</si>
  <si>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</si>
  <si>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</si>
  <si>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</si>
  <si>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</si>
  <si>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</si>
  <si>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</si>
  <si>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</si>
  <si>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</si>
  <si>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</si>
  <si>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</si>
  <si>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</si>
  <si>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</si>
  <si>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</si>
  <si>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</si>
  <si>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</si>
  <si>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</si>
  <si>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</si>
  <si>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</si>
  <si>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</si>
  <si>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</si>
  <si>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</si>
  <si>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</si>
  <si>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</si>
  <si>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</si>
  <si>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</si>
  <si>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</si>
  <si>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</si>
  <si>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</si>
  <si>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</si>
  <si>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</si>
  <si>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</si>
  <si>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</si>
  <si>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</si>
  <si>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</si>
  <si>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</si>
  <si>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</si>
  <si>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</si>
  <si>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</si>
  <si>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</si>
  <si>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</si>
  <si>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</si>
  <si>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</si>
  <si>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</si>
  <si>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</si>
  <si>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</si>
  <si>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</si>
  <si>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</si>
  <si>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</si>
  <si>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</si>
  <si>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</si>
  <si>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</si>
  <si>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</si>
  <si>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</si>
  <si>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</si>
  <si>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</si>
  <si>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</si>
  <si>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</si>
  <si>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</si>
  <si>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</si>
  <si>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</si>
  <si>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</si>
  <si>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</si>
  <si>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</si>
  <si>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</si>
  <si>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</si>
  <si>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</si>
  <si>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</si>
  <si>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</si>
  <si>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</si>
  <si>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</si>
  <si>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</si>
  <si>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</si>
  <si>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</si>
  <si>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</si>
  <si>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</si>
  <si>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</si>
  <si>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</si>
  <si>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</si>
  <si>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</si>
  <si>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</si>
  <si>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</si>
  <si>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</si>
  <si>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</si>
  <si>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</si>
  <si>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</si>
  <si>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</si>
  <si>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</si>
  <si>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</si>
  <si>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</si>
  <si>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</si>
  <si>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</si>
  <si>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</si>
  <si>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</si>
  <si>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</si>
  <si>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</si>
  <si>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</si>
  <si>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</si>
  <si>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</si>
  <si>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</si>
  <si>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</si>
  <si>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</si>
  <si>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</si>
  <si>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</si>
  <si>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</si>
  <si>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</si>
  <si>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</si>
  <si>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</si>
  <si>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</si>
  <si>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</si>
  <si>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</si>
  <si>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</si>
  <si>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</si>
  <si>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</si>
  <si>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</si>
  <si>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</si>
  <si>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</si>
  <si>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</si>
  <si>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</si>
  <si>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</si>
  <si>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</si>
  <si>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</si>
  <si>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</si>
  <si>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</si>
  <si>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</si>
  <si>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</si>
  <si>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</si>
  <si>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</si>
  <si>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</si>
  <si>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</si>
  <si>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</si>
  <si>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</si>
  <si>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</si>
  <si>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</si>
  <si>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</si>
  <si>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</si>
  <si>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</si>
  <si>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</si>
  <si>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</si>
  <si>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</si>
  <si>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</si>
  <si>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</si>
  <si>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</si>
  <si>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</si>
  <si>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</si>
  <si>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</si>
  <si>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</si>
  <si>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</si>
  <si>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</si>
  <si>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</si>
  <si>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</si>
  <si>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</si>
  <si>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</si>
  <si>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</si>
  <si>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</si>
  <si>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</si>
  <si>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</si>
  <si>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</si>
  <si>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</si>
  <si>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</si>
  <si>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</si>
  <si>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</si>
  <si>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</si>
  <si>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</si>
  <si>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</si>
  <si>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</si>
  <si>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</si>
  <si>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</si>
  <si>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</si>
  <si>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</si>
  <si>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</si>
  <si>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</si>
  <si>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</si>
  <si>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</si>
  <si>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</si>
  <si>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</si>
  <si>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</si>
  <si>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</si>
  <si>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</si>
  <si>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</si>
  <si>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</si>
  <si>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</si>
  <si>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</si>
  <si>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</si>
  <si>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</si>
  <si>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</si>
  <si>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</si>
  <si>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</si>
  <si>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</si>
  <si>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</si>
  <si>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</si>
  <si>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</si>
  <si>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</si>
  <si>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</si>
  <si>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</si>
  <si>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</si>
  <si>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</si>
  <si>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</si>
  <si>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</si>
  <si>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</si>
  <si>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</si>
  <si>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</si>
  <si>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</si>
  <si>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</si>
  <si>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</si>
  <si>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</si>
  <si>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</si>
  <si>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</si>
  <si>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</si>
  <si>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</si>
  <si>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</si>
  <si>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</si>
  <si>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</si>
  <si>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</si>
  <si>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</si>
  <si>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</si>
  <si>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</si>
  <si>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</si>
  <si>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</si>
  <si>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</si>
  <si>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</si>
  <si>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</si>
  <si>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</si>
  <si>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</si>
  <si>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</si>
  <si>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</si>
  <si>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</si>
  <si>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</si>
  <si>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</si>
  <si>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</si>
  <si>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</si>
  <si>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</si>
  <si>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</si>
  <si>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</si>
  <si>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</si>
  <si>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</si>
  <si>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</si>
  <si>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</si>
  <si>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</si>
  <si>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</si>
  <si>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</si>
  <si>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</si>
  <si>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</si>
  <si>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</si>
  <si>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Tayyab Cosmatics </t>
  </si>
  <si>
    <t xml:space="preserve">Address: Dugach </t>
  </si>
  <si>
    <t>Baber Bhati Store</t>
  </si>
  <si>
    <t xml:space="preserve">Address: Dogaich </t>
  </si>
  <si>
    <t>Mehar Habib Store</t>
  </si>
  <si>
    <t>Bhatti Store</t>
  </si>
  <si>
    <t>Address: Dugaich ]</t>
  </si>
  <si>
    <t>Haseeb Store</t>
  </si>
  <si>
    <t xml:space="preserve">Address: Dugaich </t>
  </si>
  <si>
    <t>Shakeel Kareyana Store</t>
  </si>
  <si>
    <t xml:space="preserve">Address: chungi </t>
  </si>
  <si>
    <t xml:space="preserve">Al Rehman bakery </t>
  </si>
  <si>
    <t xml:space="preserve">Address: Chungi </t>
  </si>
  <si>
    <t>Ali store</t>
  </si>
  <si>
    <t xml:space="preserve">Address: Hata </t>
  </si>
  <si>
    <t>Ali Rehman</t>
  </si>
  <si>
    <t xml:space="preserve">Address: Ahata </t>
  </si>
  <si>
    <t>Wajid Store</t>
  </si>
  <si>
    <t>Address: Ahata</t>
  </si>
  <si>
    <t>Majid GS</t>
  </si>
  <si>
    <t>Umer Khan Zada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</si>
</sst>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H29" sqref="H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Tayyab Cosmatics </v>
      </c>
      <c r="T3" s="301">
        <f>+'1'!P35</f>
        <v>6027.2048854830509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Baber Bhati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Mehar Habib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Bhatti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Haseeb Store</v>
      </c>
      <c r="T7" s="301">
        <f>+'5'!P35</f>
        <v>940.86347552542372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Shakeel Kareyana Store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 Rehman bakery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25.354944406779662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13</v>
      </c>
      <c r="R10" s="313">
        <v>8</v>
      </c>
      <c r="S10" s="300" t="str">
        <f>+'8'!A6:A6</f>
        <v>Ali store</v>
      </c>
      <c r="T10" s="301">
        <f>+'8'!P35</f>
        <v>1176.0793444067797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2571.4559999999997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13</v>
      </c>
      <c r="R11" s="313">
        <v>9</v>
      </c>
      <c r="S11" s="300" t="str">
        <f>+'9'!A6:A6</f>
        <v>Ali Rehman</v>
      </c>
      <c r="T11" s="301">
        <f>+'9'!P35</f>
        <v>1176.0793444067797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57</v>
      </c>
      <c r="I12" s="236">
        <f t="shared" si="0"/>
        <v>4140.4800000000005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331.23839999999996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144.91679999999999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3664.3248000000003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782.54237288135607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22.234335864406784</v>
      </c>
      <c r="P12" s="311">
        <f t="shared" si="2"/>
        <v>4469.1015087457627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14</v>
      </c>
      <c r="R12" s="313">
        <v>10</v>
      </c>
      <c r="S12" s="300" t="str">
        <f>+'10'!A6:A6</f>
        <v>Wajid Store</v>
      </c>
      <c r="T12" s="301">
        <f>+'10'!P35</f>
        <v>250.37668702372881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79</v>
      </c>
      <c r="I13" s="236">
        <f t="shared" si="0"/>
        <v>3099.1700000000005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154.95850000000004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108.47095000000002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158.05767</v>
      </c>
      <c r="M13" s="230">
        <f t="shared" si="1"/>
        <v>2677.6828800000003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602.54237288135573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16.401126264406781</v>
      </c>
      <c r="P13" s="311">
        <f t="shared" si="2"/>
        <v>3296.6263791457627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3">
        <v>11</v>
      </c>
      <c r="S13" s="300" t="str">
        <f>+'11'!A6:A6</f>
        <v>Majid GS</v>
      </c>
      <c r="T13" s="301">
        <f>+'11'!P35</f>
        <v>250.37668702372881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7.0250000000000004</v>
      </c>
      <c r="H16" s="113">
        <f t="shared" ref="H16:M16" si="3">SUM(H7:H15)</f>
        <v>281</v>
      </c>
      <c r="I16" s="114">
        <f t="shared" si="3"/>
        <v>16965.350000000002</v>
      </c>
      <c r="J16" s="274">
        <f>SUM(J7:J15)</f>
        <v>1264.2529</v>
      </c>
      <c r="K16" s="275">
        <f t="shared" si="3"/>
        <v>593.78725000000009</v>
      </c>
      <c r="L16" s="276">
        <f t="shared" si="3"/>
        <v>158.05767</v>
      </c>
      <c r="M16" s="232">
        <f t="shared" si="3"/>
        <v>14949.252179999999</v>
      </c>
      <c r="N16" s="233">
        <f>SUM(N7:N15)</f>
        <v>3223.2203389830506</v>
      </c>
      <c r="O16" s="101">
        <f>SUM(O7:O15)</f>
        <v>90.862362594915268</v>
      </c>
      <c r="P16" s="113">
        <f>SUM(P7:P15)</f>
        <v>18263.334881577968</v>
      </c>
      <c r="Q16" s="128">
        <f>SUM(Q7:Q15)</f>
        <v>80</v>
      </c>
      <c r="R16" s="313">
        <v>14</v>
      </c>
      <c r="S16" s="315" t="str">
        <f>+'14'!A6:A6</f>
        <v>Umer Khan Zada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16965.350000000002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1264.2529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751.84492000000012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14949.252180000003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3223.2203389830506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18172.472518983053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90.862362594915268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18263.334881577968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18263.334881577968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119">
        <f t="shared" si="5"/>
        <v>625.941717559322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95</v>
      </c>
      <c r="I25" s="114">
        <f t="shared" ref="I25:M25" si="10">SUM(I16:I24)</f>
        <v>5592.55</v>
      </c>
      <c r="J25" s="274">
        <f>SUM(J16:J24)</f>
        <v>429.75050000000005</v>
      </c>
      <c r="K25" s="275">
        <f t="shared" si="10"/>
        <v>195.73925000000003</v>
      </c>
      <c r="L25" s="276">
        <f t="shared" si="10"/>
        <v>30.010950000000001</v>
      </c>
      <c r="M25" s="232">
        <f t="shared" si="10"/>
        <v>4937.0492999999997</v>
      </c>
      <c r="N25" s="233">
        <f>SUM(N16:N24)</f>
        <v>1060.1694915254234</v>
      </c>
      <c r="O25" s="101">
        <f>SUM(O16:O24)</f>
        <v>29.986093957627123</v>
      </c>
      <c r="P25" s="234">
        <f>SUM(P16:P24)</f>
        <v>6027.2048854830509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5592.55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429.75050000000005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225.75020000000004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4937.0492999999997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1060.1694915254234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5997.2187915254235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29.986093957627119</v>
      </c>
    </row>
    <row r="35" spans="2:16" ht="15.75" customHeight="1" thickBot="1" x14ac:dyDescent="0.4">
      <c r="N35" s="345" t="s">
        <v>88</v>
      </c>
      <c r="O35" s="346"/>
      <c r="P35" s="297">
        <f>+P33+P34</f>
        <v>6027.2048854830509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16" sqref="G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13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235.38000000000002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11.769000000000002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20.242680000000004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203.36832000000001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249.13103186440676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5" t="s">
        <v>88</v>
      </c>
      <c r="O35" s="346"/>
      <c r="P35" s="297">
        <f>+P33+P34</f>
        <v>250.37668702372881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235.38000000000002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11.769000000000002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20.242680000000004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203.36832000000001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249.13103186440676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5" t="s">
        <v>88</v>
      </c>
      <c r="O35" s="346"/>
      <c r="P35" s="297">
        <f>+P33+P34</f>
        <v>250.37668702372881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2026-09-11T04:38:51Z</dcterms:modified>
</cp:coreProperties>
</file>