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050B8F8-CBBC-4AE1-A7F5-BE947239C120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15" i="62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4" i="55" l="1"/>
  <c r="O25" i="55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<sst xmlns="http://schemas.openxmlformats.org/spreadsheetml/2006/main" count="3948" uniqueCount="536">
  <si>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</si>
  <si>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</si>
  <si>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</si>
  <si>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</si>
  <si>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</si>
  <si>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</si>
  <si>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</si>
  <si>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</si>
  <si>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</si>
  <si>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</si>
  <si>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</si>
  <si>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</si>
  <si>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</si>
  <si>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</si>
  <si>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</si>
  <si>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</si>
  <si>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</si>
  <si>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</si>
  <si>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</si>
  <si>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</si>
  <si>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</si>
  <si>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</si>
  <si>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</si>
  <si>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</si>
  <si>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</si>
  <si>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</si>
  <si>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</si>
  <si>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</si>
  <si>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</si>
  <si>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</si>
  <si>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</si>
  <si>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</si>
  <si>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</si>
  <si>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</si>
  <si>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</si>
  <si>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</si>
  <si>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</si>
  <si>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</si>
  <si>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</si>
  <si>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</si>
  <si>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</si>
  <si>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</si>
  <si>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</si>
  <si>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</si>
  <si>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</si>
  <si>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</si>
  <si>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</si>
  <si>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</si>
  <si>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</si>
  <si>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</si>
  <si>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</si>
  <si>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</si>
  <si>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</si>
  <si>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</si>
  <si>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</si>
  <si>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</si>
  <si>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</si>
  <si>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</si>
  <si>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</si>
  <si>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</si>
  <si>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</si>
  <si>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</si>
  <si>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</si>
  <si>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</si>
  <si>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</si>
  <si>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</si>
  <si>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</si>
  <si>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</si>
  <si>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</si>
  <si>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</si>
  <si>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</si>
  <si>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</si>
  <si>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</si>
  <si>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</si>
  <si>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</si>
  <si>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</si>
  <si>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</si>
  <si>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</si>
  <si>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</si>
  <si>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</si>
  <si>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</si>
  <si>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</si>
  <si>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</si>
  <si>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</si>
  <si>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</si>
  <si>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</si>
  <si>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</si>
  <si>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</si>
  <si>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</si>
  <si>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</si>
  <si>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</si>
  <si>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</si>
  <si>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</si>
  <si>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</si>
  <si>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</si>
  <si>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</si>
  <si>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</si>
  <si>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</si>
  <si>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</si>
  <si>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</si>
  <si>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</si>
  <si>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</si>
  <si>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</si>
  <si>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</si>
  <si>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</si>
  <si>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</si>
  <si>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</si>
  <si>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</si>
  <si>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</si>
  <si>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</si>
  <si>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</si>
  <si>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</si>
  <si>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</si>
  <si>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</si>
  <si>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</si>
  <si>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</si>
  <si>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</si>
  <si>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</si>
  <si>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</si>
  <si>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</si>
  <si>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</si>
  <si>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</si>
  <si>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</si>
  <si>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</si>
  <si>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</si>
  <si>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</si>
  <si>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</si>
  <si>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</si>
  <si>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</si>
  <si>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</si>
  <si>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</si>
  <si>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</si>
  <si>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</si>
  <si>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</si>
  <si>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</si>
  <si>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</si>
  <si>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</si>
  <si>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</si>
  <si>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</si>
  <si>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</si>
  <si>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</si>
  <si>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</si>
  <si>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</si>
  <si>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</si>
  <si>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</si>
  <si>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</si>
  <si>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</si>
  <si>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</si>
  <si>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</si>
  <si>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</si>
  <si>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</si>
  <si>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</si>
  <si>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</si>
  <si>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</si>
  <si>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</si>
  <si>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</si>
  <si>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</si>
  <si>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</si>
  <si>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</si>
  <si>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</si>
  <si>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</si>
  <si>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</si>
  <si>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</si>
  <si>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</si>
  <si>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</si>
  <si>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</si>
  <si>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</si>
  <si>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</si>
  <si>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</si>
  <si>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</si>
  <si>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</si>
  <si>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</si>
  <si>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</si>
  <si>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</si>
  <si>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</si>
  <si>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</si>
  <si>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</si>
  <si>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</si>
  <si>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</si>
  <si>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</si>
  <si>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</si>
  <si>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</si>
  <si>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</si>
  <si>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</si>
  <si>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</si>
  <si>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</si>
  <si>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</si>
  <si>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</si>
  <si>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</si>
  <si>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</si>
  <si>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</si>
  <si>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</si>
  <si>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</si>
  <si>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</si>
  <si>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</si>
  <si>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</si>
  <si>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</si>
  <si>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</si>
  <si>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</si>
  <si>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</si>
  <si>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</si>
  <si>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</si>
  <si>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</si>
  <si>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</si>
  <si>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</si>
  <si>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</si>
  <si>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</si>
  <si>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</si>
  <si>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</si>
  <si>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</si>
  <si>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</si>
  <si>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</si>
  <si>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</si>
  <si>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</si>
  <si>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</si>
  <si>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</si>
  <si>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</si>
  <si>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</si>
  <si>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</si>
  <si>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</si>
  <si>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</si>
  <si>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</si>
  <si>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</si>
  <si>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</si>
  <si>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</si>
  <si>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</si>
  <si>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</si>
  <si>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</si>
  <si>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</si>
  <si>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</si>
  <si>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</si>
  <si>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</si>
  <si>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</si>
  <si>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</si>
  <si>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</si>
  <si>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</si>
  <si>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</si>
  <si>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</si>
  <si>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</si>
  <si>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</si>
  <si>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</si>
  <si>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</si>
  <si>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</si>
  <si>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</si>
  <si>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</si>
  <si>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</si>
  <si>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</si>
  <si>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</si>
  <si>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</si>
  <si>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</si>
  <si>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</si>
  <si>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</si>
  <si>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</si>
  <si>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</si>
  <si>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</si>
  <si>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</si>
  <si>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</si>
  <si>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</si>
  <si>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</si>
  <si>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</si>
  <si>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</si>
  <si>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</si>
  <si>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</si>
  <si>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</si>
  <si>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</si>
  <si>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</si>
  <si>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</si>
  <si>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</si>
  <si>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</si>
  <si>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</si>
  <si>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</si>
  <si>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</si>
  <si>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</si>
  <si>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</si>
  <si>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</si>
  <si>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</si>
  <si>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</si>
  <si>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</si>
  <si>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</si>
  <si>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</si>
  <si>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</si>
  <si>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</si>
  <si>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</si>
  <si>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</si>
  <si>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</si>
  <si>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</si>
  <si>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</si>
  <si>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</si>
  <si>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</si>
  <si>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</si>
  <si>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</si>
  <si>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</si>
  <si>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</si>
  <si>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</si>
  <si>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</si>
  <si>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</si>
  <si>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</si>
  <si>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</si>
  <si>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</si>
  <si>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</si>
  <si>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</si>
  <si>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</si>
  <si>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</si>
  <si>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</si>
  <si>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</si>
  <si>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</si>
  <si>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</si>
  <si>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</si>
  <si>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</si>
  <si>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</si>
  <si>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</si>
  <si>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</si>
  <si>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</si>
  <si>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</si>
  <si>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</si>
  <si>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</si>
  <si>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</si>
  <si>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</si>
  <si>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</si>
  <si>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</si>
  <si>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</si>
  <si>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</si>
  <si>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</si>
  <si>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</si>
  <si>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</si>
  <si>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</si>
  <si>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</si>
  <si>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</si>
  <si>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</si>
  <si>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</si>
  <si>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</si>
  <si>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</si>
  <si>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</si>
  <si>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</si>
  <si>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</si>
  <si>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</si>
  <si>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</si>
  <si>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</si>
  <si>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</si>
  <si>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</si>
  <si>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</si>
  <si>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</si>
  <si>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</si>
  <si>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</si>
  <si>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</si>
  <si>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</si>
  <si>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</si>
  <si>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</si>
  <si>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</si>
  <si>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</si>
  <si>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</si>
  <si>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</si>
  <si>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</si>
  <si>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</si>
  <si>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</si>
  <si>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</si>
  <si>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</si>
  <si>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</si>
  <si>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</si>
  <si>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</si>
  <si>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</si>
  <si>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</si>
  <si>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</si>
  <si>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</si>
  <si>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</si>
  <si>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</si>
  <si>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</si>
  <si>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</si>
  <si>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</si>
  <si>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</si>
  <si>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</si>
  <si>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</si>
  <si>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</si>
  <si>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</si>
  <si>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</si>
  <si>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</si>
  <si>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</si>
  <si>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</si>
  <si>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</si>
  <si>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</si>
  <si>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</si>
  <si>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</si>
  <si>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</si>
  <si>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</si>
  <si>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</si>
  <si>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</si>
  <si>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</si>
  <si>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</si>
  <si>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</si>
  <si>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</si>
  <si>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</si>
  <si>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</si>
  <si>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</si>
  <si>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</si>
  <si>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</si>
  <si>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</si>
  <si>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</si>
  <si>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</si>
  <si>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</si>
  <si>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</si>
  <si>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</si>
  <si>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</si>
  <si>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</si>
  <si>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</si>
  <si>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</si>
  <si>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</si>
  <si>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</si>
  <si>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</si>
  <si>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</si>
  <si>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</si>
  <si>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</si>
  <si>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</si>
  <si>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</si>
  <si>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</si>
  <si>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</si>
  <si>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</si>
  <si>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</si>
  <si>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</si>
  <si>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</si>
  <si>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</si>
  <si>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</si>
  <si>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</si>
  <si>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</si>
  <si>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</si>
  <si>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</si>
  <si>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</si>
  <si>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</si>
  <si>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</si>
  <si>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</si>
  <si>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</si>
  <si>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</si>
  <si>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</si>
  <si>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</si>
  <si>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</si>
  <si>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</si>
  <si>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</si>
  <si>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</si>
  <si>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</si>
  <si>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</si>
  <si>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</si>
  <si>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</si>
  <si>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</si>
  <si>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</si>
  <si>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</si>
  <si>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</si>
  <si>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</si>
  <si>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</si>
  <si>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</si>
  <si>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</si>
  <si>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</si>
  <si>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</si>
  <si>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</si>
  <si>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</si>
  <si>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</si>
  <si>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</si>
  <si>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</si>
  <si>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</si>
  <si>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</si>
  <si>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</si>
  <si>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</si>
  <si>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</si>
  <si>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</si>
  <si>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</si>
  <si>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</si>
  <si>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</si>
  <si>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</si>
  <si>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</si>
  <si>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</si>
  <si>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</si>
  <si>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</si>
  <si>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</si>
  <si>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</si>
  <si>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</si>
  <si>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</si>
  <si>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</si>
  <si>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</si>
  <si>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</si>
  <si>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</si>
  <si>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</si>
  <si>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</si>
  <si>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</si>
  <si>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</si>
  <si>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</si>
  <si>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</si>
  <si>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</si>
  <si>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</si>
  <si>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</si>
  <si>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</si>
  <si>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</si>
  <si>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</si>
  <si>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</si>
  <si>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</si>
  <si>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</si>
  <si>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</si>
  <si>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</si>
  <si>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</si>
  <si>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</si>
  <si>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</si>
  <si>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</si>
  <si>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</si>
  <si>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</si>
  <si>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</si>
  <si>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</si>
  <si>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</si>
  <si>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</si>
  <si>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</si>
  <si>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</si>
  <si>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</si>
  <si>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</si>
  <si>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</si>
  <si>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</si>
  <si>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</si>
  <si>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</si>
  <si>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</si>
  <si>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</si>
  <si>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Tayyab Cosmatics </t>
  </si>
  <si>
    <t xml:space="preserve">Address: Dugach </t>
  </si>
  <si>
    <t>Baber Bhati Store</t>
  </si>
  <si>
    <t xml:space="preserve">Address: Dogaich </t>
  </si>
  <si>
    <t>Mehar Habib Store</t>
  </si>
  <si>
    <t>Bhatti Store</t>
  </si>
  <si>
    <t>Address: Dugaich ]</t>
  </si>
  <si>
    <t>Haseeb Store</t>
  </si>
  <si>
    <t xml:space="preserve">Address: Dugaich </t>
  </si>
  <si>
    <t>Shakeel Kareyana Store</t>
  </si>
  <si>
    <t xml:space="preserve">Address: chungi </t>
  </si>
  <si>
    <t xml:space="preserve">Al Rehman bakery </t>
  </si>
  <si>
    <t xml:space="preserve">Address: Chungi </t>
  </si>
  <si>
    <t>Ali store</t>
  </si>
  <si>
    <t xml:space="preserve">Address: Hata </t>
  </si>
  <si>
    <t>Ali Rehman</t>
  </si>
  <si>
    <t xml:space="preserve">Address: Ahata </t>
  </si>
  <si>
    <t>Wajid Store</t>
  </si>
  <si>
    <t>Address: Ahata</t>
  </si>
  <si>
    <t>Majid GS</t>
  </si>
  <si>
    <t>Umer Khan Zada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</si>
</sst>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1" workbookViewId="0">
      <selection activeCell="C27" sqref="C27: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46275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Tayyab Cosmatics </v>
      </c>
      <c r="T3" s="301">
        <f>+'1'!P35</f>
        <v>6027.2048854830509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Baber Bhati Store</v>
      </c>
      <c r="T4" s="301">
        <f>+'2'!P35</f>
        <v>1669.1779134915255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Mehar Habib Store</v>
      </c>
      <c r="T5" s="301">
        <f>+'3'!P35</f>
        <v>500.75337404745761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Bhatti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13</v>
      </c>
      <c r="I7" s="235">
        <f>(G7*D7)*F7+H7*F7</f>
        <v>682.01249999999993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54.560999999999993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23.870437500000001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603.58106249999992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128.89830508474572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3.6623968379237284</v>
      </c>
      <c r="P7" s="310">
        <f>M7+N7+O7</f>
        <v>736.14176442266944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Haseeb Store</v>
      </c>
      <c r="T7" s="301">
        <f>+'5'!P35</f>
        <v>940.86347552542372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</v>
      </c>
      <c r="I8" s="236">
        <f t="shared" ref="I8:I14" si="0">(G8*D8)*F8+H8*F8</f>
        <v>682.01249999999993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54.560999999999993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23.870437500000001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603.58106249999992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128.89830508474572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3.6623968379237284</v>
      </c>
      <c r="P8" s="311">
        <f t="shared" ref="P8:P15" si="2">M8+N8+O8</f>
        <v>736.14176442266944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Shakeel Kareyana Store</v>
      </c>
      <c r="T8" s="301">
        <f>+'6'!P35</f>
        <v>3136.2115850847463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14</v>
      </c>
      <c r="I9" s="236">
        <f t="shared" si="0"/>
        <v>734.47500000000002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58.758000000000003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25.706625000000003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650.01037500000007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138.81355932203383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3.9441196716101694</v>
      </c>
      <c r="P9" s="311">
        <f t="shared" si="2"/>
        <v>792.76805399364412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Al Rehman bakery 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65</v>
      </c>
      <c r="I10" s="236">
        <f t="shared" si="0"/>
        <v>4721.6000000000004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377.72800000000001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165.256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4178.616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892.37288135593224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25.354944406779662</v>
      </c>
      <c r="P10" s="311">
        <f t="shared" si="2"/>
        <v>5096.3438257627113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13</v>
      </c>
      <c r="R10" s="313">
        <v>8</v>
      </c>
      <c r="S10" s="300" t="str">
        <f>+'8'!A6:A6</f>
        <v>Ali store</v>
      </c>
      <c r="T10" s="301">
        <f>+'8'!P35</f>
        <v>1176.0793444067797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2571.4559999999997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15.603042711864408</v>
      </c>
      <c r="P11" s="311">
        <f t="shared" si="2"/>
        <v>3136.2115850847454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13</v>
      </c>
      <c r="R11" s="313">
        <v>9</v>
      </c>
      <c r="S11" s="300" t="str">
        <f>+'9'!A6:A6</f>
        <v>Ali Rehman</v>
      </c>
      <c r="T11" s="301">
        <f>+'9'!P35</f>
        <v>1176.0793444067797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57</v>
      </c>
      <c r="I12" s="236">
        <f t="shared" si="0"/>
        <v>4140.4800000000005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331.23839999999996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144.91679999999999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3664.3248000000003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782.54237288135607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22.234335864406784</v>
      </c>
      <c r="P12" s="311">
        <f t="shared" si="2"/>
        <v>4469.1015087457627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14</v>
      </c>
      <c r="R12" s="313">
        <v>10</v>
      </c>
      <c r="S12" s="300" t="str">
        <f>+'10'!A6:A6</f>
        <v>Wajid Store</v>
      </c>
      <c r="T12" s="301">
        <f>+'10'!P35</f>
        <v>250.37668702372881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79</v>
      </c>
      <c r="I13" s="236">
        <f t="shared" si="0"/>
        <v>3099.1700000000005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154.95850000000004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108.47095000000002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158.05767</v>
      </c>
      <c r="M13" s="230">
        <f t="shared" si="1"/>
        <v>2677.6828800000003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602.54237288135573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16.401126264406781</v>
      </c>
      <c r="P13" s="311">
        <f t="shared" si="2"/>
        <v>3296.6263791457627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3">
        <v>11</v>
      </c>
      <c r="S13" s="300" t="str">
        <f>+'11'!A6:A6</f>
        <v>Majid GS</v>
      </c>
      <c r="T13" s="301">
        <f>+'11'!P35</f>
        <v>250.37668702372881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7.0250000000000004</v>
      </c>
      <c r="H16" s="113">
        <f t="shared" ref="H16:M16" si="3">SUM(H7:H15)</f>
        <v>281</v>
      </c>
      <c r="I16" s="114">
        <f t="shared" si="3"/>
        <v>16965.350000000002</v>
      </c>
      <c r="J16" s="274">
        <f>SUM(J7:J15)</f>
        <v>1264.2529</v>
      </c>
      <c r="K16" s="275">
        <f t="shared" si="3"/>
        <v>593.78725000000009</v>
      </c>
      <c r="L16" s="276">
        <f t="shared" si="3"/>
        <v>158.05767</v>
      </c>
      <c r="M16" s="232">
        <f t="shared" si="3"/>
        <v>14949.252179999999</v>
      </c>
      <c r="N16" s="233">
        <f>SUM(N7:N15)</f>
        <v>3223.2203389830506</v>
      </c>
      <c r="O16" s="101">
        <f>SUM(O7:O15)</f>
        <v>90.862362594915268</v>
      </c>
      <c r="P16" s="113">
        <f>SUM(P7:P15)</f>
        <v>18263.334881577968</v>
      </c>
      <c r="Q16" s="128">
        <f>SUM(Q7:Q15)</f>
        <v>80</v>
      </c>
      <c r="R16" s="313">
        <v>14</v>
      </c>
      <c r="S16" s="315" t="str">
        <f>+'14'!A6:A6</f>
        <v>Umer Khan Zada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16965.350000000002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1264.2529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751.84492000000012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14949.252180000003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3223.2203389830506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18172.472518983053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90.862362594915268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18263.334881577968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18263.334881577968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13</v>
      </c>
      <c r="I16" s="235">
        <f>(G16*D16)*F16+H16*F16</f>
        <v>682.01249999999993</v>
      </c>
      <c r="J16" s="271">
        <f>$I16*S16</f>
        <v>54.560999999999993</v>
      </c>
      <c r="K16" s="127">
        <f>$I16*T16</f>
        <v>23.870437500000001</v>
      </c>
      <c r="L16" s="118">
        <f>$I16*U16</f>
        <v>0</v>
      </c>
      <c r="M16" s="229">
        <f>I16-SUM(J16:L16)</f>
        <v>603.58106249999992</v>
      </c>
      <c r="N16" s="248">
        <f>+(G16*D16+H16)*V16</f>
        <v>128.89830508474572</v>
      </c>
      <c r="O16" s="238">
        <f>(N16+M16)*$O$15</f>
        <v>3.6623968379237284</v>
      </c>
      <c r="P16" s="118">
        <f>M16+N16+O16</f>
        <v>736.14176442266944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ref="I18:I21" si="7">(G18*D18)*F18+H18*F18</f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7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7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7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119">
        <f t="shared" si="5"/>
        <v>625.941717559322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95</v>
      </c>
      <c r="I25" s="114">
        <f t="shared" ref="I25:M25" si="10">SUM(I16:I24)</f>
        <v>5592.55</v>
      </c>
      <c r="J25" s="274">
        <f>SUM(J16:J24)</f>
        <v>429.75050000000005</v>
      </c>
      <c r="K25" s="275">
        <f t="shared" si="10"/>
        <v>195.73925000000003</v>
      </c>
      <c r="L25" s="276">
        <f t="shared" si="10"/>
        <v>30.010950000000001</v>
      </c>
      <c r="M25" s="232">
        <f t="shared" si="10"/>
        <v>4937.0492999999997</v>
      </c>
      <c r="N25" s="233">
        <f>SUM(N16:N24)</f>
        <v>1060.1694915254234</v>
      </c>
      <c r="O25" s="101">
        <f>SUM(O16:O24)</f>
        <v>29.986093957627123</v>
      </c>
      <c r="P25" s="234">
        <f>SUM(P16:P24)</f>
        <v>6027.2048854830509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5592.55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429.75050000000005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225.75020000000004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4937.0492999999997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1060.1694915254234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5997.2187915254235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29.986093957627119</v>
      </c>
    </row>
    <row r="35" spans="2:16" ht="15.75" customHeight="1" thickBot="1" x14ac:dyDescent="0.4">
      <c r="N35" s="374" t="s">
        <v>88</v>
      </c>
      <c r="O35" s="375"/>
      <c r="P35" s="297">
        <f>+P33+P34</f>
        <v>6027.2048854830509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1569.2000000000003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78.460000000000022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134.95120000000003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1355.7888000000003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1660.873545762712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1669.1779134915255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470.76000000000005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23.538000000000004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40.485360000000007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406.73664000000002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498.26206372881353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4" t="s">
        <v>88</v>
      </c>
      <c r="O35" s="375"/>
      <c r="P35" s="297">
        <f>+P33+P34</f>
        <v>500.75337404745761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G16" sqref="G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13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30.508800000000001</v>
      </c>
      <c r="L25" s="276">
        <f t="shared" si="7"/>
        <v>0</v>
      </c>
      <c r="M25" s="232">
        <f t="shared" si="7"/>
        <v>771.43679999999995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0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527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87.168000000000006</v>
      </c>
      <c r="K25" s="275">
        <f t="shared" si="7"/>
        <v>38.136000000000003</v>
      </c>
      <c r="L25" s="276">
        <f t="shared" si="7"/>
        <v>0</v>
      </c>
      <c r="M25" s="232">
        <f t="shared" si="7"/>
        <v>964.29600000000005</v>
      </c>
      <c r="N25" s="233">
        <f>SUM(N16:N24)</f>
        <v>205.93220338983053</v>
      </c>
      <c r="O25" s="101">
        <f>SUM(O16:O24)</f>
        <v>5.8511410169491533</v>
      </c>
      <c r="P25" s="234">
        <f>SUM(P16:P24)</f>
        <v>1176.0793444067797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1089.5999999999999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87.168000000000006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38.136000000000003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964.29599999999994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1170.2282033898305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74" t="s">
        <v>88</v>
      </c>
      <c r="O35" s="375"/>
      <c r="P35" s="297">
        <f>+P33+P34</f>
        <v>1176.0793444067797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15</v>
      </c>
      <c r="I25" s="114">
        <f t="shared" si="7"/>
        <v>1089.5999999999999</v>
      </c>
      <c r="J25" s="274">
        <f>SUM(J16:J24)</f>
        <v>87.168000000000006</v>
      </c>
      <c r="K25" s="275">
        <f t="shared" si="7"/>
        <v>38.136000000000003</v>
      </c>
      <c r="L25" s="276">
        <f t="shared" si="7"/>
        <v>0</v>
      </c>
      <c r="M25" s="232">
        <f t="shared" si="7"/>
        <v>964.29600000000005</v>
      </c>
      <c r="N25" s="233">
        <f>SUM(N16:N24)</f>
        <v>205.93220338983053</v>
      </c>
      <c r="O25" s="101">
        <f>SUM(O16:O24)</f>
        <v>5.8511410169491533</v>
      </c>
      <c r="P25" s="234">
        <f>SUM(P16:P24)</f>
        <v>1176.0793444067797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1089.5999999999999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87.168000000000006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38.136000000000003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964.29599999999994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205.93220338983053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1170.2282033898305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5.8511410169491525</v>
      </c>
    </row>
    <row r="35" spans="2:16" ht="15.75" customHeight="1" thickBot="1" x14ac:dyDescent="0.4">
      <c r="N35" s="374" t="s">
        <v>88</v>
      </c>
      <c r="O35" s="375"/>
      <c r="P35" s="297">
        <f>+P33+P34</f>
        <v>1176.0793444067797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119">
        <f t="shared" si="5"/>
        <v>250.37668702372881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234">
        <f>SUM(P16:P24)</f>
        <v>250.37668702372881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235.38000000000002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11.769000000000002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20.242680000000004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203.36832000000001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249.13103186440676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4" t="s">
        <v>88</v>
      </c>
      <c r="O35" s="375"/>
      <c r="P35" s="297">
        <f>+P33+P34</f>
        <v>250.37668702372881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119">
        <f t="shared" si="5"/>
        <v>250.37668702372881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234">
        <f>SUM(P16:P24)</f>
        <v>250.37668702372881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235.38000000000002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11.769000000000002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20.242680000000004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203.36832000000001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249.13103186440676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4" t="s">
        <v>88</v>
      </c>
      <c r="O35" s="375"/>
      <c r="P35" s="297">
        <f>+P33+P34</f>
        <v>250.37668702372881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46276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46275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2026-09-10T09:12:54Z</dcterms:modified>
</cp:coreProperties>
</file>