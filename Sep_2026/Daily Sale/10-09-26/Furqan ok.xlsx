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FFD48F0-DDB6-45B1-A586-0F63983281A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<sst xmlns="http://schemas.openxmlformats.org/spreadsheetml/2006/main" count="3948" uniqueCount="526">
  <si>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</si>
  <si>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</si>
  <si>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</si>
  <si>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</si>
  <si>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</si>
  <si>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</si>
  <si>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</si>
  <si>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</si>
  <si>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</si>
  <si>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</si>
  <si>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</si>
  <si>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</si>
  <si>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</si>
  <si>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</si>
  <si>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</si>
  <si>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</si>
  <si>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</si>
  <si>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</si>
  <si>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</si>
  <si>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</si>
  <si>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</si>
  <si>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</si>
  <si>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</si>
  <si>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</si>
  <si>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</si>
  <si>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</si>
  <si>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</si>
  <si>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</si>
  <si>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</si>
  <si>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</si>
  <si>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</si>
  <si>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</si>
  <si>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</si>
  <si>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</si>
  <si>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</si>
  <si>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</si>
  <si>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</si>
  <si>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</si>
  <si>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</si>
  <si>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</si>
  <si>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</si>
  <si>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</si>
  <si>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</si>
  <si>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</si>
  <si>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</si>
  <si>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</si>
  <si>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</si>
  <si>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</si>
  <si>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</si>
  <si>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</si>
  <si>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</si>
  <si>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</si>
  <si>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</si>
  <si>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</si>
  <si>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</si>
  <si>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</si>
  <si>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</si>
  <si>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</si>
  <si>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</si>
  <si>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</si>
  <si>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</si>
  <si>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</si>
  <si>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</si>
  <si>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</si>
  <si>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</si>
  <si>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</si>
  <si>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</si>
  <si>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</si>
  <si>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</si>
  <si>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</si>
  <si>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</si>
  <si>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</si>
  <si>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</si>
  <si>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</si>
  <si>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</si>
  <si>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</si>
  <si>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</si>
  <si>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</si>
  <si>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</si>
  <si>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</si>
  <si>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</si>
  <si>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</si>
  <si>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</si>
  <si>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</si>
  <si>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</si>
  <si>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</si>
  <si>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</si>
  <si>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</si>
  <si>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</si>
  <si>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</si>
  <si>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</si>
  <si>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</si>
  <si>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</si>
  <si>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</si>
  <si>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</si>
  <si>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</si>
  <si>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</si>
  <si>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</si>
  <si>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</si>
  <si>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</si>
  <si>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</si>
  <si>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</si>
  <si>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</si>
  <si>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</si>
  <si>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</si>
  <si>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</si>
  <si>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</si>
  <si>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</si>
  <si>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</si>
  <si>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</si>
  <si>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</si>
  <si>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</si>
  <si>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</si>
  <si>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</si>
  <si>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</si>
  <si>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</si>
  <si>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</si>
  <si>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</si>
  <si>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</si>
  <si>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</si>
  <si>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</si>
  <si>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</si>
  <si>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</si>
  <si>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</si>
  <si>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</si>
  <si>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</si>
  <si>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</si>
  <si>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</si>
  <si>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</si>
  <si>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</si>
  <si>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</si>
  <si>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</si>
  <si>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</si>
  <si>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</si>
  <si>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</si>
  <si>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</si>
  <si>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</si>
  <si>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</si>
  <si>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</si>
  <si>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</si>
  <si>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</si>
  <si>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</si>
  <si>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</si>
  <si>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</si>
  <si>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</si>
  <si>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</si>
  <si>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</si>
  <si>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</si>
  <si>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</si>
  <si>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</si>
  <si>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</si>
  <si>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</si>
  <si>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</si>
  <si>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</si>
  <si>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</si>
  <si>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</si>
  <si>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</si>
  <si>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</si>
  <si>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</si>
  <si>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</si>
  <si>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</si>
  <si>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</si>
  <si>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</si>
  <si>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</si>
  <si>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</si>
  <si>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</si>
  <si>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</si>
  <si>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</si>
  <si>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</si>
  <si>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</si>
  <si>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</si>
  <si>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</si>
  <si>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</si>
  <si>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</si>
  <si>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</si>
  <si>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</si>
  <si>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</si>
  <si>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</si>
  <si>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</si>
  <si>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</si>
  <si>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</si>
  <si>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</si>
  <si>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</si>
  <si>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</si>
  <si>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</si>
  <si>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</si>
  <si>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</si>
  <si>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</si>
  <si>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</si>
  <si>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</si>
  <si>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</si>
  <si>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</si>
  <si>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</si>
  <si>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</si>
  <si>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</si>
  <si>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</si>
  <si>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</si>
  <si>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</si>
  <si>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</si>
  <si>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</si>
  <si>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</si>
  <si>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</si>
  <si>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</si>
  <si>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</si>
  <si>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</si>
  <si>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</si>
  <si>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</si>
  <si>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</si>
  <si>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</si>
  <si>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</si>
  <si>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</si>
  <si>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</si>
  <si>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</si>
  <si>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</si>
  <si>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</si>
  <si>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</si>
  <si>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</si>
  <si>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</si>
  <si>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</si>
  <si>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</si>
  <si>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</si>
  <si>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</si>
  <si>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</si>
  <si>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</si>
  <si>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</si>
  <si>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</si>
  <si>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</si>
  <si>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</si>
  <si>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</si>
  <si>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</si>
  <si>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</si>
  <si>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</si>
  <si>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</si>
  <si>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</si>
  <si>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</si>
  <si>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</si>
  <si>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</si>
  <si>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</si>
  <si>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</si>
  <si>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</si>
  <si>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</si>
  <si>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</si>
  <si>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</si>
  <si>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</si>
  <si>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</si>
  <si>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</si>
  <si>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</si>
  <si>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</si>
  <si>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</si>
  <si>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</si>
  <si>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</si>
  <si>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</si>
  <si>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</si>
  <si>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</si>
  <si>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</si>
  <si>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</si>
  <si>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</si>
  <si>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</si>
  <si>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</si>
  <si>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</si>
  <si>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</si>
  <si>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</si>
  <si>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</si>
  <si>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</si>
  <si>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</si>
  <si>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</si>
  <si>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</si>
  <si>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</si>
  <si>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</si>
  <si>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</si>
  <si>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</si>
  <si>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</si>
  <si>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</si>
  <si>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</si>
  <si>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</si>
  <si>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</si>
  <si>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</si>
  <si>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</si>
  <si>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</si>
  <si>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</si>
  <si>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</si>
  <si>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</si>
  <si>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</si>
  <si>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</si>
  <si>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</si>
  <si>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</si>
  <si>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</si>
  <si>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</si>
  <si>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</si>
  <si>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</si>
  <si>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</si>
  <si>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</si>
  <si>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</si>
  <si>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</si>
  <si>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</si>
  <si>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</si>
  <si>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</si>
  <si>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</si>
  <si>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</si>
  <si>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</si>
  <si>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</si>
  <si>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</si>
  <si>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</si>
  <si>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</si>
  <si>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</si>
  <si>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</si>
  <si>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</si>
  <si>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</si>
  <si>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</si>
  <si>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</si>
  <si>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</si>
  <si>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</si>
  <si>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</si>
  <si>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</si>
  <si>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</si>
  <si>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</si>
  <si>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</si>
  <si>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</si>
  <si>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</si>
  <si>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</si>
  <si>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</si>
  <si>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</si>
  <si>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</si>
  <si>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</si>
  <si>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</si>
  <si>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</si>
  <si>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</si>
  <si>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</si>
  <si>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</si>
  <si>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</si>
  <si>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</si>
  <si>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</si>
  <si>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</si>
  <si>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</si>
  <si>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</si>
  <si>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</si>
  <si>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</si>
  <si>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</si>
  <si>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</si>
  <si>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</si>
  <si>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</si>
  <si>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</si>
  <si>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</si>
  <si>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</si>
  <si>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</si>
  <si>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</si>
  <si>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</si>
  <si>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</si>
  <si>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</si>
  <si>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</si>
  <si>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</si>
  <si>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</si>
  <si>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</si>
  <si>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</si>
  <si>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</si>
  <si>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</si>
  <si>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</si>
  <si>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</si>
  <si>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</si>
  <si>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</si>
  <si>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</si>
  <si>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</si>
  <si>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</si>
  <si>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</si>
  <si>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</si>
  <si>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</si>
  <si>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</si>
  <si>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</si>
  <si>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</si>
  <si>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</si>
  <si>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</si>
  <si>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</si>
  <si>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</si>
  <si>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</si>
  <si>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</si>
  <si>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</si>
  <si>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</si>
  <si>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</si>
  <si>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</si>
  <si>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</si>
  <si>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</si>
  <si>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</si>
  <si>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</si>
  <si>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</si>
  <si>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</si>
  <si>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</si>
  <si>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</si>
  <si>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</si>
  <si>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</si>
  <si>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</si>
  <si>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</si>
  <si>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</si>
  <si>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</si>
  <si>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</si>
  <si>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</si>
  <si>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</si>
  <si>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</si>
  <si>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</si>
  <si>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</si>
  <si>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</si>
  <si>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</si>
  <si>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</si>
  <si>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</si>
  <si>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</si>
  <si>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</si>
  <si>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</si>
  <si>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</si>
  <si>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</si>
  <si>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</si>
  <si>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</si>
  <si>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</si>
  <si>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</si>
  <si>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</si>
  <si>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</si>
  <si>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</si>
  <si>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</si>
  <si>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</si>
  <si>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</si>
  <si>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</si>
  <si>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</si>
  <si>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</si>
  <si>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</si>
  <si>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</si>
  <si>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</si>
  <si>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</si>
  <si>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</si>
  <si>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</si>
  <si>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</si>
  <si>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</si>
  <si>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</si>
  <si>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</si>
  <si>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</si>
  <si>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</si>
  <si>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</si>
  <si>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</si>
  <si>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</si>
  <si>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</si>
  <si>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</si>
  <si>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</si>
  <si>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</si>
  <si>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</si>
  <si>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</si>
  <si>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</si>
  <si>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</si>
  <si>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</si>
  <si>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</si>
  <si>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</si>
  <si>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</si>
  <si>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</si>
  <si>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</si>
  <si>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</si>
  <si>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</si>
  <si>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</si>
  <si>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</si>
  <si>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</si>
  <si>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</si>
  <si>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</si>
  <si>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</si>
  <si>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</si>
  <si>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</si>
  <si>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</si>
  <si>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</si>
  <si>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</si>
  <si>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</si>
  <si>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</si>
  <si>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</si>
  <si>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</si>
  <si>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</si>
  <si>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</si>
  <si>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</si>
  <si>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</si>
  <si>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</si>
  <si>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</si>
  <si>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</si>
  <si>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</si>
  <si>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</si>
  <si>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</si>
  <si>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</si>
  <si>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</si>
  <si>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</si>
  <si>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</si>
  <si>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</si>
  <si>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</si>
  <si>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</si>
  <si>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</si>
  <si>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</si>
  <si>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</si>
  <si>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</si>
  <si>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</si>
  <si>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</si>
  <si>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</si>
  <si>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</si>
  <si>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</si>
  <si>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</si>
  <si>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</si>
  <si>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</si>
  <si>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</si>
  <si>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</si>
  <si>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</si>
  <si>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</si>
  <si>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</si>
  <si>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</si>
  <si>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</si>
  <si>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</si>
  <si>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</si>
  <si>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</si>
  <si>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</si>
  <si>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</si>
  <si>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</si>
  <si>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</si>
  <si>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</si>
  <si>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</si>
  <si>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</si>
  <si>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</si>
  <si>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Gulberg Main Market</t>
  </si>
  <si>
    <t xml:space="preserve">Wahid Pharmacy </t>
  </si>
  <si>
    <t>Yousaf Store</t>
  </si>
  <si>
    <t>Khuaja GS</t>
  </si>
  <si>
    <t>Address: Canal Park Bazar</t>
  </si>
  <si>
    <t>Gosia GS</t>
  </si>
  <si>
    <t>Mohsin Store</t>
  </si>
  <si>
    <t>Al Noor Store</t>
  </si>
  <si>
    <t>Kamal Store</t>
  </si>
  <si>
    <t xml:space="preserve">Bake &amp; Bite Bakery </t>
  </si>
  <si>
    <t>Shamas Store</t>
  </si>
  <si>
    <t xml:space="preserve">Ali Pan Shop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</si>
</sst>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" workbookViewId="0">
      <selection activeCell="S12" sqref="S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Wahid Pharmacy </v>
      </c>
      <c r="T3" s="301">
        <f>+'1'!P35</f>
        <v>500.75337404745761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Yousaf Store</v>
      </c>
      <c r="T4" s="301">
        <f>+'2'!P35</f>
        <v>1180.2688488991523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Khuaja GS</v>
      </c>
      <c r="T5" s="301">
        <f>+'3'!P35</f>
        <v>929.89216187542365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Gosia GS</v>
      </c>
      <c r="T6" s="301">
        <f>+'4'!P35</f>
        <v>3397.5684800084741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Mohsin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44</v>
      </c>
      <c r="I8" s="236">
        <f t="shared" ref="I8:I14" si="0">(G8*D8)*F8+H8*F8</f>
        <v>2308.35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184.66800000000001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80.792249999999996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2042.8897499999998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436.27118644067781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12.395804682203389</v>
      </c>
      <c r="P8" s="311">
        <f t="shared" ref="P8:P15" si="2">M8+N8+O8</f>
        <v>2491.5567411228812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Noor Store</v>
      </c>
      <c r="T8" s="301">
        <f>+'6'!P35</f>
        <v>3061.9957999499998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44</v>
      </c>
      <c r="I9" s="236">
        <f t="shared" si="0"/>
        <v>2308.35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184.66799999999998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80.792249999999996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2042.8897499999998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436.27118644067775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12.395804682203389</v>
      </c>
      <c r="P9" s="311">
        <f t="shared" si="2"/>
        <v>2491.5567411228812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Kamal Store</v>
      </c>
      <c r="T9" s="301">
        <f>+'7'!P35</f>
        <v>2090.8106881398307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22</v>
      </c>
      <c r="I10" s="236">
        <f t="shared" si="0"/>
        <v>1598.08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127.84640000000002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55.932800000000007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1414.3008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302.03389830508479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8.5816734915254251</v>
      </c>
      <c r="P10" s="311">
        <f t="shared" si="2"/>
        <v>1724.9163717966101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Bake &amp; Bite Bakery </v>
      </c>
      <c r="T10" s="301">
        <f>+'8'!P35</f>
        <v>2265.051582838983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23</v>
      </c>
      <c r="I11" s="236">
        <f t="shared" si="0"/>
        <v>1670.72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133.6576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58.475200000000008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1478.5871999999999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315.76271186440681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8.9717495593220349</v>
      </c>
      <c r="P11" s="311">
        <f t="shared" si="2"/>
        <v>1803.3216614237288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Shamas Store</v>
      </c>
      <c r="T11" s="301">
        <f>+'9'!P35</f>
        <v>339.75773742584738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23</v>
      </c>
      <c r="I12" s="236">
        <f t="shared" si="0"/>
        <v>1670.72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133.6576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58.475200000000008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1478.5871999999999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315.76271186440681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8.9717495593220349</v>
      </c>
      <c r="P12" s="311">
        <f t="shared" si="2"/>
        <v>1803.3216614237288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Ali Pan Shop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54</v>
      </c>
      <c r="I13" s="236">
        <f t="shared" si="0"/>
        <v>2118.42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105.92100000000002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74.144700000000029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108.03942000000001</v>
      </c>
      <c r="M13" s="230">
        <f t="shared" si="1"/>
        <v>1830.3148799999999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411.86440677966078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11.210896433898304</v>
      </c>
      <c r="P13" s="311">
        <f t="shared" si="2"/>
        <v>2253.3901832135589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6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</v>
      </c>
      <c r="H16" s="113">
        <f t="shared" ref="H16:M16" si="3">SUM(H7:H15)</f>
        <v>240</v>
      </c>
      <c r="I16" s="114">
        <f t="shared" si="3"/>
        <v>13248.514999999999</v>
      </c>
      <c r="J16" s="274">
        <f>SUM(J7:J15)</f>
        <v>996.32860000000005</v>
      </c>
      <c r="K16" s="275">
        <f t="shared" si="3"/>
        <v>463.69802500000014</v>
      </c>
      <c r="L16" s="276">
        <f t="shared" si="3"/>
        <v>108.03942000000001</v>
      </c>
      <c r="M16" s="232">
        <f t="shared" si="3"/>
        <v>11680.448955</v>
      </c>
      <c r="N16" s="233">
        <f>SUM(N7:N15)</f>
        <v>2515.4237288135587</v>
      </c>
      <c r="O16" s="101">
        <f>SUM(O7:O15)</f>
        <v>70.979363419067795</v>
      </c>
      <c r="P16" s="113">
        <f>SUM(P7:P15)</f>
        <v>14266.852047232624</v>
      </c>
      <c r="Q16" s="128">
        <f>SUM(Q7:Q15)</f>
        <v>6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13248.514999999999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996.32860000000005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571.73744500000021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11680.448954999998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2515.4237288135587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14195.872683813557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70.979363419067795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14266.852047232625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14266.852047232627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470.76000000000005</v>
      </c>
      <c r="J25" s="274">
        <f>SUM(J16:J24)</f>
        <v>23.538000000000004</v>
      </c>
      <c r="K25" s="275">
        <f t="shared" si="10"/>
        <v>16.476600000000005</v>
      </c>
      <c r="L25" s="276">
        <f t="shared" si="10"/>
        <v>24.008760000000002</v>
      </c>
      <c r="M25" s="232">
        <f t="shared" si="10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73.902000000000015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1100.31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73.902000000000015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62.519610000000007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963.88838999999984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1174.3968645762709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74" t="s">
        <v>88</v>
      </c>
      <c r="O35" s="375"/>
      <c r="P35" s="297">
        <f>+P33+P34</f>
        <v>1180.2688488991523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864.93</v>
      </c>
      <c r="J25" s="274">
        <f>SUM(J16:J24)</f>
        <v>62.132999999999996</v>
      </c>
      <c r="K25" s="275">
        <f t="shared" si="7"/>
        <v>30.272550000000003</v>
      </c>
      <c r="L25" s="276">
        <f t="shared" si="7"/>
        <v>12.004380000000001</v>
      </c>
      <c r="M25" s="232">
        <f t="shared" si="7"/>
        <v>760.52007000000003</v>
      </c>
      <c r="N25" s="233">
        <f>SUM(N16:N24)</f>
        <v>164.74576271186433</v>
      </c>
      <c r="O25" s="101">
        <f>SUM(O16:O24)</f>
        <v>4.6263291635593218</v>
      </c>
      <c r="P25" s="234">
        <f>SUM(P16:P24)</f>
        <v>929.89216187542365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864.93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62.132999999999996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42.276930000000007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760.52006999999992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164.74576271186433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925.26583271186428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4.6263291635593218</v>
      </c>
    </row>
    <row r="35" spans="2:16" ht="15.75" customHeight="1" thickBot="1" x14ac:dyDescent="0.4">
      <c r="N35" s="374" t="s">
        <v>88</v>
      </c>
      <c r="O35" s="375"/>
      <c r="P35" s="297">
        <f>+P33+P34</f>
        <v>929.89216187542365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9</v>
      </c>
      <c r="I17" s="236">
        <f t="shared" ref="I17:I23" si="0">(G17*D17)*F17+H17*F17</f>
        <v>472.16249999999997</v>
      </c>
      <c r="J17" s="272">
        <f t="shared" ref="J17:L24" si="1">$I17*S17</f>
        <v>37.772999999999996</v>
      </c>
      <c r="K17" s="128">
        <f>$I17*T17</f>
        <v>16.5256875</v>
      </c>
      <c r="L17" s="119">
        <f>$I17*U17</f>
        <v>0</v>
      </c>
      <c r="M17" s="230">
        <f t="shared" ref="M17:M24" si="2">I17-SUM(J17:L17)</f>
        <v>417.86381249999999</v>
      </c>
      <c r="N17" s="277">
        <f t="shared" ref="N17:N24" si="3">+(G17*D17+H17)*V17</f>
        <v>89.23728813559319</v>
      </c>
      <c r="O17" s="239">
        <f t="shared" ref="O17:O24" si="4">(N17+M17)*$O$15</f>
        <v>2.5355055031779661</v>
      </c>
      <c r="P17" s="119">
        <f t="shared" ref="P17:P24" si="5">M17+N17+O17</f>
        <v>509.63660613877113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9</v>
      </c>
      <c r="I18" s="236">
        <f t="shared" si="0"/>
        <v>472.16249999999997</v>
      </c>
      <c r="J18" s="272">
        <f t="shared" si="1"/>
        <v>37.772999999999996</v>
      </c>
      <c r="K18" s="128">
        <f t="shared" si="1"/>
        <v>16.5256875</v>
      </c>
      <c r="L18" s="119">
        <f t="shared" si="1"/>
        <v>0</v>
      </c>
      <c r="M18" s="230">
        <f t="shared" si="2"/>
        <v>417.86381249999999</v>
      </c>
      <c r="N18" s="277">
        <f t="shared" si="3"/>
        <v>89.23728813559319</v>
      </c>
      <c r="O18" s="239">
        <f t="shared" si="4"/>
        <v>2.5355055031779661</v>
      </c>
      <c r="P18" s="119">
        <f t="shared" si="5"/>
        <v>509.63660613877113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9</v>
      </c>
      <c r="I20" s="236">
        <f t="shared" si="0"/>
        <v>653.76</v>
      </c>
      <c r="J20" s="272">
        <f t="shared" si="1"/>
        <v>52.300800000000002</v>
      </c>
      <c r="K20" s="128">
        <f t="shared" si="1"/>
        <v>22.881600000000002</v>
      </c>
      <c r="L20" s="119">
        <f t="shared" si="1"/>
        <v>0</v>
      </c>
      <c r="M20" s="230">
        <f t="shared" si="2"/>
        <v>578.57759999999996</v>
      </c>
      <c r="N20" s="277">
        <f t="shared" si="3"/>
        <v>123.55932203389831</v>
      </c>
      <c r="O20" s="239">
        <f t="shared" si="4"/>
        <v>3.5106846101694913</v>
      </c>
      <c r="P20" s="119">
        <f t="shared" si="5"/>
        <v>705.64760664406776</v>
      </c>
      <c r="Q20" s="319"/>
      <c r="R20">
        <f>P20/21</f>
        <v>33.602266983050846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9</v>
      </c>
      <c r="I21" s="236">
        <f t="shared" si="0"/>
        <v>653.76</v>
      </c>
      <c r="J21" s="272">
        <f t="shared" si="1"/>
        <v>52.300800000000002</v>
      </c>
      <c r="K21" s="128">
        <f t="shared" si="1"/>
        <v>22.881600000000002</v>
      </c>
      <c r="L21" s="119">
        <f t="shared" si="1"/>
        <v>0</v>
      </c>
      <c r="M21" s="230">
        <f t="shared" si="2"/>
        <v>578.57759999999996</v>
      </c>
      <c r="N21" s="277">
        <f t="shared" si="3"/>
        <v>123.55932203389831</v>
      </c>
      <c r="O21" s="239">
        <f t="shared" si="4"/>
        <v>3.5106846101694913</v>
      </c>
      <c r="P21" s="119">
        <f t="shared" si="5"/>
        <v>705.64760664406776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50</v>
      </c>
      <c r="I25" s="114">
        <f t="shared" si="7"/>
        <v>3147.74</v>
      </c>
      <c r="J25" s="274">
        <f>SUM(J16:J24)</f>
        <v>251.81920000000002</v>
      </c>
      <c r="K25" s="275">
        <f t="shared" si="7"/>
        <v>110.17090000000002</v>
      </c>
      <c r="L25" s="276">
        <f t="shared" si="7"/>
        <v>0</v>
      </c>
      <c r="M25" s="232">
        <f t="shared" si="7"/>
        <v>2785.7499000000003</v>
      </c>
      <c r="N25" s="233">
        <f>SUM(N16:N24)</f>
        <v>594.91525423728808</v>
      </c>
      <c r="O25" s="101">
        <f>SUM(O16:O24)</f>
        <v>16.903325771186438</v>
      </c>
      <c r="P25" s="234">
        <f>SUM(P16:P24)</f>
        <v>3397.5684800084746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3147.74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251.81920000000002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110.17090000000002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2785.7498999999998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594.91525423728808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3380.6651542372879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16.903325771186438</v>
      </c>
    </row>
    <row r="35" spans="2:16" ht="15.75" customHeight="1" thickBot="1" x14ac:dyDescent="0.4">
      <c r="N35" s="374" t="s">
        <v>88</v>
      </c>
      <c r="O35" s="375"/>
      <c r="P35" s="297">
        <f>+P33+P34</f>
        <v>3397.5684800084741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48</v>
      </c>
      <c r="I25" s="114">
        <f t="shared" si="7"/>
        <v>2843.67</v>
      </c>
      <c r="J25" s="274">
        <f>SUM(J16:J24)</f>
        <v>213.3708</v>
      </c>
      <c r="K25" s="275">
        <f t="shared" si="7"/>
        <v>99.528450000000021</v>
      </c>
      <c r="L25" s="276">
        <f t="shared" si="7"/>
        <v>24.008760000000002</v>
      </c>
      <c r="M25" s="232">
        <f t="shared" si="7"/>
        <v>2506.7619900000004</v>
      </c>
      <c r="N25" s="233">
        <f>SUM(N16:N24)</f>
        <v>539.99999999999989</v>
      </c>
      <c r="O25" s="101">
        <f>SUM(O16:O24)</f>
        <v>15.233809950000001</v>
      </c>
      <c r="P25" s="234">
        <f>SUM(P16:P24)</f>
        <v>3061.9957999499998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2843.67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213.3708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123.53721000000002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2506.76199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539.99999999999989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3046.76199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15.233809949999999</v>
      </c>
    </row>
    <row r="35" spans="2:16" ht="15.75" customHeight="1" thickBot="1" x14ac:dyDescent="0.4">
      <c r="N35" s="374" t="s">
        <v>88</v>
      </c>
      <c r="O35" s="375"/>
      <c r="P35" s="297">
        <f>+P33+P34</f>
        <v>3061.9957999499998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1937.0700000000002</v>
      </c>
      <c r="J25" s="274">
        <f>SUM(J16:J24)</f>
        <v>154.96559999999999</v>
      </c>
      <c r="K25" s="275">
        <f t="shared" si="7"/>
        <v>67.797450000000012</v>
      </c>
      <c r="L25" s="276">
        <f t="shared" si="7"/>
        <v>0</v>
      </c>
      <c r="M25" s="232">
        <f t="shared" si="7"/>
        <v>1714.3069499999999</v>
      </c>
      <c r="N25" s="233">
        <f>SUM(N16:N24)</f>
        <v>366.10169491525426</v>
      </c>
      <c r="O25" s="101">
        <f>SUM(O16:O24)</f>
        <v>10.402043224576271</v>
      </c>
      <c r="P25" s="234">
        <f>SUM(P16:P24)</f>
        <v>2090.8106881398303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1937.0700000000002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154.96559999999999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67.797450000000012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1714.3069500000001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366.10169491525426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2080.4086449152546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10.402043224576273</v>
      </c>
    </row>
    <row r="35" spans="2:16" ht="15.75" customHeight="1" thickBot="1" x14ac:dyDescent="0.4">
      <c r="N35" s="374" t="s">
        <v>88</v>
      </c>
      <c r="O35" s="375"/>
      <c r="P35" s="297">
        <f>+P33+P34</f>
        <v>2090.8106881398307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2026-09-10T11:06:20Z</dcterms:modified>
</cp:coreProperties>
</file>