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D1E96CC-8724-4A27-83C6-98A48BCEA04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15" i="62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 s="1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4" i="55" l="1"/>
  <c r="O25" i="55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<sst xmlns="http://schemas.openxmlformats.org/spreadsheetml/2006/main" count="3948" uniqueCount="536">
  <si>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</si>
  <si>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</si>
  <si>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</si>
  <si>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</si>
  <si>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</si>
  <si>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</si>
  <si>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</si>
  <si>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</si>
  <si>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</si>
  <si>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</si>
  <si>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</si>
  <si>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</si>
  <si>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</si>
  <si>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</si>
  <si>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</si>
  <si>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</si>
  <si>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</si>
  <si>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</si>
  <si>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</si>
  <si>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</si>
  <si>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</si>
  <si>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</si>
  <si>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</si>
  <si>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</si>
  <si>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</si>
  <si>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</si>
  <si>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</si>
  <si>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</si>
  <si>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</si>
  <si>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</si>
  <si>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</si>
  <si>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</si>
  <si>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</si>
  <si>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</si>
  <si>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</si>
  <si>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</si>
  <si>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</si>
  <si>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</si>
  <si>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</si>
  <si>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</si>
  <si>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</si>
  <si>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</si>
  <si>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</si>
  <si>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</si>
  <si>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</si>
  <si>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</si>
  <si>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</si>
  <si>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</si>
  <si>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</si>
  <si>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</si>
  <si>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</si>
  <si>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</si>
  <si>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</si>
  <si>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</si>
  <si>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</si>
  <si>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</si>
  <si>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</si>
  <si>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</si>
  <si>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</si>
  <si>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</si>
  <si>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</si>
  <si>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</si>
  <si>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</si>
  <si>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</si>
  <si>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</si>
  <si>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</si>
  <si>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</si>
  <si>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</si>
  <si>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</si>
  <si>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</si>
  <si>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</si>
  <si>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</si>
  <si>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</si>
  <si>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</si>
  <si>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</si>
  <si>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</si>
  <si>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</si>
  <si>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</si>
  <si>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</si>
  <si>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</si>
  <si>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</si>
  <si>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</si>
  <si>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</si>
  <si>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</si>
  <si>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</si>
  <si>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</si>
  <si>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</si>
  <si>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</si>
  <si>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</si>
  <si>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</si>
  <si>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</si>
  <si>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</si>
  <si>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</si>
  <si>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</si>
  <si>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</si>
  <si>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</si>
  <si>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</si>
  <si>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</si>
  <si>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</si>
  <si>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</si>
  <si>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</si>
  <si>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</si>
  <si>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</si>
  <si>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</si>
  <si>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</si>
  <si>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</si>
  <si>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</si>
  <si>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</si>
  <si>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</si>
  <si>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</si>
  <si>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</si>
  <si>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</si>
  <si>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</si>
  <si>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</si>
  <si>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</si>
  <si>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</si>
  <si>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</si>
  <si>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</si>
  <si>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</si>
  <si>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</si>
  <si>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</si>
  <si>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</si>
  <si>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</si>
  <si>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</si>
  <si>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</si>
  <si>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</si>
  <si>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</si>
  <si>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</si>
  <si>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</si>
  <si>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</si>
  <si>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</si>
  <si>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</si>
  <si>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</si>
  <si>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</si>
  <si>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</si>
  <si>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</si>
  <si>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</si>
  <si>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</si>
  <si>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</si>
  <si>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</si>
  <si>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</si>
  <si>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</si>
  <si>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</si>
  <si>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</si>
  <si>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</si>
  <si>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</si>
  <si>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</si>
  <si>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</si>
  <si>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</si>
  <si>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</si>
  <si>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</si>
  <si>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</si>
  <si>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</si>
  <si>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</si>
  <si>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</si>
  <si>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</si>
  <si>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</si>
  <si>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</si>
  <si>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</si>
  <si>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</si>
  <si>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</si>
  <si>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</si>
  <si>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</si>
  <si>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</si>
  <si>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</si>
  <si>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</si>
  <si>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</si>
  <si>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</si>
  <si>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</si>
  <si>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</si>
  <si>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</si>
  <si>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</si>
  <si>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</si>
  <si>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</si>
  <si>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</si>
  <si>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</si>
  <si>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</si>
  <si>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</si>
  <si>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</si>
  <si>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</si>
  <si>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</si>
  <si>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</si>
  <si>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</si>
  <si>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</si>
  <si>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</si>
  <si>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</si>
  <si>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</si>
  <si>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</si>
  <si>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</si>
  <si>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</si>
  <si>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</si>
  <si>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</si>
  <si>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</si>
  <si>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</si>
  <si>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</si>
  <si>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</si>
  <si>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</si>
  <si>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</si>
  <si>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</si>
  <si>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</si>
  <si>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</si>
  <si>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</si>
  <si>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</si>
  <si>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</si>
  <si>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</si>
  <si>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</si>
  <si>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</si>
  <si>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</si>
  <si>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</si>
  <si>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</si>
  <si>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</si>
  <si>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</si>
  <si>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</si>
  <si>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</si>
  <si>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</si>
  <si>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</si>
  <si>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</si>
  <si>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</si>
  <si>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</si>
  <si>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</si>
  <si>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</si>
  <si>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</si>
  <si>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</si>
  <si>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</si>
  <si>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</si>
  <si>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</si>
  <si>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</si>
  <si>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</si>
  <si>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</si>
  <si>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</si>
  <si>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</si>
  <si>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</si>
  <si>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</si>
  <si>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</si>
  <si>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</si>
  <si>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</si>
  <si>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</si>
  <si>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</si>
  <si>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</si>
  <si>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</si>
  <si>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</si>
  <si>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</si>
  <si>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</si>
  <si>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</si>
  <si>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</si>
  <si>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</si>
  <si>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</si>
  <si>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</si>
  <si>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</si>
  <si>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</si>
  <si>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</si>
  <si>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</si>
  <si>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</si>
  <si>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</si>
  <si>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</si>
  <si>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</si>
  <si>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</si>
  <si>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</si>
  <si>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</si>
  <si>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</si>
  <si>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</si>
  <si>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</si>
  <si>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</si>
  <si>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</si>
  <si>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</si>
  <si>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</si>
  <si>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</si>
  <si>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</si>
  <si>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</si>
  <si>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</si>
  <si>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</si>
  <si>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</si>
  <si>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</si>
  <si>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</si>
  <si>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</si>
  <si>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</si>
  <si>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</si>
  <si>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</si>
  <si>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</si>
  <si>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</si>
  <si>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</si>
  <si>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</si>
  <si>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</si>
  <si>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</si>
  <si>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</si>
  <si>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</si>
  <si>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</si>
  <si>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</si>
  <si>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</si>
  <si>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</si>
  <si>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</si>
  <si>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</si>
  <si>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</si>
  <si>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</si>
  <si>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</si>
  <si>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</si>
  <si>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</si>
  <si>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</si>
  <si>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</si>
  <si>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</si>
  <si>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</si>
  <si>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</si>
  <si>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</si>
  <si>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</si>
  <si>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</si>
  <si>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</si>
  <si>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</si>
  <si>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</si>
  <si>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</si>
  <si>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</si>
  <si>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</si>
  <si>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</si>
  <si>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</si>
  <si>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</si>
  <si>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</si>
  <si>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</si>
  <si>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</si>
  <si>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</si>
  <si>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</si>
  <si>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</si>
  <si>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</si>
  <si>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</si>
  <si>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</si>
  <si>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</si>
  <si>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</si>
  <si>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</si>
  <si>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</si>
  <si>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</si>
  <si>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</si>
  <si>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</si>
  <si>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</si>
  <si>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</si>
  <si>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</si>
  <si>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</si>
  <si>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</si>
  <si>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</si>
  <si>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</si>
  <si>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</si>
  <si>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</si>
  <si>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</si>
  <si>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</si>
  <si>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</si>
  <si>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</si>
  <si>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</si>
  <si>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</si>
  <si>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</si>
  <si>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</si>
  <si>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</si>
  <si>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</si>
  <si>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</si>
  <si>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</si>
  <si>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</si>
  <si>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</si>
  <si>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</si>
  <si>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</si>
  <si>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</si>
  <si>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</si>
  <si>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</si>
  <si>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</si>
  <si>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</si>
  <si>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</si>
  <si>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</si>
  <si>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</si>
  <si>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</si>
  <si>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</si>
  <si>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</si>
  <si>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</si>
  <si>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</si>
  <si>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</si>
  <si>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</si>
  <si>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</si>
  <si>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</si>
  <si>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</si>
  <si>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</si>
  <si>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</si>
  <si>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</si>
  <si>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</si>
  <si>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</si>
  <si>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</si>
  <si>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</si>
  <si>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</si>
  <si>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</si>
  <si>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</si>
  <si>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</si>
  <si>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</si>
  <si>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</si>
  <si>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</si>
  <si>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</si>
  <si>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</si>
  <si>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</si>
  <si>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</si>
  <si>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</si>
  <si>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</si>
  <si>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</si>
  <si>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</si>
  <si>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</si>
  <si>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</si>
  <si>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</si>
  <si>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</si>
  <si>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</si>
  <si>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</si>
  <si>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</si>
  <si>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</si>
  <si>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</si>
  <si>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</si>
  <si>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</si>
  <si>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</si>
  <si>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</si>
  <si>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</si>
  <si>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</si>
  <si>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</si>
  <si>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</si>
  <si>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</si>
  <si>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</si>
  <si>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</si>
  <si>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</si>
  <si>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</si>
  <si>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</si>
  <si>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</si>
  <si>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</si>
  <si>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</si>
  <si>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</si>
  <si>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</si>
  <si>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</si>
  <si>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</si>
  <si>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</si>
  <si>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</si>
  <si>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</si>
  <si>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</si>
  <si>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</si>
  <si>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</si>
  <si>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</si>
  <si>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</si>
  <si>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</si>
  <si>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</si>
  <si>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</si>
  <si>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</si>
  <si>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</si>
  <si>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</si>
  <si>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</si>
  <si>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</si>
  <si>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</si>
  <si>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</si>
  <si>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</si>
  <si>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</si>
  <si>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</si>
  <si>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</si>
  <si>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</si>
  <si>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</si>
  <si>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</si>
  <si>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</si>
  <si>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</si>
  <si>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</si>
  <si>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</si>
  <si>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</si>
  <si>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</si>
  <si>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</si>
  <si>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</si>
  <si>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</si>
  <si>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</si>
  <si>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</si>
  <si>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</si>
  <si>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</si>
  <si>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</si>
  <si>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</si>
  <si>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</si>
  <si>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</si>
  <si>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</si>
  <si>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</si>
  <si>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</si>
  <si>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</si>
  <si>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</si>
  <si>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</si>
  <si>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</si>
  <si>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</si>
  <si>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</si>
  <si>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</si>
  <si>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</si>
  <si>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</si>
  <si>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</si>
  <si>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</si>
  <si>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</si>
  <si>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</si>
  <si>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</si>
  <si>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</si>
  <si>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</si>
  <si>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</si>
  <si>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</si>
  <si>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</si>
  <si>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</si>
  <si>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</si>
  <si>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</si>
  <si>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</si>
  <si>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</si>
  <si>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</si>
  <si>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</si>
  <si>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</si>
  <si>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</si>
  <si>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</si>
  <si>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</si>
  <si>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</si>
  <si>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</si>
  <si>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</si>
  <si>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</si>
  <si>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</si>
  <si>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</si>
  <si>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</si>
  <si>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</si>
  <si>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</si>
  <si>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</si>
  <si>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</si>
  <si>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</si>
  <si>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</si>
  <si>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</si>
  <si>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</si>
  <si>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Tayyab Cosmatics </t>
  </si>
  <si>
    <t xml:space="preserve">Address: Dugach </t>
  </si>
  <si>
    <t>Baber Bhati Store</t>
  </si>
  <si>
    <t xml:space="preserve">Address: Dogaich </t>
  </si>
  <si>
    <t>Mehar Habib Store</t>
  </si>
  <si>
    <t>Bhatti Store</t>
  </si>
  <si>
    <t>Address: Dugaich ]</t>
  </si>
  <si>
    <t>Haseeb Store</t>
  </si>
  <si>
    <t xml:space="preserve">Address: Dugaich </t>
  </si>
  <si>
    <t>Shakeel Kareyana Store</t>
  </si>
  <si>
    <t xml:space="preserve">Address: chungi </t>
  </si>
  <si>
    <t xml:space="preserve">Al Rehman bakery </t>
  </si>
  <si>
    <t xml:space="preserve">Address: Chungi </t>
  </si>
  <si>
    <t>Ali store</t>
  </si>
  <si>
    <t xml:space="preserve">Address: Hata </t>
  </si>
  <si>
    <t>Ali Rehman</t>
  </si>
  <si>
    <t xml:space="preserve">Address: Ahata </t>
  </si>
  <si>
    <t>Wajid Store</t>
  </si>
  <si>
    <t>Address: Ahata</t>
  </si>
  <si>
    <t>Majid GS</t>
  </si>
  <si>
    <t>Umer Khan Zada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</si>
</sst>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activeCell="G34" sqref="G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Tayyab Cosmatics </v>
      </c>
      <c r="T3" s="301">
        <f>+'1'!P35</f>
        <v>6027.2048854830509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Baber Bhati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Mehar Habib Store</v>
      </c>
      <c r="T5" s="301">
        <f>+'3'!P35</f>
        <v>500.75337404745761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Bhatti Store</v>
      </c>
      <c r="T6" s="301">
        <f>+'4'!P35</f>
        <v>4805.3894985762718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Haseeb Store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Shakeel Kareyana Store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Al Rehman bakery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78</v>
      </c>
      <c r="I10" s="236">
        <f t="shared" si="0"/>
        <v>5665.92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198.30720000000002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5014.3392000000003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1070.8474576271185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30.425933288135599</v>
      </c>
      <c r="P10" s="311">
        <f t="shared" si="2"/>
        <v>6115.6125909152543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Ali store</v>
      </c>
      <c r="T10" s="301">
        <f>+'8'!P35</f>
        <v>1176.0793444067797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53</v>
      </c>
      <c r="I11" s="236">
        <f t="shared" si="0"/>
        <v>3849.92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307.99360000000001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134.74720000000002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3407.1792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727.62711864406788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20.674031593220345</v>
      </c>
      <c r="P11" s="311">
        <f t="shared" si="2"/>
        <v>4155.4803502372879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Ali Rehman</v>
      </c>
      <c r="T11" s="301">
        <f>+'9'!P35</f>
        <v>1176.0793444067797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71</v>
      </c>
      <c r="I12" s="236">
        <f t="shared" si="0"/>
        <v>5157.4399999999996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412.59519999999998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180.51039999999998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4564.3343999999997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974.74576271186459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27.695400813559328</v>
      </c>
      <c r="P12" s="311">
        <f t="shared" si="2"/>
        <v>5566.7755635254234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Wajid Store</v>
      </c>
      <c r="T12" s="301">
        <f>+'10'!P35</f>
        <v>250.37668702372881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119</v>
      </c>
      <c r="I13" s="236">
        <f t="shared" si="0"/>
        <v>4668.3700000000008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233.41850000000005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163.39295000000004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238.08687</v>
      </c>
      <c r="M13" s="230">
        <f t="shared" si="1"/>
        <v>4033.4716800000006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907.62711864406742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24.70549399322034</v>
      </c>
      <c r="P13" s="311">
        <f t="shared" si="2"/>
        <v>4965.8042926372882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Majid GS</v>
      </c>
      <c r="T13" s="301">
        <f>+'11'!P35</f>
        <v>250.37668702372881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9.0250000000000004</v>
      </c>
      <c r="H16" s="113">
        <f t="shared" ref="H16:M16" si="3">SUM(H7:H15)</f>
        <v>361</v>
      </c>
      <c r="I16" s="114">
        <f t="shared" si="3"/>
        <v>21440.15</v>
      </c>
      <c r="J16" s="274">
        <f>SUM(J7:J15)</f>
        <v>1575.1609000000001</v>
      </c>
      <c r="K16" s="275">
        <f t="shared" si="3"/>
        <v>750.40525000000002</v>
      </c>
      <c r="L16" s="276">
        <f t="shared" si="3"/>
        <v>238.08687</v>
      </c>
      <c r="M16" s="232">
        <f t="shared" si="3"/>
        <v>18876.49698</v>
      </c>
      <c r="N16" s="233">
        <f>SUM(N7:N15)</f>
        <v>4077.4576271186434</v>
      </c>
      <c r="O16" s="101">
        <f>SUM(O7:O15)</f>
        <v>114.76977303559325</v>
      </c>
      <c r="P16" s="113">
        <f>SUM(P7:P15)</f>
        <v>23068.724380154235</v>
      </c>
      <c r="Q16" s="128">
        <f>SUM(Q7:Q15)</f>
        <v>0</v>
      </c>
      <c r="R16" s="313">
        <v>14</v>
      </c>
      <c r="S16" s="315" t="str">
        <f>+'14'!A6:A6</f>
        <v>Umer Khan Zada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21440.15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1575.1609000000001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988.49212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18876.496980000004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4077.4576271186434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22953.954607118649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114.76977303559325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23068.724380154243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23068.724380154243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95</v>
      </c>
      <c r="I25" s="114">
        <f t="shared" ref="I25:M25" si="10">SUM(I16:I24)</f>
        <v>5592.55</v>
      </c>
      <c r="J25" s="274">
        <f>SUM(J16:J24)</f>
        <v>429.75050000000005</v>
      </c>
      <c r="K25" s="275">
        <f t="shared" si="10"/>
        <v>195.73925000000003</v>
      </c>
      <c r="L25" s="276">
        <f t="shared" si="10"/>
        <v>30.010950000000001</v>
      </c>
      <c r="M25" s="232">
        <f t="shared" si="10"/>
        <v>4937.0492999999997</v>
      </c>
      <c r="N25" s="233">
        <f>SUM(N16:N24)</f>
        <v>1060.1694915254234</v>
      </c>
      <c r="O25" s="101">
        <f>SUM(O16:O24)</f>
        <v>29.986093957627123</v>
      </c>
      <c r="P25" s="234">
        <f>SUM(P16:P24)</f>
        <v>6027.2048854830509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5592.55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429.75050000000005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225.75020000000004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4937.0492999999997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1060.1694915254234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5997.2187915254235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29.986093957627119</v>
      </c>
    </row>
    <row r="35" spans="2:16" ht="15.75" customHeight="1" thickBot="1" x14ac:dyDescent="0.4">
      <c r="N35" s="345" t="s">
        <v>88</v>
      </c>
      <c r="O35" s="346"/>
      <c r="P35" s="297">
        <f>+P33+P34</f>
        <v>6027.2048854830509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1569.2000000000003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78.460000000000022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134.95120000000003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1355.7888000000003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1660.873545762712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1669.1779134915255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4474.8000000000011</v>
      </c>
      <c r="J25" s="274">
        <f>SUM(J16:J24)</f>
        <v>310.90800000000007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4474.8000000000011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310.90800000000007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236.6472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3927.2448000000009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4781.4820881355936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23.907410440677968</v>
      </c>
    </row>
    <row r="35" spans="2:16" ht="15.75" customHeight="1" thickBot="1" x14ac:dyDescent="0.4">
      <c r="N35" s="345" t="s">
        <v>88</v>
      </c>
      <c r="O35" s="346"/>
      <c r="P35" s="297">
        <f>+P33+P34</f>
        <v>4805.3894985762718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1089.5999999999999</v>
      </c>
      <c r="J25" s="274">
        <f>SUM(J16:J24)</f>
        <v>87.168000000000006</v>
      </c>
      <c r="K25" s="275">
        <f t="shared" si="7"/>
        <v>38.136000000000003</v>
      </c>
      <c r="L25" s="276">
        <f t="shared" si="7"/>
        <v>0</v>
      </c>
      <c r="M25" s="232">
        <f t="shared" si="7"/>
        <v>964.29600000000005</v>
      </c>
      <c r="N25" s="233">
        <f>SUM(N16:N24)</f>
        <v>205.93220338983053</v>
      </c>
      <c r="O25" s="101">
        <f>SUM(O16:O24)</f>
        <v>5.8511410169491533</v>
      </c>
      <c r="P25" s="234">
        <f>SUM(P16:P24)</f>
        <v>1176.0793444067797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1089.5999999999999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87.168000000000006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38.136000000000003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964.29599999999994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205.93220338983053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1170.2282033898305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5.8511410169491525</v>
      </c>
    </row>
    <row r="35" spans="2:16" ht="15.75" customHeight="1" thickBot="1" x14ac:dyDescent="0.4">
      <c r="N35" s="345" t="s">
        <v>88</v>
      </c>
      <c r="O35" s="346"/>
      <c r="P35" s="297">
        <f>+P33+P34</f>
        <v>1176.0793444067797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119">
        <f t="shared" si="5"/>
        <v>250.37668702372881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234">
        <f>SUM(P16:P24)</f>
        <v>250.37668702372881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235.38000000000002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11.769000000000002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20.242680000000004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203.36832000000001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249.13103186440676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5" t="s">
        <v>88</v>
      </c>
      <c r="O35" s="346"/>
      <c r="P35" s="297">
        <f>+P33+P34</f>
        <v>250.37668702372881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2026-09-09T11:58:21Z</dcterms:modified>
</cp:coreProperties>
</file>