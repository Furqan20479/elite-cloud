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3632C7F-AF6C-4EE1-9C4F-FFE621083108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69"/>
  <c r="O21" i="69" s="1"/>
  <c r="P21" i="69" s="1"/>
  <c r="M17" i="60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<sst xmlns="http://schemas.openxmlformats.org/spreadsheetml/2006/main" count="3947" uniqueCount="517">
  <si>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</si>
  <si>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</si>
  <si>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</si>
  <si>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</si>
  <si>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</si>
  <si>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</si>
  <si>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</si>
  <si>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</si>
  <si>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</si>
  <si>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</si>
  <si>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</si>
  <si>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</si>
  <si>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</si>
  <si>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</si>
  <si>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</si>
  <si>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</si>
  <si>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</si>
  <si>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</si>
  <si>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</si>
  <si>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</si>
  <si>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</si>
  <si>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</si>
  <si>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</si>
  <si>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</si>
  <si>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</si>
  <si>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</si>
  <si>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</si>
  <si>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</si>
  <si>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</si>
  <si>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</si>
  <si>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</si>
  <si>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</si>
  <si>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</si>
  <si>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</si>
  <si>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</si>
  <si>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</si>
  <si>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</si>
  <si>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</si>
  <si>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</si>
  <si>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</si>
  <si>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</si>
  <si>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</si>
  <si>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</si>
  <si>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</si>
  <si>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</si>
  <si>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</si>
  <si>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</si>
  <si>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</si>
  <si>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</si>
  <si>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</si>
  <si>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</si>
  <si>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</si>
  <si>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</si>
  <si>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</si>
  <si>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</si>
  <si>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</si>
  <si>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</si>
  <si>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</si>
  <si>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</si>
  <si>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</si>
  <si>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</si>
  <si>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</si>
  <si>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</si>
  <si>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</si>
  <si>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</si>
  <si>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</si>
  <si>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</si>
  <si>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</si>
  <si>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</si>
  <si>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</si>
  <si>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</si>
  <si>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</si>
  <si>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</si>
  <si>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</si>
  <si>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</si>
  <si>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</si>
  <si>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</si>
  <si>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</si>
  <si>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</si>
  <si>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</si>
  <si>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</si>
  <si>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</si>
  <si>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</si>
  <si>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</si>
  <si>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</si>
  <si>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</si>
  <si>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</si>
  <si>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</si>
  <si>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</si>
  <si>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</si>
  <si>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</si>
  <si>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</si>
  <si>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</si>
  <si>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</si>
  <si>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</si>
  <si>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</si>
  <si>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</si>
  <si>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</si>
  <si>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</si>
  <si>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</si>
  <si>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</si>
  <si>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</si>
  <si>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</si>
  <si>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</si>
  <si>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</si>
  <si>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</si>
  <si>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</si>
  <si>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</si>
  <si>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</si>
  <si>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</si>
  <si>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</si>
  <si>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</si>
  <si>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</si>
  <si>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</si>
  <si>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</si>
  <si>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</si>
  <si>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</si>
  <si>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</si>
  <si>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</si>
  <si>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</si>
  <si>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</si>
  <si>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</si>
  <si>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</si>
  <si>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</si>
  <si>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</si>
  <si>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</si>
  <si>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</si>
  <si>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</si>
  <si>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</si>
  <si>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</si>
  <si>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</si>
  <si>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</si>
  <si>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</si>
  <si>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</si>
  <si>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</si>
  <si>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</si>
  <si>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</si>
  <si>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</si>
  <si>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</si>
  <si>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</si>
  <si>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</si>
  <si>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</si>
  <si>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</si>
  <si>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</si>
  <si>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</si>
  <si>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</si>
  <si>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</si>
  <si>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</si>
  <si>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</si>
  <si>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</si>
  <si>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</si>
  <si>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</si>
  <si>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</si>
  <si>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</si>
  <si>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</si>
  <si>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</si>
  <si>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</si>
  <si>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</si>
  <si>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</si>
  <si>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</si>
  <si>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</si>
  <si>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</si>
  <si>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</si>
  <si>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</si>
  <si>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</si>
  <si>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</si>
  <si>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</si>
  <si>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</si>
  <si>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</si>
  <si>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</si>
  <si>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</si>
  <si>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</si>
  <si>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</si>
  <si>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</si>
  <si>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</si>
  <si>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</si>
  <si>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</si>
  <si>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</si>
  <si>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</si>
  <si>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</si>
  <si>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</si>
  <si>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</si>
  <si>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</si>
  <si>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</si>
  <si>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</si>
  <si>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</si>
  <si>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</si>
  <si>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</si>
  <si>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</si>
  <si>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</si>
  <si>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</si>
  <si>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</si>
  <si>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</si>
  <si>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</si>
  <si>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</si>
  <si>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</si>
  <si>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</si>
  <si>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</si>
  <si>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</si>
  <si>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</si>
  <si>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</si>
  <si>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</si>
  <si>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</si>
  <si>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</si>
  <si>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</si>
  <si>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</si>
  <si>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</si>
  <si>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</si>
  <si>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</si>
  <si>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</si>
  <si>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</si>
  <si>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</si>
  <si>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</si>
  <si>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</si>
  <si>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</si>
  <si>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</si>
  <si>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</si>
  <si>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</si>
  <si>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</si>
  <si>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</si>
  <si>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</si>
  <si>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</si>
  <si>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</si>
  <si>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</si>
  <si>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</si>
  <si>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</si>
  <si>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</si>
  <si>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</si>
  <si>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</si>
  <si>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</si>
  <si>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</si>
  <si>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</si>
  <si>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</si>
  <si>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</si>
  <si>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</si>
  <si>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</si>
  <si>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</si>
  <si>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</si>
  <si>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</si>
  <si>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</si>
  <si>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</si>
  <si>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</si>
  <si>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</si>
  <si>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</si>
  <si>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</si>
  <si>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</si>
  <si>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</si>
  <si>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</si>
  <si>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</si>
  <si>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</si>
  <si>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</si>
  <si>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</si>
  <si>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</si>
  <si>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</si>
  <si>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</si>
  <si>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</si>
  <si>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</si>
  <si>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</si>
  <si>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</si>
  <si>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</si>
  <si>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</si>
  <si>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</si>
  <si>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</si>
  <si>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</si>
  <si>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</si>
  <si>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</si>
  <si>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</si>
  <si>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</si>
  <si>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</si>
  <si>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</si>
  <si>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</si>
  <si>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</si>
  <si>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</si>
  <si>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</si>
  <si>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</si>
  <si>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</si>
  <si>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</si>
  <si>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</si>
  <si>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</si>
  <si>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</si>
  <si>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</si>
  <si>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</si>
  <si>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</si>
  <si>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</si>
  <si>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</si>
  <si>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</si>
  <si>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</si>
  <si>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</si>
  <si>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</si>
  <si>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</si>
  <si>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</si>
  <si>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</si>
  <si>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</si>
  <si>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</si>
  <si>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</si>
  <si>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</si>
  <si>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</si>
  <si>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</si>
  <si>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</si>
  <si>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</si>
  <si>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</si>
  <si>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</si>
  <si>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</si>
  <si>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</si>
  <si>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</si>
  <si>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</si>
  <si>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</si>
  <si>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</si>
  <si>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</si>
  <si>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</si>
  <si>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</si>
  <si>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</si>
  <si>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</si>
  <si>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</si>
  <si>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</si>
  <si>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</si>
  <si>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</si>
  <si>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</si>
  <si>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</si>
  <si>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</si>
  <si>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</si>
  <si>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</si>
  <si>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</si>
  <si>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</si>
  <si>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</si>
  <si>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</si>
  <si>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</si>
  <si>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</si>
  <si>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</si>
  <si>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</si>
  <si>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</si>
  <si>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</si>
  <si>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</si>
  <si>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</si>
  <si>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</si>
  <si>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</si>
  <si>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</si>
  <si>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</si>
  <si>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</si>
  <si>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</si>
  <si>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</si>
  <si>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</si>
  <si>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</si>
  <si>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</si>
  <si>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</si>
  <si>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</si>
  <si>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</si>
  <si>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</si>
  <si>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</si>
  <si>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</si>
  <si>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</si>
  <si>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</si>
  <si>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</si>
  <si>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</si>
  <si>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</si>
  <si>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</si>
  <si>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</si>
  <si>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</si>
  <si>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</si>
  <si>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</si>
  <si>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</si>
  <si>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</si>
  <si>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</si>
  <si>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</si>
  <si>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</si>
  <si>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</si>
  <si>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</si>
  <si>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</si>
  <si>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</si>
  <si>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</si>
  <si>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</si>
  <si>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</si>
  <si>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</si>
  <si>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</si>
  <si>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</si>
  <si>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</si>
  <si>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</si>
  <si>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</si>
  <si>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</si>
  <si>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</si>
  <si>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</si>
  <si>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</si>
  <si>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</si>
  <si>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</si>
  <si>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</si>
  <si>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</si>
  <si>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</si>
  <si>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</si>
  <si>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</si>
  <si>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</si>
  <si>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</si>
  <si>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</si>
  <si>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</si>
  <si>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</si>
  <si>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</si>
  <si>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</si>
  <si>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</si>
  <si>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</si>
  <si>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</si>
  <si>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</si>
  <si>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</si>
  <si>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</si>
  <si>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</si>
  <si>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</si>
  <si>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</si>
  <si>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</si>
  <si>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</si>
  <si>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</si>
  <si>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</si>
  <si>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</si>
  <si>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</si>
  <si>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</si>
  <si>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</si>
  <si>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</si>
  <si>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</si>
  <si>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</si>
  <si>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</si>
  <si>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</si>
  <si>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</si>
  <si>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</si>
  <si>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</si>
  <si>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</si>
  <si>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</si>
  <si>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</si>
  <si>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</si>
  <si>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</si>
  <si>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</si>
  <si>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</si>
  <si>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</si>
  <si>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</si>
  <si>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</si>
  <si>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</si>
  <si>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</si>
  <si>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</si>
  <si>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</si>
  <si>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</si>
  <si>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</si>
  <si>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</si>
  <si>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</si>
  <si>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</si>
  <si>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</si>
  <si>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</si>
  <si>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</si>
  <si>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</si>
  <si>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</si>
  <si>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</si>
  <si>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</si>
  <si>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</si>
  <si>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</si>
  <si>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</si>
  <si>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</si>
  <si>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</si>
  <si>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</si>
  <si>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</si>
  <si>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</si>
  <si>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</si>
  <si>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</si>
  <si>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</si>
  <si>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</si>
  <si>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</si>
  <si>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</si>
  <si>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</si>
  <si>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</si>
  <si>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</si>
  <si>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</si>
  <si>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</si>
  <si>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</si>
  <si>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</si>
  <si>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</si>
  <si>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</si>
  <si>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</si>
  <si>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</si>
  <si>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</si>
  <si>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</si>
  <si>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</si>
  <si>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</si>
  <si>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</si>
  <si>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</si>
  <si>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</si>
  <si>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</si>
  <si>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</si>
  <si>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</si>
  <si>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</si>
  <si>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</si>
  <si>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</si>
  <si>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</si>
  <si>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</si>
  <si>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</si>
  <si>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</si>
  <si>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</si>
  <si>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</si>
  <si>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</si>
  <si>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</si>
  <si>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</si>
  <si>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</si>
  <si>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</si>
  <si>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</si>
  <si>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</si>
  <si>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</si>
  <si>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</si>
  <si>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</si>
  <si>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</si>
  <si>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</si>
  <si>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</si>
  <si>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</si>
  <si>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</si>
  <si>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</si>
  <si>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</si>
  <si>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</si>
  <si>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</si>
  <si>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</si>
  <si>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</si>
  <si>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RAJA SAHIB</t>
  </si>
  <si>
    <t>NTN #:  3612722-1</t>
  </si>
  <si>
    <t xml:space="preserve">Address: Wapda Town </t>
  </si>
  <si>
    <t>Invoice No # : 1561</t>
  </si>
  <si>
    <t>Invoice No # : 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</si>
</sst>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/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46276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RAJA SAHIB</v>
      </c>
      <c r="T3" s="301">
        <f>+'1'!P35</f>
        <v>19834.788591101697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RAJA SAHIB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RAJA SAHIB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RAJA SAHIB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RAJA SAHIB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RAJA SAHIB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RAJA SAHIB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RAJA SAHIB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RAJA SAHIB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RAJA SAHIB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RAJA SAHIB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RAJA SAHIB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RAJA SAHIB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7</v>
      </c>
      <c r="H16" s="113">
        <f t="shared" ref="H16:M16" si="3">SUM(H7:H15)</f>
        <v>280</v>
      </c>
      <c r="I16" s="114">
        <f t="shared" si="3"/>
        <v>18725</v>
      </c>
      <c r="J16" s="274">
        <f>SUM(J7:J15)</f>
        <v>1872.5000000000002</v>
      </c>
      <c r="K16" s="275">
        <f t="shared" si="3"/>
        <v>655.37500000000011</v>
      </c>
      <c r="L16" s="276">
        <f t="shared" si="3"/>
        <v>0</v>
      </c>
      <c r="M16" s="232">
        <f t="shared" si="3"/>
        <v>16197.125</v>
      </c>
      <c r="N16" s="233">
        <f>SUM(N7:N15)</f>
        <v>3538.9830508474574</v>
      </c>
      <c r="O16" s="101">
        <f>SUM(O7:O15)</f>
        <v>98.680540254237286</v>
      </c>
      <c r="P16" s="113">
        <f>SUM(P7:P15)</f>
        <v>19834.788591101693</v>
      </c>
      <c r="Q16" s="128">
        <f>SUM(Q7:Q15)</f>
        <v>0</v>
      </c>
      <c r="R16" s="314">
        <v>14</v>
      </c>
      <c r="S16" s="300" t="str">
        <f>+'14'!A6:A6</f>
        <v>RAJA SAHIB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RAJA SAHIB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RAJA SAHIB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18725</v>
      </c>
      <c r="R19" s="299">
        <v>17</v>
      </c>
      <c r="S19" s="300" t="str">
        <f>+'17'!A6:A6</f>
        <v>RAJA SAHIB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1872.5000000000002</v>
      </c>
      <c r="R20" s="299">
        <v>18</v>
      </c>
      <c r="S20" s="300" t="str">
        <f>+'18'!A6:A6</f>
        <v>RAJA SAHIB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655.37500000000011</v>
      </c>
      <c r="R21" s="299">
        <v>19</v>
      </c>
      <c r="S21" s="300" t="str">
        <f>+'19'!A6:A6</f>
        <v>RAJA SAHIB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16197.125</v>
      </c>
      <c r="R22" s="299">
        <v>20</v>
      </c>
      <c r="S22" s="300" t="str">
        <f>+'20'!A6:A6</f>
        <v>RAJA SAHIB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3538.9830508474574</v>
      </c>
      <c r="R23" s="299">
        <v>21</v>
      </c>
      <c r="S23" s="300" t="str">
        <f>+'21'!A6:A6</f>
        <v>RAJA SAHIB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19736.108050847459</v>
      </c>
      <c r="R24" s="299">
        <v>22</v>
      </c>
      <c r="S24" s="300" t="str">
        <f>+'22'!A6:A6</f>
        <v>RAJA SAHIB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98.680540254237286</v>
      </c>
      <c r="R25" s="299">
        <v>23</v>
      </c>
      <c r="S25" s="300" t="str">
        <f>+'23'!A6:A6</f>
        <v>RAJA SAHIB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19834.788591101697</v>
      </c>
      <c r="R26" s="299">
        <v>24</v>
      </c>
      <c r="S26" s="300" t="str">
        <f>+'24'!A6:A6</f>
        <v>RAJA SAHIB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RAJA SAHIB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RAJA SAHIB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RAJA SAHIB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RAJA SAHIB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RAJA SAHIB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RAJA SAHIB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19834.788591101697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S22" sqref="S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516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46274</v>
      </c>
      <c r="O5" s="393"/>
      <c r="P5" s="393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18725</v>
      </c>
      <c r="J25" s="274">
        <f>SUM(J16:J24)</f>
        <v>1872.5000000000002</v>
      </c>
      <c r="K25" s="275">
        <f t="shared" si="10"/>
        <v>655.37500000000011</v>
      </c>
      <c r="L25" s="276">
        <f t="shared" si="10"/>
        <v>0</v>
      </c>
      <c r="M25" s="232">
        <f t="shared" si="10"/>
        <v>16197.125</v>
      </c>
      <c r="N25" s="233">
        <f>SUM(N16:N24)</f>
        <v>3538.9830508474574</v>
      </c>
      <c r="O25" s="101">
        <f>SUM(O16:O24)</f>
        <v>98.680540254237286</v>
      </c>
      <c r="P25" s="113">
        <f>SUM(P16:P24)</f>
        <v>19834.788591101693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18725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1872.5000000000002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655.37500000000011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16197.125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3538.9830508474574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19736.108050847459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98.6805402542373</v>
      </c>
    </row>
    <row r="35" spans="2:16" ht="15.75" customHeight="1" thickBot="1" x14ac:dyDescent="0.4">
      <c r="N35" s="373" t="s">
        <v>88</v>
      </c>
      <c r="O35" s="374"/>
      <c r="P35" s="297">
        <f>+P33+P34</f>
        <v>19834.788591101697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2026-09-11T05:05:52Z</dcterms:modified>
</cp:coreProperties>
</file>