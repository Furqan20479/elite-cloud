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ADB2B2D-DCE4-49B9-8100-529BC096C24C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J7" i="62" l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6" i="53" l="1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<sst xmlns="http://schemas.openxmlformats.org/spreadsheetml/2006/main" count="3948" uniqueCount="529">
  <si>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</si>
  <si>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</si>
  <si>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</si>
  <si>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</si>
  <si>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</si>
  <si>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</si>
  <si>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</si>
  <si>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</si>
  <si>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</si>
  <si>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</si>
  <si>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</si>
  <si>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</si>
  <si>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</si>
  <si>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</si>
  <si>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</si>
  <si>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</si>
  <si>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</si>
  <si>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</si>
  <si>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</si>
  <si>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</si>
  <si>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</si>
  <si>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</si>
  <si>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</si>
  <si>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</si>
  <si>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</si>
  <si>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</si>
  <si>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</si>
  <si>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</si>
  <si>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</si>
  <si>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</si>
  <si>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</si>
  <si>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</si>
  <si>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</si>
  <si>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</si>
  <si>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</si>
  <si>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</si>
  <si>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</si>
  <si>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</si>
  <si>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</si>
  <si>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</si>
  <si>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</si>
  <si>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</si>
  <si>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</si>
  <si>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</si>
  <si>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</si>
  <si>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</si>
  <si>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</si>
  <si>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</si>
  <si>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</si>
  <si>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</si>
  <si>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</si>
  <si>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</si>
  <si>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</si>
  <si>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</si>
  <si>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</si>
  <si>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</si>
  <si>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</si>
  <si>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</si>
  <si>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</si>
  <si>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</si>
  <si>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</si>
  <si>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</si>
  <si>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</si>
  <si>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</si>
  <si>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</si>
  <si>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</si>
  <si>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</si>
  <si>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</si>
  <si>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</si>
  <si>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</si>
  <si>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</si>
  <si>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</si>
  <si>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</si>
  <si>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</si>
  <si>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</si>
  <si>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</si>
  <si>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</si>
  <si>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</si>
  <si>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</si>
  <si>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</si>
  <si>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</si>
  <si>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</si>
  <si>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</si>
  <si>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</si>
  <si>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</si>
  <si>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</si>
  <si>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</si>
  <si>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</si>
  <si>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</si>
  <si>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</si>
  <si>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</si>
  <si>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</si>
  <si>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</si>
  <si>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</si>
  <si>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</si>
  <si>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</si>
  <si>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</si>
  <si>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</si>
  <si>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</si>
  <si>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</si>
  <si>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</si>
  <si>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</si>
  <si>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</si>
  <si>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</si>
  <si>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</si>
  <si>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</si>
  <si>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</si>
  <si>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</si>
  <si>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</si>
  <si>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</si>
  <si>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</si>
  <si>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</si>
  <si>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</si>
  <si>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</si>
  <si>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</si>
  <si>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</si>
  <si>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</si>
  <si>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</si>
  <si>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</si>
  <si>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</si>
  <si>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</si>
  <si>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</si>
  <si>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</si>
  <si>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</si>
  <si>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</si>
  <si>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</si>
  <si>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</si>
  <si>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</si>
  <si>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</si>
  <si>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</si>
  <si>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</si>
  <si>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</si>
  <si>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</si>
  <si>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</si>
  <si>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</si>
  <si>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</si>
  <si>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</si>
  <si>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</si>
  <si>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</si>
  <si>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</si>
  <si>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</si>
  <si>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</si>
  <si>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</si>
  <si>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</si>
  <si>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</si>
  <si>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</si>
  <si>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</si>
  <si>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</si>
  <si>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</si>
  <si>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</si>
  <si>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</si>
  <si>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</si>
  <si>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</si>
  <si>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</si>
  <si>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</si>
  <si>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</si>
  <si>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</si>
  <si>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</si>
  <si>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</si>
  <si>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</si>
  <si>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</si>
  <si>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</si>
  <si>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</si>
  <si>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</si>
  <si>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</si>
  <si>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</si>
  <si>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</si>
  <si>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</si>
  <si>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</si>
  <si>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</si>
  <si>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</si>
  <si>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</si>
  <si>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</si>
  <si>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</si>
  <si>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</si>
  <si>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</si>
  <si>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</si>
  <si>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</si>
  <si>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</si>
  <si>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</si>
  <si>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</si>
  <si>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</si>
  <si>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</si>
  <si>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</si>
  <si>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</si>
  <si>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</si>
  <si>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</si>
  <si>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</si>
  <si>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</si>
  <si>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</si>
  <si>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</si>
  <si>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</si>
  <si>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</si>
  <si>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</si>
  <si>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</si>
  <si>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</si>
  <si>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</si>
  <si>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</si>
  <si>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</si>
  <si>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</si>
  <si>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</si>
  <si>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</si>
  <si>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</si>
  <si>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</si>
  <si>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</si>
  <si>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</si>
  <si>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</si>
  <si>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</si>
  <si>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</si>
  <si>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</si>
  <si>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</si>
  <si>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</si>
  <si>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</si>
  <si>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</si>
  <si>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</si>
  <si>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</si>
  <si>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</si>
  <si>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</si>
  <si>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</si>
  <si>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</si>
  <si>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</si>
  <si>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</si>
  <si>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</si>
  <si>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</si>
  <si>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</si>
  <si>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</si>
  <si>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</si>
  <si>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</si>
  <si>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</si>
  <si>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</si>
  <si>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</si>
  <si>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</si>
  <si>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</si>
  <si>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</si>
  <si>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</si>
  <si>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</si>
  <si>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</si>
  <si>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</si>
  <si>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</si>
  <si>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</si>
  <si>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</si>
  <si>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</si>
  <si>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</si>
  <si>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</si>
  <si>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</si>
  <si>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</si>
  <si>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</si>
  <si>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</si>
  <si>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</si>
  <si>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</si>
  <si>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</si>
  <si>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</si>
  <si>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</si>
  <si>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</si>
  <si>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</si>
  <si>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</si>
  <si>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</si>
  <si>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</si>
  <si>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</si>
  <si>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</si>
  <si>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</si>
  <si>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</si>
  <si>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</si>
  <si>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</si>
  <si>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</si>
  <si>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</si>
  <si>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</si>
  <si>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</si>
  <si>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</si>
  <si>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</si>
  <si>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</si>
  <si>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</si>
  <si>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</si>
  <si>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</si>
  <si>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</si>
  <si>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</si>
  <si>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</si>
  <si>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</si>
  <si>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</si>
  <si>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</si>
  <si>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</si>
  <si>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</si>
  <si>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</si>
  <si>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</si>
  <si>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</si>
  <si>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</si>
  <si>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</si>
  <si>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</si>
  <si>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</si>
  <si>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</si>
  <si>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</si>
  <si>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</si>
  <si>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</si>
  <si>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</si>
  <si>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</si>
  <si>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</si>
  <si>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</si>
  <si>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</si>
  <si>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</si>
  <si>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</si>
  <si>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</si>
  <si>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</si>
  <si>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</si>
  <si>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</si>
  <si>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</si>
  <si>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</si>
  <si>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</si>
  <si>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</si>
  <si>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</si>
  <si>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</si>
  <si>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</si>
  <si>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</si>
  <si>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</si>
  <si>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</si>
  <si>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</si>
  <si>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</si>
  <si>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</si>
  <si>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</si>
  <si>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</si>
  <si>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</si>
  <si>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</si>
  <si>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</si>
  <si>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</si>
  <si>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</si>
  <si>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</si>
  <si>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</si>
  <si>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</si>
  <si>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</si>
  <si>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</si>
  <si>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</si>
  <si>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</si>
  <si>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</si>
  <si>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</si>
  <si>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</si>
  <si>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</si>
  <si>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</si>
  <si>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</si>
  <si>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</si>
  <si>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</si>
  <si>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</si>
  <si>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</si>
  <si>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</si>
  <si>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</si>
  <si>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</si>
  <si>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</si>
  <si>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</si>
  <si>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</si>
  <si>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</si>
  <si>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</si>
  <si>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</si>
  <si>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</si>
  <si>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</si>
  <si>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</si>
  <si>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</si>
  <si>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</si>
  <si>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</si>
  <si>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</si>
  <si>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</si>
  <si>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</si>
  <si>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</si>
  <si>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</si>
  <si>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</si>
  <si>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</si>
  <si>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</si>
  <si>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</si>
  <si>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</si>
  <si>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</si>
  <si>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</si>
  <si>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</si>
  <si>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</si>
  <si>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</si>
  <si>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</si>
  <si>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</si>
  <si>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</si>
  <si>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</si>
  <si>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</si>
  <si>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</si>
  <si>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</si>
  <si>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</si>
  <si>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</si>
  <si>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</si>
  <si>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</si>
  <si>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</si>
  <si>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</si>
  <si>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</si>
  <si>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</si>
  <si>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</si>
  <si>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</si>
  <si>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</si>
  <si>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</si>
  <si>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</si>
  <si>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</si>
  <si>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</si>
  <si>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</si>
  <si>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</si>
  <si>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</si>
  <si>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</si>
  <si>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</si>
  <si>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</si>
  <si>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</si>
  <si>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</si>
  <si>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</si>
  <si>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</si>
  <si>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</si>
  <si>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</si>
  <si>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</si>
  <si>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</si>
  <si>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</si>
  <si>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</si>
  <si>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</si>
  <si>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</si>
  <si>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</si>
  <si>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</si>
  <si>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</si>
  <si>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</si>
  <si>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</si>
  <si>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</si>
  <si>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</si>
  <si>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</si>
  <si>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</si>
  <si>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</si>
  <si>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</si>
  <si>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</si>
  <si>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</si>
  <si>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</si>
  <si>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</si>
  <si>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</si>
  <si>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</si>
  <si>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</si>
  <si>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</si>
  <si>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</si>
  <si>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</si>
  <si>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</si>
  <si>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</si>
  <si>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</si>
  <si>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</si>
  <si>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</si>
  <si>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</si>
  <si>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</si>
  <si>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</si>
  <si>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</si>
  <si>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</si>
  <si>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</si>
  <si>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</si>
  <si>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</si>
  <si>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</si>
  <si>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</si>
  <si>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</si>
  <si>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</si>
  <si>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</si>
  <si>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</si>
  <si>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</si>
  <si>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</si>
  <si>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</si>
  <si>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</si>
  <si>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</si>
  <si>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</si>
  <si>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</si>
  <si>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</si>
  <si>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</si>
  <si>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</si>
  <si>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</si>
  <si>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</si>
  <si>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</si>
  <si>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</si>
  <si>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</si>
  <si>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</si>
  <si>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</si>
  <si>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</si>
  <si>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</si>
  <si>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</si>
  <si>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</si>
  <si>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</si>
  <si>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</si>
  <si>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</si>
  <si>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</si>
  <si>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</si>
  <si>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</si>
  <si>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</si>
  <si>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</si>
  <si>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</si>
  <si>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</si>
  <si>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</si>
  <si>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</si>
  <si>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</si>
  <si>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</si>
  <si>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</si>
  <si>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</si>
  <si>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</si>
  <si>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</si>
  <si>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</si>
  <si>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</si>
  <si>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</si>
  <si>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</si>
  <si>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</si>
  <si>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</si>
  <si>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</si>
  <si>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</si>
  <si>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</si>
  <si>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</si>
  <si>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</si>
  <si>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</si>
  <si>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</si>
  <si>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</si>
  <si>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</si>
  <si>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</si>
  <si>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</si>
  <si>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</si>
  <si>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</si>
  <si>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</si>
  <si>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</si>
  <si>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</si>
  <si>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</si>
  <si>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Zeshan</t>
  </si>
  <si>
    <t>Allys Store</t>
  </si>
  <si>
    <t>Address: DHA</t>
  </si>
  <si>
    <t>Trust Store</t>
  </si>
  <si>
    <t>Bravo Store</t>
  </si>
  <si>
    <t>Ghani Store</t>
  </si>
  <si>
    <t xml:space="preserve">Hamza Mart </t>
  </si>
  <si>
    <t>Defence Store</t>
  </si>
  <si>
    <t>MS Store</t>
  </si>
  <si>
    <t>Pakistan Store</t>
  </si>
  <si>
    <t>Maharaja Store</t>
  </si>
  <si>
    <t>Abdullah Store</t>
  </si>
  <si>
    <t>Besta Store</t>
  </si>
  <si>
    <t>Hafiz Store</t>
  </si>
  <si>
    <t>Qadri Stiore</t>
  </si>
  <si>
    <t>Sikander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</si>
</sst>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13" workbookViewId="0">
      <selection activeCell="B19" sqref="B19:L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513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46275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Allys Store</v>
      </c>
      <c r="T3" s="301">
        <f>+'1'!P35</f>
        <v>3484.6844802330511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Trust Store</v>
      </c>
      <c r="T4" s="301">
        <f>+'2'!P35</f>
        <v>784.05289627118646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Bravo Store</v>
      </c>
      <c r="T5" s="301">
        <f>+'3'!P35</f>
        <v>3136.2115850847458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Ghani Store</v>
      </c>
      <c r="T6" s="301">
        <f>+'4'!P35</f>
        <v>1201.3473746440677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90</v>
      </c>
      <c r="I7" s="235">
        <f>(G7*D7)*F7+H7*F7</f>
        <v>4721.625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377.73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165.25687500000001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4178.6381249999995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892.37288135593167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25.355055031779656</v>
      </c>
      <c r="P7" s="310">
        <f>M7+N7+O7</f>
        <v>5096.3660613877109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 xml:space="preserve">Hamza Mart </v>
      </c>
      <c r="T7" s="301">
        <f>+'5'!P35</f>
        <v>16203.789503771184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90</v>
      </c>
      <c r="I8" s="236">
        <f t="shared" ref="I8:I14" si="0">(G8*D8)*F8+H8*F8</f>
        <v>4721.625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377.73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165.25687500000001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4178.6381249999995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892.37288135593167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25.355055031779656</v>
      </c>
      <c r="P8" s="311">
        <f t="shared" ref="P8:P15" si="2">M8+N8+O8</f>
        <v>5096.3660613877109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Defence Store</v>
      </c>
      <c r="T8" s="301">
        <f>+'6'!P35</f>
        <v>566.26289570974575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45</v>
      </c>
      <c r="I9" s="236">
        <f t="shared" si="0"/>
        <v>2360.8125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188.86500000000001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82.628437500000004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2089.3190624999997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446.18644067796589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12.67752751588983</v>
      </c>
      <c r="P9" s="311">
        <f t="shared" si="2"/>
        <v>2548.1830306938555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MS Store</v>
      </c>
      <c r="T9" s="301">
        <f>+'7'!P35</f>
        <v>566.26289570974575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75</v>
      </c>
      <c r="I10" s="236">
        <f t="shared" si="0"/>
        <v>5448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435.84000000000003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190.68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4821.4799999999996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1029.6610169491526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29.255705084745763</v>
      </c>
      <c r="P10" s="311">
        <f t="shared" si="2"/>
        <v>5880.3967220338973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10</v>
      </c>
      <c r="R10" s="313">
        <v>8</v>
      </c>
      <c r="S10" s="300" t="str">
        <f>+'8'!A6:A6</f>
        <v>Pakistan Store</v>
      </c>
      <c r="T10" s="301">
        <f>+'8'!P35</f>
        <v>566.26289570974575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60</v>
      </c>
      <c r="I11" s="236">
        <f t="shared" si="0"/>
        <v>4358.3999999999996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348.67200000000003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152.54400000000001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3857.1839999999997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823.72881355932213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23.404564067796613</v>
      </c>
      <c r="P11" s="311">
        <f t="shared" si="2"/>
        <v>4704.3173776271187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Maharaja Store</v>
      </c>
      <c r="T11" s="301">
        <f>+'9'!P35</f>
        <v>566.26289570974575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75</v>
      </c>
      <c r="I12" s="236">
        <f t="shared" si="0"/>
        <v>5448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435.84000000000003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190.68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4821.4799999999996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1029.6610169491526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29.255705084745763</v>
      </c>
      <c r="P12" s="311">
        <f t="shared" si="2"/>
        <v>5880.3967220338973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Abdullah Store</v>
      </c>
      <c r="T12" s="301">
        <f>+'10'!P35</f>
        <v>566.26289570974575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10</v>
      </c>
      <c r="I13" s="236">
        <f t="shared" si="0"/>
        <v>392.30000000000007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19.615000000000006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13.730500000000003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20.007300000000001</v>
      </c>
      <c r="M13" s="230">
        <f t="shared" si="1"/>
        <v>338.94720000000007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76.271186440677923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2.0760919322033899</v>
      </c>
      <c r="P13" s="311">
        <f t="shared" si="2"/>
        <v>417.29447837288137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Besta Store</v>
      </c>
      <c r="T13" s="301">
        <f>+'11'!P35</f>
        <v>566.26289570974575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Hafiz Store</v>
      </c>
      <c r="T14" s="301">
        <f>+'12'!P35</f>
        <v>566.26289570974575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Qadri Stiore</v>
      </c>
      <c r="T15" s="301">
        <f>+'13'!P35</f>
        <v>566.26289570974575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11.125</v>
      </c>
      <c r="H16" s="113">
        <f t="shared" ref="H16:M16" si="3">SUM(H7:H15)</f>
        <v>445</v>
      </c>
      <c r="I16" s="114">
        <f t="shared" si="3"/>
        <v>27450.762500000001</v>
      </c>
      <c r="J16" s="274">
        <f>SUM(J7:J15)</f>
        <v>2184.2919999999999</v>
      </c>
      <c r="K16" s="275">
        <f t="shared" si="3"/>
        <v>960.77668750000009</v>
      </c>
      <c r="L16" s="276">
        <f t="shared" si="3"/>
        <v>20.007300000000001</v>
      </c>
      <c r="M16" s="232">
        <f t="shared" si="3"/>
        <v>24285.686512499997</v>
      </c>
      <c r="N16" s="233">
        <f>SUM(N7:N15)</f>
        <v>5190.2542372881353</v>
      </c>
      <c r="O16" s="101">
        <f>SUM(O7:O15)</f>
        <v>147.37970374894067</v>
      </c>
      <c r="P16" s="113">
        <f>SUM(P7:P15)</f>
        <v>29623.320453537071</v>
      </c>
      <c r="Q16" s="128">
        <f>SUM(Q7:Q15)</f>
        <v>10</v>
      </c>
      <c r="R16" s="313">
        <v>14</v>
      </c>
      <c r="S16" s="315" t="str">
        <f>+'14'!A6:A6</f>
        <v>Sikander Store</v>
      </c>
      <c r="T16" s="301">
        <f>+'14'!P35</f>
        <v>283.13144785487287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27450.762500000001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2184.2919999999999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980.78398750000008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24285.6865125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5190.2542372881353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29475.940749788137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147.37970374894067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29623.320453537079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29623.320453537061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5" workbookViewId="0">
      <selection activeCell="F9" sqref="F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7.2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7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7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7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50</v>
      </c>
      <c r="I25" s="114">
        <f t="shared" ref="I25:M25" si="10">SUM(I16:I24)</f>
        <v>3228.4500000000003</v>
      </c>
      <c r="J25" s="274">
        <f>SUM(J16:J24)</f>
        <v>258.27600000000001</v>
      </c>
      <c r="K25" s="275">
        <f t="shared" si="10"/>
        <v>112.99575000000002</v>
      </c>
      <c r="L25" s="276">
        <f t="shared" si="10"/>
        <v>0</v>
      </c>
      <c r="M25" s="232">
        <f t="shared" si="10"/>
        <v>2857.1782500000004</v>
      </c>
      <c r="N25" s="233">
        <f>SUM(N16:N24)</f>
        <v>610.16949152542361</v>
      </c>
      <c r="O25" s="101">
        <f>SUM(O16:O24)</f>
        <v>17.336738707627116</v>
      </c>
      <c r="P25" s="234">
        <f>SUM(P16:P24)</f>
        <v>3484.6844802330511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3228.4500000000003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258.27600000000001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112.99575000000002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2857.1782500000004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610.16949152542361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3467.3477415254238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17.33673870762712</v>
      </c>
    </row>
    <row r="35" spans="2:16" ht="15.75" customHeight="1" thickBot="1" x14ac:dyDescent="0.4">
      <c r="N35" s="374" t="s">
        <v>88</v>
      </c>
      <c r="O35" s="375"/>
      <c r="P35" s="297">
        <f>+P33+P34</f>
        <v>3484.6844802330511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8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>
        <v>10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10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activeCell="F9" sqref="F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8.7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232.44799999999998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6" workbookViewId="0">
      <selection activeCell="F9" sqref="F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119">
        <f t="shared" si="5"/>
        <v>417.29447837288137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1118.7</v>
      </c>
      <c r="J25" s="274">
        <f>SUM(J16:J24)</f>
        <v>77.727000000000004</v>
      </c>
      <c r="K25" s="275">
        <f t="shared" si="7"/>
        <v>39.154500000000006</v>
      </c>
      <c r="L25" s="276">
        <f t="shared" si="7"/>
        <v>20.007300000000001</v>
      </c>
      <c r="M25" s="232">
        <f t="shared" si="7"/>
        <v>981.8112000000001</v>
      </c>
      <c r="N25" s="233">
        <f>SUM(N16:N24)</f>
        <v>213.55932203389827</v>
      </c>
      <c r="O25" s="101">
        <f>SUM(O16:O24)</f>
        <v>5.9768526101694919</v>
      </c>
      <c r="P25" s="234">
        <f>SUM(P16:P24)</f>
        <v>1201.3473746440677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1118.7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77.727000000000004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59.161800000000007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981.81119999999999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213.55932203389827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1195.3705220338982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5.976852610169491</v>
      </c>
    </row>
    <row r="35" spans="2:16" ht="15.75" customHeight="1" thickBot="1" x14ac:dyDescent="0.4">
      <c r="N35" s="374" t="s">
        <v>88</v>
      </c>
      <c r="O35" s="375"/>
      <c r="P35" s="297">
        <f>+P33+P34</f>
        <v>1201.3473746440677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G8" sqref="G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119">
        <f t="shared" ref="P17:P24" si="5">M17+N17+O17</f>
        <v>2265.051582838983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119">
        <f t="shared" si="5"/>
        <v>2265.051582838983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240</v>
      </c>
      <c r="I25" s="114">
        <f t="shared" si="7"/>
        <v>15012.300000000001</v>
      </c>
      <c r="J25" s="274">
        <f>SUM(J16:J24)</f>
        <v>1200.9839999999999</v>
      </c>
      <c r="K25" s="275">
        <f t="shared" si="7"/>
        <v>525.43050000000005</v>
      </c>
      <c r="L25" s="276">
        <f t="shared" si="7"/>
        <v>0</v>
      </c>
      <c r="M25" s="232">
        <f t="shared" si="7"/>
        <v>13285.8855</v>
      </c>
      <c r="N25" s="233">
        <f>SUM(N16:N24)</f>
        <v>2837.2881355932195</v>
      </c>
      <c r="O25" s="101">
        <f>SUM(O16:O24)</f>
        <v>80.615868177966092</v>
      </c>
      <c r="P25" s="234">
        <f>SUM(P16:P24)</f>
        <v>16203.789503771186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15012.300000000001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1200.9839999999999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525.43050000000005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13285.8855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16123.173635593219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80.615868177966092</v>
      </c>
    </row>
    <row r="35" spans="2:16" ht="15.75" customHeight="1" thickBot="1" x14ac:dyDescent="0.4">
      <c r="N35" s="374" t="s">
        <v>88</v>
      </c>
      <c r="O35" s="375"/>
      <c r="P35" s="297">
        <f>+P33+P34</f>
        <v>16203.789503771184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F9" sqref="F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4" workbookViewId="0">
      <selection activeCell="F9" sqref="F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19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J11" sqref="J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F9" sqref="F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5</v>
      </c>
      <c r="I16" s="235">
        <f>(G16*D16)*F16+H16*F16</f>
        <v>262.3125</v>
      </c>
      <c r="J16" s="271">
        <f>$I16*S16</f>
        <v>20.984999999999999</v>
      </c>
      <c r="K16" s="127">
        <f>$I16*T16</f>
        <v>9.1809375000000006</v>
      </c>
      <c r="L16" s="118">
        <f>$I16*U16</f>
        <v>0</v>
      </c>
      <c r="M16" s="229">
        <f>I16-SUM(J16:L16)</f>
        <v>232.14656250000002</v>
      </c>
      <c r="N16" s="248">
        <f>+(G16*D16+H16)*V16</f>
        <v>49.576271186440657</v>
      </c>
      <c r="O16" s="238">
        <f>(N16+M16)*$O$15</f>
        <v>1.4086141684322033</v>
      </c>
      <c r="P16" s="118">
        <f>M16+N16+O16</f>
        <v>283.13144785487287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119">
        <f t="shared" ref="P17:P24" si="5">M17+N17+O17</f>
        <v>283.13144785487287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F9" sqref="F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525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5</v>
      </c>
      <c r="I16" s="235">
        <f>(G16*D16)*F16+H16*F16</f>
        <v>262.3125</v>
      </c>
      <c r="J16" s="271">
        <f>$I16*S16</f>
        <v>20.984999999999999</v>
      </c>
      <c r="K16" s="127">
        <f>$I16*T16</f>
        <v>9.1809375000000006</v>
      </c>
      <c r="L16" s="118">
        <f>$I16*U16</f>
        <v>0</v>
      </c>
      <c r="M16" s="229">
        <f>I16-SUM(J16:L16)</f>
        <v>232.14656250000002</v>
      </c>
      <c r="N16" s="248">
        <f>+(G16*D16+H16)*V16</f>
        <v>49.576271186440657</v>
      </c>
      <c r="O16" s="238">
        <f>(N16+M16)*$O$15</f>
        <v>1.4086141684322033</v>
      </c>
      <c r="P16" s="118">
        <f>M16+N16+O16</f>
        <v>283.13144785487287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119">
        <f t="shared" ref="P17:P24" si="5">M17+N17+O17</f>
        <v>283.13144785487287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F9" sqref="F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526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5</v>
      </c>
      <c r="I16" s="235">
        <f>(G16*D16)*F16+H16*F16</f>
        <v>262.3125</v>
      </c>
      <c r="J16" s="271">
        <f>$I16*S16</f>
        <v>20.984999999999999</v>
      </c>
      <c r="K16" s="127">
        <f>$I16*T16</f>
        <v>9.1809375000000006</v>
      </c>
      <c r="L16" s="118">
        <f>$I16*U16</f>
        <v>0</v>
      </c>
      <c r="M16" s="229">
        <f>I16-SUM(J16:L16)</f>
        <v>232.14656250000002</v>
      </c>
      <c r="N16" s="248">
        <f>+(G16*D16+H16)*V16</f>
        <v>49.576271186440657</v>
      </c>
      <c r="O16" s="238">
        <f>(N16+M16)*$O$15</f>
        <v>1.4086141684322033</v>
      </c>
      <c r="P16" s="118">
        <f>M16+N16+O16</f>
        <v>283.13144785487287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119">
        <f t="shared" ref="P17:P24" si="5">M17+N17+O17</f>
        <v>283.13144785487287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E6" sqref="E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527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5</v>
      </c>
      <c r="I16" s="235">
        <f>(G16*D16)*F16+H16*F16</f>
        <v>262.3125</v>
      </c>
      <c r="J16" s="271">
        <f>$I16*S16</f>
        <v>20.984999999999999</v>
      </c>
      <c r="K16" s="127">
        <f>$I16*T16</f>
        <v>9.1809375000000006</v>
      </c>
      <c r="L16" s="118">
        <f>$I16*U16</f>
        <v>0</v>
      </c>
      <c r="M16" s="229">
        <f>I16-SUM(J16:L16)</f>
        <v>232.14656250000002</v>
      </c>
      <c r="N16" s="248">
        <f>+(G16*D16+H16)*V16</f>
        <v>49.576271186440657</v>
      </c>
      <c r="O16" s="238">
        <f>(N16+M16)*$O$15</f>
        <v>1.4086141684322033</v>
      </c>
      <c r="P16" s="118">
        <f>M16+N16+O16</f>
        <v>283.13144785487287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119">
        <f t="shared" ref="P17:P24" si="5">M17+N17+O17</f>
        <v>283.13144785487287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20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528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5</v>
      </c>
      <c r="I18" s="236">
        <f t="shared" si="0"/>
        <v>262.3125</v>
      </c>
      <c r="J18" s="272">
        <f t="shared" si="1"/>
        <v>20.984999999999999</v>
      </c>
      <c r="K18" s="128">
        <f t="shared" si="1"/>
        <v>9.1809375000000006</v>
      </c>
      <c r="L18" s="119">
        <f t="shared" si="1"/>
        <v>0</v>
      </c>
      <c r="M18" s="230">
        <f t="shared" si="2"/>
        <v>232.14656250000002</v>
      </c>
      <c r="N18" s="277">
        <f t="shared" si="3"/>
        <v>49.576271186440657</v>
      </c>
      <c r="O18" s="239">
        <f t="shared" si="4"/>
        <v>1.4086141684322033</v>
      </c>
      <c r="P18" s="119">
        <f t="shared" si="5"/>
        <v>283.13144785487287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234">
        <f>SUM(P16:P24)</f>
        <v>283.13144785487287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262.3125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20.984999999999999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9.1809375000000006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232.14656249999999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281.72283368644065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74" t="s">
        <v>88</v>
      </c>
      <c r="O35" s="375"/>
      <c r="P35" s="297">
        <f>+P33+P34</f>
        <v>283.13144785487287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46276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46275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2026-09-10T11:03:21Z</dcterms:modified>
</cp:coreProperties>
</file>