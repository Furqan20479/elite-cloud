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0646D86-A82A-4634-9770-7DCF0719481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M20" i="61" s="1"/>
  <c r="O20" i="61" s="1"/>
  <c r="P20" i="61" s="1"/>
  <c r="R20" i="61" s="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16" i="60"/>
  <c r="M16" i="59"/>
  <c r="O16" i="59" s="1"/>
  <c r="P16" i="59" s="1"/>
  <c r="M20" i="57"/>
  <c r="O20" i="57" s="1"/>
  <c r="P20" i="57" s="1"/>
  <c r="R20" i="57" s="1"/>
  <c r="M17" i="56"/>
  <c r="O17" i="56" s="1"/>
  <c r="P17" i="56" s="1"/>
  <c r="M21" i="53"/>
  <c r="O21" i="53" s="1"/>
  <c r="P21" i="53" s="1"/>
  <c r="M20" i="53"/>
  <c r="O20" i="53" s="1"/>
  <c r="P20" i="53" s="1"/>
  <c r="R20" i="53" s="1"/>
  <c r="M18" i="53"/>
  <c r="O18" i="53" s="1"/>
  <c r="P18" i="53" s="1"/>
  <c r="M21" i="52"/>
  <c r="O21" i="52" s="1"/>
  <c r="P21" i="52" s="1"/>
  <c r="M21" i="51"/>
  <c r="M16" i="48"/>
  <c r="M21" i="47"/>
  <c r="O21" i="47" s="1"/>
  <c r="P21" i="47" s="1"/>
  <c r="M20" i="47"/>
  <c r="O20" i="47" s="1"/>
  <c r="P20" i="47" s="1"/>
  <c r="R20" i="47" s="1"/>
  <c r="J7" i="62"/>
  <c r="K12" i="62"/>
  <c r="M21" i="44"/>
  <c r="O21" i="44" s="1"/>
  <c r="P21" i="44" s="1"/>
  <c r="M17" i="44"/>
  <c r="O17" i="44" s="1"/>
  <c r="P17" i="44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<sst xmlns="http://schemas.openxmlformats.org/spreadsheetml/2006/main" count="3948" uniqueCount="536">
  <si>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</si>
  <si>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</si>
  <si>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</si>
  <si>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</si>
  <si>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</si>
  <si>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</si>
  <si>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</si>
  <si>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</si>
  <si>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</si>
  <si>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</si>
  <si>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</si>
  <si>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</si>
  <si>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</si>
  <si>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</si>
  <si>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</si>
  <si>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</si>
  <si>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</si>
  <si>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</si>
  <si>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</si>
  <si>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</si>
  <si>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</si>
  <si>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</si>
  <si>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</si>
  <si>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</si>
  <si>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</si>
  <si>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</si>
  <si>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</si>
  <si>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</si>
  <si>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</si>
  <si>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</si>
  <si>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</si>
  <si>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</si>
  <si>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</si>
  <si>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</si>
  <si>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</si>
  <si>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</si>
  <si>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</si>
  <si>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</si>
  <si>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</si>
  <si>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</si>
  <si>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</si>
  <si>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</si>
  <si>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</si>
  <si>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</si>
  <si>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</si>
  <si>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</si>
  <si>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</si>
  <si>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</si>
  <si>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</si>
  <si>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</si>
  <si>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</si>
  <si>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</si>
  <si>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</si>
  <si>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</si>
  <si>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</si>
  <si>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</si>
  <si>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</si>
  <si>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</si>
  <si>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</si>
  <si>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</si>
  <si>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</si>
  <si>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</si>
  <si>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</si>
  <si>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</si>
  <si>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</si>
  <si>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</si>
  <si>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</si>
  <si>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</si>
  <si>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</si>
  <si>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</si>
  <si>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</si>
  <si>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</si>
  <si>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</si>
  <si>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</si>
  <si>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</si>
  <si>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</si>
  <si>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</si>
  <si>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</si>
  <si>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</si>
  <si>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</si>
  <si>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</si>
  <si>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</si>
  <si>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</si>
  <si>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</si>
  <si>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</si>
  <si>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</si>
  <si>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</si>
  <si>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</si>
  <si>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</si>
  <si>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</si>
  <si>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</si>
  <si>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</si>
  <si>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</si>
  <si>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</si>
  <si>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</si>
  <si>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</si>
  <si>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</si>
  <si>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</si>
  <si>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</si>
  <si>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</si>
  <si>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</si>
  <si>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</si>
  <si>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</si>
  <si>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</si>
  <si>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</si>
  <si>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</si>
  <si>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</si>
  <si>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</si>
  <si>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</si>
  <si>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</si>
  <si>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</si>
  <si>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</si>
  <si>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</si>
  <si>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</si>
  <si>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</si>
  <si>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</si>
  <si>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</si>
  <si>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</si>
  <si>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</si>
  <si>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</si>
  <si>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</si>
  <si>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</si>
  <si>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</si>
  <si>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</si>
  <si>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</si>
  <si>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</si>
  <si>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</si>
  <si>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</si>
  <si>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</si>
  <si>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</si>
  <si>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</si>
  <si>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</si>
  <si>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</si>
  <si>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</si>
  <si>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</si>
  <si>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</si>
  <si>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</si>
  <si>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</si>
  <si>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</si>
  <si>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</si>
  <si>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</si>
  <si>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</si>
  <si>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</si>
  <si>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</si>
  <si>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</si>
  <si>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</si>
  <si>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</si>
  <si>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</si>
  <si>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</si>
  <si>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</si>
  <si>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</si>
  <si>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</si>
  <si>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</si>
  <si>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</si>
  <si>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</si>
  <si>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</si>
  <si>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</si>
  <si>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</si>
  <si>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</si>
  <si>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</si>
  <si>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</si>
  <si>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</si>
  <si>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</si>
  <si>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</si>
  <si>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</si>
  <si>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</si>
  <si>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</si>
  <si>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</si>
  <si>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</si>
  <si>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</si>
  <si>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</si>
  <si>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</si>
  <si>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</si>
  <si>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</si>
  <si>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</si>
  <si>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</si>
  <si>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</si>
  <si>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</si>
  <si>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</si>
  <si>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</si>
  <si>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</si>
  <si>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</si>
  <si>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</si>
  <si>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</si>
  <si>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</si>
  <si>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</si>
  <si>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</si>
  <si>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</si>
  <si>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</si>
  <si>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</si>
  <si>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</si>
  <si>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</si>
  <si>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</si>
  <si>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</si>
  <si>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</si>
  <si>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</si>
  <si>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</si>
  <si>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</si>
  <si>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</si>
  <si>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</si>
  <si>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</si>
  <si>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</si>
  <si>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</si>
  <si>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</si>
  <si>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</si>
  <si>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</si>
  <si>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</si>
  <si>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</si>
  <si>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</si>
  <si>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</si>
  <si>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</si>
  <si>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</si>
  <si>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</si>
  <si>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</si>
  <si>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</si>
  <si>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</si>
  <si>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</si>
  <si>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</si>
  <si>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</si>
  <si>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</si>
  <si>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</si>
  <si>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</si>
  <si>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</si>
  <si>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</si>
  <si>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</si>
  <si>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</si>
  <si>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</si>
  <si>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</si>
  <si>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</si>
  <si>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</si>
  <si>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</si>
  <si>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</si>
  <si>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</si>
  <si>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</si>
  <si>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</si>
  <si>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</si>
  <si>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</si>
  <si>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</si>
  <si>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</si>
  <si>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</si>
  <si>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</si>
  <si>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</si>
  <si>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</si>
  <si>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</si>
  <si>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</si>
  <si>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</si>
  <si>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</si>
  <si>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</si>
  <si>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</si>
  <si>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</si>
  <si>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</si>
  <si>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</si>
  <si>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</si>
  <si>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</si>
  <si>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</si>
  <si>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</si>
  <si>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</si>
  <si>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</si>
  <si>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</si>
  <si>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</si>
  <si>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</si>
  <si>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</si>
  <si>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</si>
  <si>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</si>
  <si>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</si>
  <si>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</si>
  <si>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</si>
  <si>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</si>
  <si>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</si>
  <si>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</si>
  <si>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</si>
  <si>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</si>
  <si>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</si>
  <si>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</si>
  <si>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</si>
  <si>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</si>
  <si>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</si>
  <si>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</si>
  <si>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</si>
  <si>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</si>
  <si>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</si>
  <si>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</si>
  <si>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</si>
  <si>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</si>
  <si>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</si>
  <si>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</si>
  <si>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</si>
  <si>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</si>
  <si>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</si>
  <si>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</si>
  <si>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</si>
  <si>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</si>
  <si>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</si>
  <si>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</si>
  <si>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</si>
  <si>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</si>
  <si>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</si>
  <si>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</si>
  <si>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</si>
  <si>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</si>
  <si>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</si>
  <si>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</si>
  <si>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</si>
  <si>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</si>
  <si>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</si>
  <si>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</si>
  <si>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</si>
  <si>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</si>
  <si>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</si>
  <si>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</si>
  <si>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</si>
  <si>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</si>
  <si>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</si>
  <si>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</si>
  <si>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</si>
  <si>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</si>
  <si>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</si>
  <si>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</si>
  <si>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</si>
  <si>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</si>
  <si>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</si>
  <si>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</si>
  <si>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</si>
  <si>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</si>
  <si>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</si>
  <si>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</si>
  <si>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</si>
  <si>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</si>
  <si>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</si>
  <si>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</si>
  <si>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</si>
  <si>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</si>
  <si>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</si>
  <si>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</si>
  <si>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</si>
  <si>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</si>
  <si>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</si>
  <si>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</si>
  <si>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</si>
  <si>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</si>
  <si>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</si>
  <si>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</si>
  <si>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</si>
  <si>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</si>
  <si>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</si>
  <si>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</si>
  <si>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</si>
  <si>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</si>
  <si>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</si>
  <si>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</si>
  <si>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</si>
  <si>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</si>
  <si>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</si>
  <si>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</si>
  <si>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</si>
  <si>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</si>
  <si>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</si>
  <si>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</si>
  <si>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</si>
  <si>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</si>
  <si>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</si>
  <si>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</si>
  <si>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</si>
  <si>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</si>
  <si>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</si>
  <si>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</si>
  <si>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</si>
  <si>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</si>
  <si>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</si>
  <si>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</si>
  <si>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</si>
  <si>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</si>
  <si>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</si>
  <si>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</si>
  <si>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</si>
  <si>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</si>
  <si>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</si>
  <si>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</si>
  <si>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</si>
  <si>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</si>
  <si>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</si>
  <si>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</si>
  <si>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</si>
  <si>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</si>
  <si>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</si>
  <si>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</si>
  <si>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</si>
  <si>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</si>
  <si>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</si>
  <si>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</si>
  <si>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</si>
  <si>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</si>
  <si>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</si>
  <si>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</si>
  <si>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</si>
  <si>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</si>
  <si>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</si>
  <si>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</si>
  <si>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</si>
  <si>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</si>
  <si>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</si>
  <si>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</si>
  <si>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</si>
  <si>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</si>
  <si>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</si>
  <si>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</si>
  <si>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</si>
  <si>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</si>
  <si>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</si>
  <si>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</si>
  <si>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</si>
  <si>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</si>
  <si>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</si>
  <si>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</si>
  <si>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</si>
  <si>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</si>
  <si>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</si>
  <si>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</si>
  <si>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</si>
  <si>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</si>
  <si>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</si>
  <si>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</si>
  <si>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</si>
  <si>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</si>
  <si>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</si>
  <si>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</si>
  <si>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</si>
  <si>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</si>
  <si>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</si>
  <si>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</si>
  <si>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</si>
  <si>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</si>
  <si>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</si>
  <si>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</si>
  <si>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</si>
  <si>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</si>
  <si>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</si>
  <si>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</si>
  <si>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</si>
  <si>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</si>
  <si>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</si>
  <si>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</si>
  <si>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</si>
  <si>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</si>
  <si>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</si>
  <si>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</si>
  <si>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</si>
  <si>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</si>
  <si>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</si>
  <si>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</si>
  <si>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</si>
  <si>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</si>
  <si>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</si>
  <si>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</si>
  <si>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</si>
  <si>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</si>
  <si>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</si>
  <si>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</si>
  <si>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</si>
  <si>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</si>
  <si>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</si>
  <si>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</si>
  <si>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</si>
  <si>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</si>
  <si>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</si>
  <si>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</si>
  <si>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</si>
  <si>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</si>
  <si>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</si>
  <si>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</si>
  <si>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</si>
  <si>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</si>
  <si>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</si>
  <si>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</si>
  <si>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</si>
  <si>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</si>
  <si>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</si>
  <si>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</si>
  <si>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</si>
  <si>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</si>
  <si>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</si>
  <si>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</si>
  <si>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</si>
  <si>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</si>
  <si>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</si>
  <si>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</si>
  <si>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</si>
  <si>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</si>
  <si>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</si>
  <si>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</si>
  <si>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</si>
  <si>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</si>
  <si>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</si>
  <si>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</si>
  <si>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</si>
  <si>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</si>
  <si>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</si>
  <si>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</si>
  <si>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</si>
  <si>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</si>
  <si>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</si>
  <si>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</si>
  <si>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</si>
  <si>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</si>
  <si>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</si>
  <si>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</si>
  <si>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</si>
  <si>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</si>
  <si>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</si>
  <si>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</si>
  <si>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</si>
  <si>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</si>
  <si>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</si>
  <si>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</si>
  <si>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Dhrampura</t>
  </si>
  <si>
    <t>Khuram Store</t>
  </si>
  <si>
    <t>Mehroz Store</t>
  </si>
  <si>
    <t>Rao Store</t>
  </si>
  <si>
    <t>Khan Store</t>
  </si>
  <si>
    <t>Al Madina Store</t>
  </si>
  <si>
    <t>Hadi Store</t>
  </si>
  <si>
    <t>Al Rehman Store</t>
  </si>
  <si>
    <t>Bilal Store</t>
  </si>
  <si>
    <t>Zesahn GS</t>
  </si>
  <si>
    <t>Munah GS</t>
  </si>
  <si>
    <t>Faisal GS</t>
  </si>
  <si>
    <t>Babu GS</t>
  </si>
  <si>
    <t>Kashmir Store</t>
  </si>
  <si>
    <t>Ashir Store</t>
  </si>
  <si>
    <t>Bhai Bhai Store</t>
  </si>
  <si>
    <t>Sohail Gs</t>
  </si>
  <si>
    <t>Butt Store</t>
  </si>
  <si>
    <t>Ayyan Khan Store</t>
  </si>
  <si>
    <t>Honey Store</t>
  </si>
  <si>
    <t>Waleed Store</t>
  </si>
  <si>
    <t>Misam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</si>
</sst>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6" sqref="J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Khuram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Mehroz Store</v>
      </c>
      <c r="T4" s="301">
        <f>+'2'!P35</f>
        <v>1393.8737920932199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Rao Store</v>
      </c>
      <c r="T5" s="301">
        <f>+'3'!P35</f>
        <v>1393.8737920932199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1393.8737920932199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73.447500000000019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11.268913347457625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Madina Store</v>
      </c>
      <c r="T7" s="301">
        <f>+'5'!P35</f>
        <v>1393.8737920932199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73.447500000000019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11.268913347457625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Hadi Store</v>
      </c>
      <c r="T8" s="301">
        <f>+'6'!P35</f>
        <v>1393.8737920932199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3714.3449999999998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Rehman Store</v>
      </c>
      <c r="T9" s="301">
        <f>+'7'!P35</f>
        <v>1393.8737920932199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5142.9119999999994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31.206085423728808</v>
      </c>
      <c r="P10" s="311">
        <f t="shared" si="2"/>
        <v>6272.4231701694907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Bilal Store</v>
      </c>
      <c r="T10" s="301">
        <f>+'8'!P35</f>
        <v>1393.8737920932199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5142.9119999999994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31.206085423728808</v>
      </c>
      <c r="P11" s="311">
        <f t="shared" si="2"/>
        <v>6272.4231701694907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Zesahn GS</v>
      </c>
      <c r="T11" s="301">
        <f>+'9'!P35</f>
        <v>1393.8737920932199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5142.9119999999994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31.206085423728808</v>
      </c>
      <c r="P12" s="311">
        <f t="shared" si="2"/>
        <v>6272.4231701694907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Munah GS</v>
      </c>
      <c r="T12" s="301">
        <f>+'10'!P35</f>
        <v>1393.8737920932199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Faisal GS</v>
      </c>
      <c r="T13" s="301">
        <f>+'11'!P35</f>
        <v>1393.8737920932199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Babu GS</v>
      </c>
      <c r="T14" s="301">
        <f>+'12'!P35</f>
        <v>1393.8737920932199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Kashmir Store</v>
      </c>
      <c r="T15" s="301">
        <f>+'13'!P35</f>
        <v>1393.8737920932199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</v>
      </c>
      <c r="H16" s="113">
        <f t="shared" ref="H16:M16" si="3">SUM(H7:H15)</f>
        <v>480</v>
      </c>
      <c r="I16" s="114">
        <f t="shared" si="3"/>
        <v>28966.000000000004</v>
      </c>
      <c r="J16" s="274">
        <f>SUM(J7:J15)</f>
        <v>2223.1280000000006</v>
      </c>
      <c r="K16" s="275">
        <f t="shared" si="3"/>
        <v>1013.8100000000003</v>
      </c>
      <c r="L16" s="276">
        <f t="shared" si="3"/>
        <v>160.05840000000001</v>
      </c>
      <c r="M16" s="232">
        <f t="shared" si="3"/>
        <v>25569.0036</v>
      </c>
      <c r="N16" s="233">
        <f>SUM(N7:N15)</f>
        <v>5491.5254237288118</v>
      </c>
      <c r="O16" s="101">
        <f>SUM(O7:O15)</f>
        <v>155.30264511864405</v>
      </c>
      <c r="P16" s="113">
        <f>SUM(P7:P15)</f>
        <v>31215.831668847455</v>
      </c>
      <c r="Q16" s="128">
        <f>SUM(Q7:Q15)</f>
        <v>0</v>
      </c>
      <c r="R16" s="313">
        <v>14</v>
      </c>
      <c r="S16" s="315" t="str">
        <f>+'14'!A6:A6</f>
        <v>Ashir Store</v>
      </c>
      <c r="T16" s="301">
        <f>+'14'!P35</f>
        <v>1393.8737920932199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Bhai Bhai Store</v>
      </c>
      <c r="T17" s="301">
        <f>+'15'!P35</f>
        <v>1393.8737920932199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Sohail Gs</v>
      </c>
      <c r="T18" s="301">
        <f>+'16'!P35</f>
        <v>940.86347552542372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28966.000000000004</v>
      </c>
      <c r="R19" s="299">
        <v>17</v>
      </c>
      <c r="S19" s="300" t="str">
        <f>+'17'!A6:A6</f>
        <v>Butt Store</v>
      </c>
      <c r="T19" s="301">
        <f>+'17'!P35</f>
        <v>2352.1586888135594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2223.1280000000006</v>
      </c>
      <c r="R20" s="299">
        <v>18</v>
      </c>
      <c r="S20" s="300" t="str">
        <f>+'18'!A6:A6</f>
        <v>Ayyan Khan Store</v>
      </c>
      <c r="T20" s="301">
        <f>+'18'!P35</f>
        <v>1359.0309497033895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1173.8684000000003</v>
      </c>
      <c r="R21" s="299">
        <v>19</v>
      </c>
      <c r="S21" s="300" t="str">
        <f>+'19'!A6:A6</f>
        <v>Honey Store</v>
      </c>
      <c r="T21" s="301">
        <f>+'19'!P35</f>
        <v>1359.0309497033895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25569.003600000004</v>
      </c>
      <c r="R22" s="299">
        <v>20</v>
      </c>
      <c r="S22" s="300" t="str">
        <f>+'20'!A6:A6</f>
        <v>Waleed Store</v>
      </c>
      <c r="T22" s="301">
        <f>+'20'!P35</f>
        <v>2352.1586888135594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5491.5254237288118</v>
      </c>
      <c r="R23" s="299">
        <v>21</v>
      </c>
      <c r="S23" s="300" t="str">
        <f>+'21'!A6:A6</f>
        <v>Misam Store</v>
      </c>
      <c r="T23" s="301">
        <f>+'21'!P35</f>
        <v>1669.1779134915255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31060.529023728814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155.30264511864405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31215.831668847459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31215.831668847452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2026-09-09T11:54:19Z</dcterms:modified>
</cp:coreProperties>
</file>