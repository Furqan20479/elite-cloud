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DDC5990-6708-41E0-A1ED-F83810BAF49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22" i="43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<sst xmlns="http://schemas.openxmlformats.org/spreadsheetml/2006/main" count="3948" uniqueCount="520">
  <si>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</si>
  <si>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</si>
  <si>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</si>
  <si>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</si>
  <si>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</si>
  <si>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</si>
  <si>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</si>
  <si>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</si>
  <si>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</si>
  <si>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</si>
  <si>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</si>
  <si>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</si>
  <si>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</si>
  <si>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</si>
  <si>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</si>
  <si>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</si>
  <si>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</si>
  <si>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</si>
  <si>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</si>
  <si>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</si>
  <si>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</si>
  <si>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</si>
  <si>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</si>
  <si>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</si>
  <si>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</si>
  <si>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</si>
  <si>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</si>
  <si>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</si>
  <si>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</si>
  <si>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</si>
  <si>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</si>
  <si>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</si>
  <si>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</si>
  <si>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</si>
  <si>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</si>
  <si>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</si>
  <si>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</si>
  <si>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</si>
  <si>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</si>
  <si>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</si>
  <si>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</si>
  <si>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</si>
  <si>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</si>
  <si>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</si>
  <si>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</si>
  <si>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</si>
  <si>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</si>
  <si>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</si>
  <si>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</si>
  <si>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</si>
  <si>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</si>
  <si>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</si>
  <si>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</si>
  <si>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</si>
  <si>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</si>
  <si>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</si>
  <si>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</si>
  <si>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</si>
  <si>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</si>
  <si>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</si>
  <si>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</si>
  <si>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</si>
  <si>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</si>
  <si>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</si>
  <si>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</si>
  <si>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</si>
  <si>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</si>
  <si>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</si>
  <si>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</si>
  <si>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</si>
  <si>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</si>
  <si>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</si>
  <si>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</si>
  <si>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</si>
  <si>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</si>
  <si>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</si>
  <si>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</si>
  <si>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</si>
  <si>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</si>
  <si>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</si>
  <si>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</si>
  <si>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</si>
  <si>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</si>
  <si>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</si>
  <si>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</si>
  <si>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</si>
  <si>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</si>
  <si>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</si>
  <si>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</si>
  <si>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</si>
  <si>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</si>
  <si>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</si>
  <si>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</si>
  <si>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</si>
  <si>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</si>
  <si>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</si>
  <si>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</si>
  <si>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</si>
  <si>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</si>
  <si>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</si>
  <si>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</si>
  <si>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</si>
  <si>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</si>
  <si>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</si>
  <si>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</si>
  <si>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</si>
  <si>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</si>
  <si>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</si>
  <si>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</si>
  <si>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</si>
  <si>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</si>
  <si>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</si>
  <si>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</si>
  <si>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</si>
  <si>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</si>
  <si>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</si>
  <si>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</si>
  <si>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</si>
  <si>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</si>
  <si>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</si>
  <si>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</si>
  <si>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</si>
  <si>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</si>
  <si>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</si>
  <si>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</si>
  <si>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</si>
  <si>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</si>
  <si>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</si>
  <si>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</si>
  <si>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</si>
  <si>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</si>
  <si>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</si>
  <si>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</si>
  <si>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</si>
  <si>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</si>
  <si>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</si>
  <si>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</si>
  <si>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</si>
  <si>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</si>
  <si>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</si>
  <si>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</si>
  <si>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</si>
  <si>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</si>
  <si>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</si>
  <si>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</si>
  <si>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</si>
  <si>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</si>
  <si>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</si>
  <si>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</si>
  <si>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</si>
  <si>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</si>
  <si>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</si>
  <si>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</si>
  <si>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</si>
  <si>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</si>
  <si>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</si>
  <si>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</si>
  <si>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</si>
  <si>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</si>
  <si>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</si>
  <si>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</si>
  <si>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</si>
  <si>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</si>
  <si>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</si>
  <si>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</si>
  <si>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</si>
  <si>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</si>
  <si>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</si>
  <si>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</si>
  <si>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</si>
  <si>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</si>
  <si>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</si>
  <si>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</si>
  <si>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</si>
  <si>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</si>
  <si>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</si>
  <si>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</si>
  <si>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</si>
  <si>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</si>
  <si>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</si>
  <si>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</si>
  <si>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</si>
  <si>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</si>
  <si>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</si>
  <si>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</si>
  <si>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</si>
  <si>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</si>
  <si>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</si>
  <si>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</si>
  <si>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</si>
  <si>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</si>
  <si>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</si>
  <si>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</si>
  <si>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</si>
  <si>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</si>
  <si>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</si>
  <si>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</si>
  <si>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</si>
  <si>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</si>
  <si>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</si>
  <si>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</si>
  <si>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</si>
  <si>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</si>
  <si>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</si>
  <si>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</si>
  <si>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</si>
  <si>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</si>
  <si>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</si>
  <si>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</si>
  <si>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</si>
  <si>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</si>
  <si>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</si>
  <si>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</si>
  <si>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</si>
  <si>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</si>
  <si>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</si>
  <si>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</si>
  <si>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</si>
  <si>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</si>
  <si>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</si>
  <si>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</si>
  <si>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</si>
  <si>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</si>
  <si>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</si>
  <si>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</si>
  <si>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</si>
  <si>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</si>
  <si>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</si>
  <si>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</si>
  <si>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</si>
  <si>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</si>
  <si>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</si>
  <si>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</si>
  <si>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</si>
  <si>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</si>
  <si>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</si>
  <si>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</si>
  <si>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</si>
  <si>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</si>
  <si>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</si>
  <si>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</si>
  <si>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</si>
  <si>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</si>
  <si>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</si>
  <si>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</si>
  <si>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</si>
  <si>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</si>
  <si>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</si>
  <si>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</si>
  <si>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</si>
  <si>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</si>
  <si>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</si>
  <si>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</si>
  <si>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</si>
  <si>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</si>
  <si>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</si>
  <si>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</si>
  <si>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</si>
  <si>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</si>
  <si>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</si>
  <si>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</si>
  <si>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</si>
  <si>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</si>
  <si>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</si>
  <si>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</si>
  <si>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</si>
  <si>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</si>
  <si>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</si>
  <si>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</si>
  <si>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</si>
  <si>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</si>
  <si>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</si>
  <si>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</si>
  <si>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</si>
  <si>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</si>
  <si>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</si>
  <si>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</si>
  <si>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</si>
  <si>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</si>
  <si>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</si>
  <si>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</si>
  <si>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</si>
  <si>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</si>
  <si>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</si>
  <si>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</si>
  <si>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</si>
  <si>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</si>
  <si>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</si>
  <si>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</si>
  <si>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</si>
  <si>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</si>
  <si>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</si>
  <si>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</si>
  <si>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</si>
  <si>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</si>
  <si>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</si>
  <si>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</si>
  <si>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</si>
  <si>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</si>
  <si>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</si>
  <si>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</si>
  <si>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</si>
  <si>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</si>
  <si>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</si>
  <si>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</si>
  <si>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</si>
  <si>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</si>
  <si>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</si>
  <si>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</si>
  <si>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</si>
  <si>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</si>
  <si>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</si>
  <si>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</si>
  <si>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</si>
  <si>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</si>
  <si>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</si>
  <si>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</si>
  <si>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</si>
  <si>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</si>
  <si>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</si>
  <si>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</si>
  <si>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</si>
  <si>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</si>
  <si>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</si>
  <si>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</si>
  <si>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</si>
  <si>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</si>
  <si>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</si>
  <si>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</si>
  <si>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</si>
  <si>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</si>
  <si>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</si>
  <si>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</si>
  <si>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</si>
  <si>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</si>
  <si>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</si>
  <si>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</si>
  <si>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</si>
  <si>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</si>
  <si>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</si>
  <si>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</si>
  <si>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</si>
  <si>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</si>
  <si>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</si>
  <si>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</si>
  <si>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</si>
  <si>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</si>
  <si>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</si>
  <si>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</si>
  <si>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</si>
  <si>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</si>
  <si>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</si>
  <si>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</si>
  <si>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</si>
  <si>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</si>
  <si>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</si>
  <si>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</si>
  <si>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</si>
  <si>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</si>
  <si>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</si>
  <si>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</si>
  <si>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</si>
  <si>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</si>
  <si>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</si>
  <si>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</si>
  <si>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</si>
  <si>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</si>
  <si>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</si>
  <si>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</si>
  <si>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</si>
  <si>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</si>
  <si>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</si>
  <si>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</si>
  <si>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</si>
  <si>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</si>
  <si>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</si>
  <si>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</si>
  <si>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</si>
  <si>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</si>
  <si>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</si>
  <si>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</si>
  <si>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</si>
  <si>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</si>
  <si>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</si>
  <si>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</si>
  <si>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</si>
  <si>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</si>
  <si>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</si>
  <si>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</si>
  <si>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</si>
  <si>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</si>
  <si>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</si>
  <si>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</si>
  <si>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</si>
  <si>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</si>
  <si>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</si>
  <si>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</si>
  <si>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</si>
  <si>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</si>
  <si>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</si>
  <si>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</si>
  <si>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</si>
  <si>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</si>
  <si>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</si>
  <si>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</si>
  <si>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</si>
  <si>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</si>
  <si>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</si>
  <si>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</si>
  <si>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</si>
  <si>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</si>
  <si>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</si>
  <si>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</si>
  <si>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</si>
  <si>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</si>
  <si>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</si>
  <si>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</si>
  <si>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</si>
  <si>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</si>
  <si>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</si>
  <si>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</si>
  <si>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</si>
  <si>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</si>
  <si>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</si>
  <si>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</si>
  <si>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</si>
  <si>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</si>
  <si>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</si>
  <si>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</si>
  <si>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</si>
  <si>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</si>
  <si>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</si>
  <si>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</si>
  <si>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</si>
  <si>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</si>
  <si>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</si>
  <si>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</si>
  <si>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</si>
  <si>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</si>
  <si>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</si>
  <si>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</si>
  <si>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</si>
  <si>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</si>
  <si>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</si>
  <si>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</si>
  <si>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</si>
  <si>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</si>
  <si>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</si>
  <si>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</si>
  <si>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</si>
  <si>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</si>
  <si>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</si>
  <si>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</si>
  <si>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</si>
  <si>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</si>
  <si>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</si>
  <si>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</si>
  <si>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</si>
  <si>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</si>
  <si>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</si>
  <si>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</si>
  <si>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</si>
  <si>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</si>
  <si>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</si>
  <si>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</si>
  <si>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</si>
  <si>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</si>
  <si>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</si>
  <si>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</si>
  <si>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</si>
  <si>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</si>
  <si>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</si>
  <si>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</si>
  <si>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</si>
  <si>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</si>
  <si>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</si>
  <si>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</si>
  <si>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</si>
  <si>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</si>
  <si>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</si>
  <si>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</si>
  <si>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</si>
  <si>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</si>
  <si>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</si>
  <si>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</si>
  <si>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</si>
  <si>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</si>
  <si>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</si>
  <si>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</si>
  <si>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</si>
  <si>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</si>
  <si>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</si>
  <si>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</si>
  <si>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</si>
  <si>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</si>
  <si>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</si>
  <si>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</si>
  <si>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</si>
  <si>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</si>
  <si>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</si>
  <si>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</si>
  <si>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</si>
  <si>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</si>
  <si>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</si>
  <si>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</si>
  <si>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</si>
  <si>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</si>
  <si>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</si>
  <si>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</si>
  <si>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</si>
  <si>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</si>
  <si>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</si>
  <si>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</si>
  <si>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</si>
  <si>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Al Yousaf Store</t>
  </si>
  <si>
    <t xml:space="preserve">Address: Pak Arab </t>
  </si>
  <si>
    <t>Chohan Store</t>
  </si>
  <si>
    <t>Awan Super Store</t>
  </si>
  <si>
    <t xml:space="preserve">Mashallah Cash N Carry </t>
  </si>
  <si>
    <t xml:space="preserve">Premeir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</si>
</sst>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Al Yousaf Store</v>
      </c>
      <c r="T3" s="301">
        <f>+'1'!P35</f>
        <v>2139.6096512542376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Chohan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Awan Super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Mashallah Cash N Carry 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Premeir Mart </v>
      </c>
      <c r="T7" s="301">
        <f>+'5'!P35</f>
        <v>4805.3894985762709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</v>
      </c>
      <c r="I10" s="236">
        <f t="shared" si="0"/>
        <v>363.2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29.056000000000001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12.712000000000002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321.43200000000002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68.644067796610173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1.950380338983051</v>
      </c>
      <c r="P10" s="311">
        <f t="shared" si="2"/>
        <v>392.02644813559323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</v>
      </c>
      <c r="I11" s="236">
        <f t="shared" si="0"/>
        <v>1162.24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92.979200000000006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40.678400000000003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1028.5824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219.66101694915255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6.2412170847457631</v>
      </c>
      <c r="P11" s="311">
        <f t="shared" si="2"/>
        <v>1254.4846340338984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45</v>
      </c>
      <c r="I12" s="236">
        <f t="shared" si="0"/>
        <v>3268.8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261.50400000000002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114.40800000000002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2892.8879999999999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617.7966101694916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17.55342305084746</v>
      </c>
      <c r="P12" s="311">
        <f t="shared" si="2"/>
        <v>3528.2380332203388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132</v>
      </c>
      <c r="I13" s="236">
        <f t="shared" si="0"/>
        <v>5178.3600000000006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258.91800000000006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181.24260000000004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264.09636</v>
      </c>
      <c r="M13" s="230">
        <f t="shared" si="1"/>
        <v>4474.10304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1006.7796610169486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27.404413505084747</v>
      </c>
      <c r="P13" s="311">
        <f t="shared" si="2"/>
        <v>5508.2871145220333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4.95</v>
      </c>
      <c r="H16" s="113">
        <f t="shared" ref="H16:M16" si="3">SUM(H7:H15)</f>
        <v>198</v>
      </c>
      <c r="I16" s="114">
        <f t="shared" si="3"/>
        <v>9972.6</v>
      </c>
      <c r="J16" s="274">
        <f>SUM(J7:J15)</f>
        <v>642.45720000000006</v>
      </c>
      <c r="K16" s="275">
        <f t="shared" si="3"/>
        <v>349.04100000000005</v>
      </c>
      <c r="L16" s="276">
        <f t="shared" si="3"/>
        <v>264.09636</v>
      </c>
      <c r="M16" s="232">
        <f t="shared" si="3"/>
        <v>8717.0054400000008</v>
      </c>
      <c r="N16" s="233">
        <f>SUM(N7:N15)</f>
        <v>1912.881355932203</v>
      </c>
      <c r="O16" s="101">
        <f>SUM(O7:O15)</f>
        <v>53.149433979661019</v>
      </c>
      <c r="P16" s="113">
        <f>SUM(P7:P15)</f>
        <v>10683.036229911864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9972.6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642.45720000000006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613.13736000000006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8717.005439999999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1912.881355932203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10629.886795932201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53.149433979661019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10683.036229911862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10683.036229911864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46</v>
      </c>
      <c r="I25" s="114">
        <f t="shared" ref="I25:M25" si="10">SUM(I16:I24)</f>
        <v>2005.0400000000004</v>
      </c>
      <c r="J25" s="274">
        <f>SUM(J16:J24)</f>
        <v>113.32720000000003</v>
      </c>
      <c r="K25" s="275">
        <f t="shared" si="10"/>
        <v>70.176400000000015</v>
      </c>
      <c r="L25" s="276">
        <f t="shared" si="10"/>
        <v>80.029200000000003</v>
      </c>
      <c r="M25" s="232">
        <f t="shared" si="10"/>
        <v>1741.5072000000002</v>
      </c>
      <c r="N25" s="233">
        <f>SUM(N16:N24)</f>
        <v>387.45762711864393</v>
      </c>
      <c r="O25" s="101">
        <f>SUM(O16:O24)</f>
        <v>10.644824135593222</v>
      </c>
      <c r="P25" s="113">
        <f>SUM(P16:P24)</f>
        <v>2139.6096512542372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2005.0400000000004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113.32720000000003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150.2056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1741.5072000000005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387.45762711864393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2128.9648271186443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10.644824135593222</v>
      </c>
    </row>
    <row r="35" spans="2:16" ht="15.75" customHeight="1" thickBot="1" x14ac:dyDescent="0.4">
      <c r="N35" s="373" t="s">
        <v>88</v>
      </c>
      <c r="O35" s="374"/>
      <c r="P35" s="297">
        <f>+P33+P34</f>
        <v>2139.6096512542376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1452.8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116.224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50.848000000000006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1285.7280000000001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1560.3042711864407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3" t="s">
        <v>88</v>
      </c>
      <c r="O35" s="374"/>
      <c r="P35" s="297">
        <f>+P33+P34</f>
        <v>1568.1057925423729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4474.8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310.90800000000002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236.64720000000003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3927.2447999999999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4781.4820881355927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3" t="s">
        <v>88</v>
      </c>
      <c r="O35" s="374"/>
      <c r="P35" s="297">
        <f>+P33+P34</f>
        <v>4805.3894985762709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46271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46270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2026-09-05T04:31:35Z</dcterms:modified>
</cp:coreProperties>
</file>