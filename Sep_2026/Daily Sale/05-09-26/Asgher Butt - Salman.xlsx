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570F0EF-F9AC-40E7-BE7A-C8D93699A47F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<sst xmlns="http://schemas.openxmlformats.org/spreadsheetml/2006/main" count="3948" uniqueCount="515">
  <si>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</si>
  <si>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</si>
  <si>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</si>
  <si>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</si>
  <si>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</si>
  <si>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</si>
  <si>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</si>
  <si>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</si>
  <si>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</si>
  <si>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</si>
  <si>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</si>
  <si>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</si>
  <si>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</si>
  <si>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</si>
  <si>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</si>
  <si>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</si>
  <si>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</si>
  <si>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</si>
  <si>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</si>
  <si>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</si>
  <si>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</si>
  <si>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</si>
  <si>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</si>
  <si>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</si>
  <si>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</si>
  <si>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</si>
  <si>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</si>
  <si>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</si>
  <si>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</si>
  <si>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</si>
  <si>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</si>
  <si>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</si>
  <si>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</si>
  <si>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</si>
  <si>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</si>
  <si>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</si>
  <si>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</si>
  <si>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</si>
  <si>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</si>
  <si>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</si>
  <si>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</si>
  <si>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</si>
  <si>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</si>
  <si>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</si>
  <si>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</si>
  <si>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</si>
  <si>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</si>
  <si>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</si>
  <si>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</si>
  <si>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</si>
  <si>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</si>
  <si>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</si>
  <si>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</si>
  <si>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</si>
  <si>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</si>
  <si>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</si>
  <si>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</si>
  <si>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</si>
  <si>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</si>
  <si>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</si>
  <si>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</si>
  <si>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</si>
  <si>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</si>
  <si>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</si>
  <si>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</si>
  <si>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</si>
  <si>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</si>
  <si>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</si>
  <si>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</si>
  <si>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</si>
  <si>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</si>
  <si>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</si>
  <si>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</si>
  <si>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</si>
  <si>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</si>
  <si>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</si>
  <si>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</si>
  <si>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</si>
  <si>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</si>
  <si>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</si>
  <si>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</si>
  <si>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</si>
  <si>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</si>
  <si>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</si>
  <si>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</si>
  <si>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</si>
  <si>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</si>
  <si>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</si>
  <si>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</si>
  <si>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</si>
  <si>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</si>
  <si>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</si>
  <si>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</si>
  <si>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</si>
  <si>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</si>
  <si>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</si>
  <si>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</si>
  <si>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</si>
  <si>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</si>
  <si>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</si>
  <si>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</si>
  <si>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</si>
  <si>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</si>
  <si>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</si>
  <si>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</si>
  <si>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</si>
  <si>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</si>
  <si>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</si>
  <si>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</si>
  <si>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</si>
  <si>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</si>
  <si>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</si>
  <si>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</si>
  <si>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</si>
  <si>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</si>
  <si>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</si>
  <si>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</si>
  <si>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</si>
  <si>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</si>
  <si>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</si>
  <si>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</si>
  <si>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</si>
  <si>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</si>
  <si>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</si>
  <si>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</si>
  <si>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</si>
  <si>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</si>
  <si>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</si>
  <si>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</si>
  <si>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</si>
  <si>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</si>
  <si>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</si>
  <si>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</si>
  <si>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</si>
  <si>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</si>
  <si>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</si>
  <si>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</si>
  <si>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</si>
  <si>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</si>
  <si>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</si>
  <si>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</si>
  <si>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</si>
  <si>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</si>
  <si>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</si>
  <si>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</si>
  <si>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</si>
  <si>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</si>
  <si>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</si>
  <si>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</si>
  <si>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</si>
  <si>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</si>
  <si>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</si>
  <si>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</si>
  <si>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</si>
  <si>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</si>
  <si>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</si>
  <si>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</si>
  <si>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</si>
  <si>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</si>
  <si>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</si>
  <si>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</si>
  <si>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</si>
  <si>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</si>
  <si>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</si>
  <si>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</si>
  <si>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</si>
  <si>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</si>
  <si>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</si>
  <si>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</si>
  <si>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</si>
  <si>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</si>
  <si>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</si>
  <si>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</si>
  <si>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</si>
  <si>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</si>
  <si>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</si>
  <si>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</si>
  <si>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</si>
  <si>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</si>
  <si>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</si>
  <si>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</si>
  <si>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</si>
  <si>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</si>
  <si>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</si>
  <si>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</si>
  <si>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</si>
  <si>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</si>
  <si>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</si>
  <si>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</si>
  <si>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</si>
  <si>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</si>
  <si>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</si>
  <si>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</si>
  <si>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</si>
  <si>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</si>
  <si>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</si>
  <si>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</si>
  <si>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</si>
  <si>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</si>
  <si>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</si>
  <si>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</si>
  <si>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</si>
  <si>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</si>
  <si>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</si>
  <si>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</si>
  <si>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</si>
  <si>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</si>
  <si>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</si>
  <si>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</si>
  <si>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</si>
  <si>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</si>
  <si>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</si>
  <si>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</si>
  <si>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</si>
  <si>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</si>
  <si>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</si>
  <si>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</si>
  <si>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</si>
  <si>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</si>
  <si>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</si>
  <si>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</si>
  <si>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</si>
  <si>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</si>
  <si>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</si>
  <si>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</si>
  <si>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</si>
  <si>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</si>
  <si>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</si>
  <si>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</si>
  <si>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</si>
  <si>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</si>
  <si>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</si>
  <si>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</si>
  <si>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</si>
  <si>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</si>
  <si>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</si>
  <si>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</si>
  <si>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</si>
  <si>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</si>
  <si>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</si>
  <si>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</si>
  <si>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</si>
  <si>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</si>
  <si>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</si>
  <si>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</si>
  <si>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</si>
  <si>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</si>
  <si>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</si>
  <si>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</si>
  <si>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</si>
  <si>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</si>
  <si>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</si>
  <si>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</si>
  <si>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</si>
  <si>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</si>
  <si>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</si>
  <si>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</si>
  <si>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</si>
  <si>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</si>
  <si>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</si>
  <si>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</si>
  <si>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</si>
  <si>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</si>
  <si>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</si>
  <si>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</si>
  <si>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</si>
  <si>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</si>
  <si>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</si>
  <si>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</si>
  <si>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</si>
  <si>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</si>
  <si>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</si>
  <si>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</si>
  <si>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</si>
  <si>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</si>
  <si>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</si>
  <si>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</si>
  <si>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</si>
  <si>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</si>
  <si>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</si>
  <si>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</si>
  <si>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</si>
  <si>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</si>
  <si>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</si>
  <si>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</si>
  <si>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</si>
  <si>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</si>
  <si>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</si>
  <si>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</si>
  <si>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</si>
  <si>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</si>
  <si>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</si>
  <si>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</si>
  <si>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</si>
  <si>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</si>
  <si>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</si>
  <si>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</si>
  <si>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</si>
  <si>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</si>
  <si>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</si>
  <si>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</si>
  <si>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</si>
  <si>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</si>
  <si>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</si>
  <si>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</si>
  <si>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</si>
  <si>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</si>
  <si>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</si>
  <si>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</si>
  <si>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</si>
  <si>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</si>
  <si>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</si>
  <si>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</si>
  <si>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</si>
  <si>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</si>
  <si>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</si>
  <si>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</si>
  <si>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</si>
  <si>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</si>
  <si>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</si>
  <si>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</si>
  <si>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</si>
  <si>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</si>
  <si>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</si>
  <si>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</si>
  <si>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</si>
  <si>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</si>
  <si>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</si>
  <si>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</si>
  <si>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</si>
  <si>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</si>
  <si>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</si>
  <si>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</si>
  <si>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</si>
  <si>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</si>
  <si>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</si>
  <si>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</si>
  <si>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</si>
  <si>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</si>
  <si>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</si>
  <si>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</si>
  <si>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</si>
  <si>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</si>
  <si>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</si>
  <si>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</si>
  <si>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</si>
  <si>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</si>
  <si>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</si>
  <si>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</si>
  <si>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</si>
  <si>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</si>
  <si>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</si>
  <si>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</si>
  <si>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</si>
  <si>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</si>
  <si>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</si>
  <si>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</si>
  <si>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</si>
  <si>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</si>
  <si>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</si>
  <si>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</si>
  <si>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</si>
  <si>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</si>
  <si>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</si>
  <si>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</si>
  <si>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</si>
  <si>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</si>
  <si>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</si>
  <si>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</si>
  <si>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</si>
  <si>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</si>
  <si>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</si>
  <si>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</si>
  <si>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</si>
  <si>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</si>
  <si>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</si>
  <si>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</si>
  <si>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</si>
  <si>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</si>
  <si>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</si>
  <si>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</si>
  <si>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</si>
  <si>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</si>
  <si>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</si>
  <si>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</si>
  <si>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</si>
  <si>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</si>
  <si>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</si>
  <si>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</si>
  <si>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</si>
  <si>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</si>
  <si>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</si>
  <si>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</si>
  <si>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</si>
  <si>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</si>
  <si>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</si>
  <si>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</si>
  <si>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</si>
  <si>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</si>
  <si>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</si>
  <si>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</si>
  <si>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</si>
  <si>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</si>
  <si>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</si>
  <si>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</si>
  <si>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</si>
  <si>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</si>
  <si>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</si>
  <si>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</si>
  <si>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</si>
  <si>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</si>
  <si>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</si>
  <si>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</si>
  <si>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</si>
  <si>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</si>
  <si>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</si>
  <si>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</si>
  <si>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</si>
  <si>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</si>
  <si>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</si>
  <si>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</si>
  <si>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</si>
  <si>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</si>
  <si>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</si>
  <si>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</si>
  <si>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</si>
  <si>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</si>
  <si>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</si>
  <si>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</si>
  <si>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</si>
  <si>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</si>
  <si>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</si>
  <si>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</si>
  <si>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</si>
  <si>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</si>
  <si>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</si>
  <si>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</si>
  <si>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</si>
  <si>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</si>
  <si>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</si>
  <si>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</si>
  <si>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</si>
  <si>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</si>
  <si>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</si>
  <si>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</si>
  <si>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</si>
  <si>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</si>
  <si>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</si>
  <si>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</si>
  <si>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</si>
  <si>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</si>
  <si>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</si>
  <si>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</si>
  <si>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</si>
  <si>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</si>
  <si>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</si>
  <si>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</si>
  <si>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</si>
  <si>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</si>
  <si>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</si>
  <si>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</si>
  <si>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</si>
  <si>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</si>
  <si>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</si>
  <si>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</si>
  <si>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</si>
  <si>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</si>
  <si>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</si>
  <si>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</si>
  <si>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</si>
  <si>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</si>
  <si>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</si>
  <si>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</si>
  <si>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</si>
  <si>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</si>
  <si>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</si>
  <si>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</si>
  <si>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</si>
  <si>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</si>
  <si>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</si>
  <si>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</si>
  <si>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</si>
  <si>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</si>
  <si>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</si>
  <si>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</si>
  <si>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</si>
  <si>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</si>
  <si>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</si>
  <si>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</si>
  <si>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</si>
  <si>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</si>
  <si>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</si>
  <si>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</si>
  <si>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</si>
  <si>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</si>
  <si>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</si>
  <si>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</si>
  <si>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</si>
  <si>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</si>
  <si>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</si>
  <si>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</si>
  <si>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</si>
  <si>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</si>
  <si>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</si>
  <si>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</si>
  <si>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</si>
  <si>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</si>
  <si>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</si>
  <si>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</si>
  <si>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</si>
  <si>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</si>
  <si>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</si>
  <si>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</si>
  <si>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</si>
  <si>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Asgher Butt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</si>
</sst>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498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46270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Asgher Butt</v>
      </c>
      <c r="T3" s="301">
        <f>+'1'!P35</f>
        <v>188172.69510508471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720</v>
      </c>
      <c r="I10" s="236">
        <f t="shared" si="0"/>
        <v>52300.800000000003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4184.0640000000003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1830.5280000000002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46286.207999999999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9884.7457627118656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280.8547688135593</v>
      </c>
      <c r="P10" s="311">
        <f t="shared" si="2"/>
        <v>56451.808531525421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800</v>
      </c>
      <c r="I11" s="236">
        <f t="shared" si="0"/>
        <v>58112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4648.96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2033.9200000000003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51429.120000000003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10983.050847457627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312.06085423728814</v>
      </c>
      <c r="P11" s="311">
        <f t="shared" si="2"/>
        <v>62724.231701694916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880</v>
      </c>
      <c r="I12" s="236">
        <f t="shared" si="0"/>
        <v>63923.199999999997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5113.8559999999998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2237.3119999999999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56572.031999999999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12081.355932203391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343.26693966101698</v>
      </c>
      <c r="P12" s="311">
        <f t="shared" si="2"/>
        <v>68996.654871864404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60</v>
      </c>
      <c r="H16" s="113">
        <f t="shared" ref="H16:M16" si="3">SUM(H7:H15)</f>
        <v>2400</v>
      </c>
      <c r="I16" s="114">
        <f t="shared" si="3"/>
        <v>174336</v>
      </c>
      <c r="J16" s="274">
        <f>SUM(J7:J15)</f>
        <v>13946.880000000001</v>
      </c>
      <c r="K16" s="275">
        <f t="shared" si="3"/>
        <v>6101.76</v>
      </c>
      <c r="L16" s="276">
        <f t="shared" si="3"/>
        <v>0</v>
      </c>
      <c r="M16" s="232">
        <f t="shared" si="3"/>
        <v>154287.36000000002</v>
      </c>
      <c r="N16" s="233">
        <f>SUM(N7:N15)</f>
        <v>32949.152542372882</v>
      </c>
      <c r="O16" s="101">
        <f>SUM(O7:O15)</f>
        <v>936.18256271186442</v>
      </c>
      <c r="P16" s="113">
        <f>SUM(P7:P15)</f>
        <v>188172.69510508474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174336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13946.880000000001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6101.76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154287.35999999999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32949.152542372882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187236.51254237286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936.18256271186442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188172.69510508471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188172.69510508471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D8" sqref="D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4.81640625" bestFit="1" customWidth="1"/>
    <col min="9" max="9" width="8.36328125" bestFit="1" customWidth="1"/>
    <col min="10" max="11" width="7.36328125" bestFit="1" customWidth="1"/>
    <col min="12" max="12" width="4.36328125" bestFit="1" customWidth="1"/>
    <col min="13" max="13" width="6.81640625" bestFit="1" customWidth="1"/>
    <col min="14" max="14" width="8.7265625" style="61" bestFit="1" customWidth="1"/>
    <col min="15" max="15" width="7.81640625" bestFit="1" customWidth="1"/>
    <col min="16" max="16" width="8.5429687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3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720</v>
      </c>
      <c r="I19" s="236">
        <f t="shared" si="7"/>
        <v>52300.800000000003</v>
      </c>
      <c r="J19" s="272">
        <f t="shared" si="1"/>
        <v>4184.0640000000003</v>
      </c>
      <c r="K19" s="128">
        <f t="shared" si="1"/>
        <v>1830.5280000000002</v>
      </c>
      <c r="L19" s="119">
        <f t="shared" si="1"/>
        <v>0</v>
      </c>
      <c r="M19" s="230">
        <f t="shared" si="2"/>
        <v>46286.207999999999</v>
      </c>
      <c r="N19" s="277">
        <f t="shared" si="3"/>
        <v>9884.7457627118656</v>
      </c>
      <c r="O19" s="239">
        <f t="shared" si="4"/>
        <v>280.8547688135593</v>
      </c>
      <c r="P19" s="311">
        <f t="shared" si="5"/>
        <v>56451.808531525421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800</v>
      </c>
      <c r="I20" s="236">
        <f t="shared" si="7"/>
        <v>58112</v>
      </c>
      <c r="J20" s="272">
        <f t="shared" si="1"/>
        <v>4648.96</v>
      </c>
      <c r="K20" s="128">
        <f t="shared" si="1"/>
        <v>2033.9200000000003</v>
      </c>
      <c r="L20" s="119">
        <f t="shared" si="1"/>
        <v>0</v>
      </c>
      <c r="M20" s="230">
        <f t="shared" si="2"/>
        <v>51429.120000000003</v>
      </c>
      <c r="N20" s="277">
        <f t="shared" si="3"/>
        <v>10983.050847457627</v>
      </c>
      <c r="O20" s="239">
        <f t="shared" si="4"/>
        <v>312.06085423728814</v>
      </c>
      <c r="P20" s="311">
        <f t="shared" si="5"/>
        <v>62724.231701694916</v>
      </c>
      <c r="Q20" s="156"/>
      <c r="R20">
        <f>P20/21</f>
        <v>2986.8681762711867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880</v>
      </c>
      <c r="I21" s="236">
        <f t="shared" si="7"/>
        <v>63923.199999999997</v>
      </c>
      <c r="J21" s="272">
        <f t="shared" si="1"/>
        <v>5113.8559999999998</v>
      </c>
      <c r="K21" s="128">
        <f t="shared" si="1"/>
        <v>2237.3119999999999</v>
      </c>
      <c r="L21" s="119">
        <f t="shared" si="1"/>
        <v>0</v>
      </c>
      <c r="M21" s="230">
        <f t="shared" si="2"/>
        <v>56572.031999999999</v>
      </c>
      <c r="N21" s="277">
        <f t="shared" si="3"/>
        <v>12081.355932203391</v>
      </c>
      <c r="O21" s="239">
        <f t="shared" si="4"/>
        <v>343.26693966101698</v>
      </c>
      <c r="P21" s="311">
        <f t="shared" si="5"/>
        <v>68996.654871864404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2400</v>
      </c>
      <c r="I25" s="114">
        <f t="shared" ref="I25:M25" si="10">SUM(I16:I24)</f>
        <v>174336</v>
      </c>
      <c r="J25" s="274">
        <f>SUM(J16:J24)</f>
        <v>13946.880000000001</v>
      </c>
      <c r="K25" s="275">
        <f t="shared" si="10"/>
        <v>6101.76</v>
      </c>
      <c r="L25" s="276">
        <f t="shared" si="10"/>
        <v>0</v>
      </c>
      <c r="M25" s="232">
        <f t="shared" si="10"/>
        <v>154287.36000000002</v>
      </c>
      <c r="N25" s="233">
        <f>SUM(N16:N24)</f>
        <v>32949.152542372882</v>
      </c>
      <c r="O25" s="101">
        <f>SUM(O16:O24)</f>
        <v>936.18256271186442</v>
      </c>
      <c r="P25" s="113">
        <f>SUM(P16:P24)</f>
        <v>188172.69510508474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174336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13946.880000000001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6101.76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154287.35999999999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32949.152542372882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187236.51254237286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936.18256271186431</v>
      </c>
    </row>
    <row r="35" spans="2:16" ht="15.75" customHeight="1" thickBot="1" x14ac:dyDescent="0.4">
      <c r="N35" s="373" t="s">
        <v>88</v>
      </c>
      <c r="O35" s="374"/>
      <c r="P35" s="297">
        <f>+P33+P34</f>
        <v>188172.69510508471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46270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46269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Booker Name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46298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46297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2026-10-02T04:28:00Z</dcterms:modified>
</cp:coreProperties>
</file>