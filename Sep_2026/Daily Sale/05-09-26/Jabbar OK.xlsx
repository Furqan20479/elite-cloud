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891F1EF-2247-400D-B2F3-CF5F39FC38AE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15" i="62" l="1"/>
  <c r="Q14" i="62"/>
  <c r="Q13" i="62"/>
  <c r="Q12" i="62"/>
  <c r="Q11" i="62"/>
  <c r="Q9" i="62"/>
  <c r="Q8" i="62"/>
  <c r="Q7" i="62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10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3" l="1"/>
  <c r="O21" i="43" s="1"/>
  <c r="P21" i="43" s="1"/>
  <c r="M20" i="43"/>
  <c r="O20" i="43" s="1"/>
  <c r="P20" i="43" s="1"/>
  <c r="R20" i="43" s="1"/>
  <c r="M23" i="49"/>
  <c r="O23" i="49" s="1"/>
  <c r="P23" i="49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1" i="69"/>
  <c r="O21" i="69" s="1"/>
  <c r="P21" i="69" s="1"/>
  <c r="J7" i="62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1" i="47"/>
  <c r="O21" i="47" s="1"/>
  <c r="P21" i="47" s="1"/>
  <c r="M20" i="71"/>
  <c r="O20" i="71" s="1"/>
  <c r="P20" i="71" s="1"/>
  <c r="R20" i="71" s="1"/>
  <c r="M16" i="58"/>
  <c r="O16" i="58" s="1"/>
  <c r="P16" i="58" s="1"/>
  <c r="M16" i="59"/>
  <c r="M17" i="72"/>
  <c r="O17" i="72" s="1"/>
  <c r="P17" i="72" s="1"/>
  <c r="M16" i="64"/>
  <c r="M17" i="60"/>
  <c r="O17" i="60" s="1"/>
  <c r="P17" i="60" s="1"/>
  <c r="M23" i="56"/>
  <c r="O23" i="56" s="1"/>
  <c r="P23" i="56" s="1"/>
  <c r="M16" i="65"/>
  <c r="M22" i="63"/>
  <c r="O22" i="63" s="1"/>
  <c r="P22" i="63" s="1"/>
  <c r="M23" i="51"/>
  <c r="O23" i="51" s="1"/>
  <c r="P23" i="51" s="1"/>
  <c r="M23" i="60"/>
  <c r="O23" i="60" s="1"/>
  <c r="P23" i="60" s="1"/>
  <c r="M23" i="58"/>
  <c r="O23" i="58" s="1"/>
  <c r="P23" i="58" s="1"/>
  <c r="M16" i="60"/>
  <c r="M21" i="51"/>
  <c r="O21" i="51" s="1"/>
  <c r="P21" i="51" s="1"/>
  <c r="M23" i="72"/>
  <c r="O23" i="72" s="1"/>
  <c r="P23" i="72" s="1"/>
  <c r="M23" i="64"/>
  <c r="M23" i="59"/>
  <c r="M23" i="44"/>
  <c r="O23" i="44" s="1"/>
  <c r="P23" i="44" s="1"/>
  <c r="M16" i="66"/>
  <c r="M16" i="44"/>
  <c r="O16" i="44" s="1"/>
  <c r="M23" i="65"/>
  <c r="M16" i="72"/>
  <c r="M21" i="53"/>
  <c r="O21" i="53" s="1"/>
  <c r="P21" i="53" s="1"/>
  <c r="M23" i="69"/>
  <c r="M23" i="53"/>
  <c r="O23" i="53" s="1"/>
  <c r="P23" i="53" s="1"/>
  <c r="M21" i="68"/>
  <c r="O21" i="68" s="1"/>
  <c r="P21" i="68" s="1"/>
  <c r="M22" i="43"/>
  <c r="O22" i="43" s="1"/>
  <c r="P22" i="43" s="1"/>
  <c r="M16" i="48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 s="1"/>
  <c r="O23" i="59"/>
  <c r="P23" i="59" s="1"/>
  <c r="O23" i="69"/>
  <c r="P23" i="69" s="1"/>
  <c r="O16" i="67"/>
  <c r="P16" i="67" s="1"/>
  <c r="O24" i="48"/>
  <c r="P24" i="48" s="1"/>
  <c r="O22" i="51"/>
  <c r="P22" i="51" s="1"/>
  <c r="O16" i="64"/>
  <c r="P16" i="64" s="1"/>
  <c r="O16" i="55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16" i="70"/>
  <c r="P16" i="53"/>
  <c r="P25" i="53" s="1"/>
  <c r="O15" i="62"/>
  <c r="P15" i="62" s="1"/>
  <c r="O25" i="55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<sst xmlns="http://schemas.openxmlformats.org/spreadsheetml/2006/main" count="3948" uniqueCount="541">
  <si>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</si>
  <si>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</si>
  <si>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</si>
  <si>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</si>
  <si>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</si>
  <si>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</si>
  <si>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</si>
  <si>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</si>
  <si>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</si>
  <si>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</si>
  <si>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</si>
  <si>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</si>
  <si>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</si>
  <si>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</si>
  <si>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</si>
  <si>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</si>
  <si>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</si>
  <si>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</si>
  <si>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</si>
  <si>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</si>
  <si>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</si>
  <si>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</si>
  <si>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</si>
  <si>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</si>
  <si>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</si>
  <si>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</si>
  <si>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</si>
  <si>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</si>
  <si>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</si>
  <si>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</si>
  <si>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</si>
  <si>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</si>
  <si>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</si>
  <si>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</si>
  <si>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</si>
  <si>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</si>
  <si>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</si>
  <si>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</si>
  <si>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</si>
  <si>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</si>
  <si>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</si>
  <si>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</si>
  <si>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</si>
  <si>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</si>
  <si>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</si>
  <si>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</si>
  <si>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</si>
  <si>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</si>
  <si>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</si>
  <si>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</si>
  <si>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</si>
  <si>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</si>
  <si>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</si>
  <si>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</si>
  <si>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</si>
  <si>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</si>
  <si>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</si>
  <si>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</si>
  <si>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</si>
  <si>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</si>
  <si>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</si>
  <si>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</si>
  <si>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</si>
  <si>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</si>
  <si>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</si>
  <si>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</si>
  <si>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</si>
  <si>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</si>
  <si>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</si>
  <si>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</si>
  <si>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</si>
  <si>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</si>
  <si>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</si>
  <si>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</si>
  <si>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</si>
  <si>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</si>
  <si>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</si>
  <si>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</si>
  <si>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</si>
  <si>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</si>
  <si>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</si>
  <si>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</si>
  <si>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</si>
  <si>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</si>
  <si>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</si>
  <si>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</si>
  <si>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</si>
  <si>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</si>
  <si>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</si>
  <si>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</si>
  <si>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</si>
  <si>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</si>
  <si>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</si>
  <si>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</si>
  <si>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</si>
  <si>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</si>
  <si>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</si>
  <si>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</si>
  <si>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</si>
  <si>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</si>
  <si>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</si>
  <si>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</si>
  <si>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</si>
  <si>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</si>
  <si>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</si>
  <si>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</si>
  <si>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</si>
  <si>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</si>
  <si>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</si>
  <si>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</si>
  <si>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</si>
  <si>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</si>
  <si>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</si>
  <si>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</si>
  <si>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</si>
  <si>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</si>
  <si>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</si>
  <si>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</si>
  <si>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</si>
  <si>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</si>
  <si>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</si>
  <si>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</si>
  <si>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</si>
  <si>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</si>
  <si>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</si>
  <si>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</si>
  <si>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</si>
  <si>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</si>
  <si>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</si>
  <si>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</si>
  <si>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</si>
  <si>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</si>
  <si>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</si>
  <si>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</si>
  <si>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</si>
  <si>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</si>
  <si>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</si>
  <si>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</si>
  <si>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</si>
  <si>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</si>
  <si>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</si>
  <si>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</si>
  <si>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</si>
  <si>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</si>
  <si>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</si>
  <si>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</si>
  <si>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</si>
  <si>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</si>
  <si>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</si>
  <si>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</si>
  <si>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</si>
  <si>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</si>
  <si>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</si>
  <si>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</si>
  <si>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</si>
  <si>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</si>
  <si>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</si>
  <si>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</si>
  <si>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</si>
  <si>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</si>
  <si>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</si>
  <si>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</si>
  <si>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</si>
  <si>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</si>
  <si>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</si>
  <si>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</si>
  <si>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</si>
  <si>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</si>
  <si>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</si>
  <si>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</si>
  <si>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</si>
  <si>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</si>
  <si>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</si>
  <si>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</si>
  <si>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</si>
  <si>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</si>
  <si>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</si>
  <si>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</si>
  <si>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</si>
  <si>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</si>
  <si>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</si>
  <si>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</si>
  <si>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</si>
  <si>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</si>
  <si>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</si>
  <si>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</si>
  <si>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</si>
  <si>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</si>
  <si>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</si>
  <si>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</si>
  <si>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</si>
  <si>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</si>
  <si>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</si>
  <si>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</si>
  <si>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</si>
  <si>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</si>
  <si>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</si>
  <si>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</si>
  <si>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</si>
  <si>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</si>
  <si>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</si>
  <si>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</si>
  <si>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</si>
  <si>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</si>
  <si>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</si>
  <si>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</si>
  <si>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</si>
  <si>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</si>
  <si>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</si>
  <si>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</si>
  <si>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</si>
  <si>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</si>
  <si>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</si>
  <si>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</si>
  <si>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</si>
  <si>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</si>
  <si>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</si>
  <si>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</si>
  <si>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</si>
  <si>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</si>
  <si>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</si>
  <si>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</si>
  <si>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</si>
  <si>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</si>
  <si>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</si>
  <si>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</si>
  <si>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</si>
  <si>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</si>
  <si>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</si>
  <si>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</si>
  <si>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</si>
  <si>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</si>
  <si>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</si>
  <si>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</si>
  <si>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</si>
  <si>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</si>
  <si>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</si>
  <si>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</si>
  <si>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</si>
  <si>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</si>
  <si>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</si>
  <si>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</si>
  <si>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</si>
  <si>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</si>
  <si>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</si>
  <si>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</si>
  <si>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</si>
  <si>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</si>
  <si>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</si>
  <si>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</si>
  <si>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</si>
  <si>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</si>
  <si>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</si>
  <si>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</si>
  <si>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</si>
  <si>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</si>
  <si>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</si>
  <si>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</si>
  <si>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</si>
  <si>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</si>
  <si>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</si>
  <si>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</si>
  <si>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</si>
  <si>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</si>
  <si>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</si>
  <si>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</si>
  <si>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</si>
  <si>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</si>
  <si>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</si>
  <si>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</si>
  <si>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</si>
  <si>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</si>
  <si>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</si>
  <si>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</si>
  <si>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</si>
  <si>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</si>
  <si>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</si>
  <si>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</si>
  <si>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</si>
  <si>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</si>
  <si>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</si>
  <si>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</si>
  <si>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</si>
  <si>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</si>
  <si>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</si>
  <si>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</si>
  <si>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</si>
  <si>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</si>
  <si>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</si>
  <si>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</si>
  <si>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</si>
  <si>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</si>
  <si>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</si>
  <si>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</si>
  <si>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</si>
  <si>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</si>
  <si>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</si>
  <si>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</si>
  <si>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</si>
  <si>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</si>
  <si>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</si>
  <si>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</si>
  <si>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</si>
  <si>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</si>
  <si>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</si>
  <si>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</si>
  <si>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</si>
  <si>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</si>
  <si>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</si>
  <si>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</si>
  <si>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</si>
  <si>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</si>
  <si>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</si>
  <si>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</si>
  <si>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</si>
  <si>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</si>
  <si>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</si>
  <si>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</si>
  <si>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</si>
  <si>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</si>
  <si>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</si>
  <si>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</si>
  <si>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</si>
  <si>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</si>
  <si>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</si>
  <si>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</si>
  <si>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</si>
  <si>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</si>
  <si>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</si>
  <si>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</si>
  <si>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</si>
  <si>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</si>
  <si>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</si>
  <si>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</si>
  <si>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</si>
  <si>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</si>
  <si>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</si>
  <si>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</si>
  <si>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</si>
  <si>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</si>
  <si>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</si>
  <si>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</si>
  <si>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</si>
  <si>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</si>
  <si>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</si>
  <si>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</si>
  <si>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</si>
  <si>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</si>
  <si>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</si>
  <si>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</si>
  <si>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</si>
  <si>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</si>
  <si>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</si>
  <si>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</si>
  <si>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</si>
  <si>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</si>
  <si>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</si>
  <si>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</si>
  <si>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</si>
  <si>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</si>
  <si>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</si>
  <si>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</si>
  <si>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</si>
  <si>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</si>
  <si>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</si>
  <si>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</si>
  <si>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</si>
  <si>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</si>
  <si>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</si>
  <si>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</si>
  <si>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</si>
  <si>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</si>
  <si>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</si>
  <si>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</si>
  <si>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</si>
  <si>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</si>
  <si>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</si>
  <si>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</si>
  <si>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</si>
  <si>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</si>
  <si>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</si>
  <si>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</si>
  <si>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</si>
  <si>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</si>
  <si>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</si>
  <si>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</si>
  <si>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</si>
  <si>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</si>
  <si>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</si>
  <si>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</si>
  <si>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</si>
  <si>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</si>
  <si>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</si>
  <si>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</si>
  <si>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</si>
  <si>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</si>
  <si>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</si>
  <si>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</si>
  <si>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</si>
  <si>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</si>
  <si>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</si>
  <si>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</si>
  <si>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</si>
  <si>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</si>
  <si>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</si>
  <si>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</si>
  <si>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</si>
  <si>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</si>
  <si>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</si>
  <si>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</si>
  <si>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</si>
  <si>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</si>
  <si>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</si>
  <si>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</si>
  <si>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</si>
  <si>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</si>
  <si>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</si>
  <si>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</si>
  <si>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</si>
  <si>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</si>
  <si>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</si>
  <si>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</si>
  <si>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</si>
  <si>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</si>
  <si>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</si>
  <si>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</si>
  <si>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</si>
  <si>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</si>
  <si>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</si>
  <si>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</si>
  <si>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</si>
  <si>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</si>
  <si>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</si>
  <si>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</si>
  <si>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</si>
  <si>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</si>
  <si>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</si>
  <si>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</si>
  <si>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</si>
  <si>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</si>
  <si>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</si>
  <si>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</si>
  <si>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</si>
  <si>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</si>
  <si>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</si>
  <si>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</si>
  <si>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</si>
  <si>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</si>
  <si>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</si>
  <si>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</si>
  <si>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</si>
  <si>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</si>
  <si>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</si>
  <si>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</si>
  <si>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</si>
  <si>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</si>
  <si>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</si>
  <si>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</si>
  <si>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</si>
  <si>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</si>
  <si>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</si>
  <si>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</si>
  <si>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</si>
  <si>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</si>
  <si>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</si>
  <si>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</si>
  <si>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</si>
  <si>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</si>
  <si>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</si>
  <si>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</si>
  <si>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</si>
  <si>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</si>
  <si>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</si>
  <si>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</si>
  <si>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</si>
  <si>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</si>
  <si>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</si>
  <si>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</si>
  <si>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</si>
  <si>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</si>
  <si>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</si>
  <si>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</si>
  <si>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</si>
  <si>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</si>
  <si>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</si>
  <si>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</si>
  <si>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</si>
  <si>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</si>
  <si>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</si>
  <si>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</si>
  <si>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</si>
  <si>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</si>
  <si>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</si>
  <si>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</si>
  <si>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</si>
  <si>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</si>
  <si>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</si>
  <si>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</si>
  <si>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</si>
  <si>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</si>
  <si>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</si>
  <si>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</si>
  <si>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</si>
  <si>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</si>
  <si>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</si>
  <si>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</si>
  <si>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</si>
  <si>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</si>
  <si>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</si>
  <si>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</si>
  <si>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</si>
  <si>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</si>
  <si>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Guru mangat</t>
  </si>
  <si>
    <t>CNIC #:3520148928009</t>
  </si>
  <si>
    <t>CNIC #:341027579428-1</t>
  </si>
  <si>
    <t>CNIC #:352022391520-1</t>
  </si>
  <si>
    <t>CNIC #:352011835935-1</t>
  </si>
  <si>
    <t>CNIC #:3450214530224</t>
  </si>
  <si>
    <t>Shope Name</t>
  </si>
  <si>
    <t>Jabbar</t>
  </si>
  <si>
    <t>Madina Mart</t>
  </si>
  <si>
    <t>Address: Jalal din Road</t>
  </si>
  <si>
    <t>CNIC #:H540150-6</t>
  </si>
  <si>
    <t>Amina Deparmental Store</t>
  </si>
  <si>
    <t>Address: Jalal Din Road</t>
  </si>
  <si>
    <t>CNIC #:F737750</t>
  </si>
  <si>
    <t>Khalid Super Store</t>
  </si>
  <si>
    <t>CNIC #:3520207278271</t>
  </si>
  <si>
    <t>Shah Ji Bakers</t>
  </si>
  <si>
    <t>Al Madina Store</t>
  </si>
  <si>
    <t>Address: Kank Mandi</t>
  </si>
  <si>
    <t>Hafiz Kiryana Store</t>
  </si>
  <si>
    <t>Address:  Kank Mandi</t>
  </si>
  <si>
    <t>Abduallah Store</t>
  </si>
  <si>
    <t>A Plus Store</t>
  </si>
  <si>
    <t>Umer Store</t>
  </si>
  <si>
    <t>Address: Alla Bakhash Road</t>
  </si>
  <si>
    <t>Irfan Store</t>
  </si>
  <si>
    <t>Address: Alla Bakhash Road Near Gourment School</t>
  </si>
  <si>
    <t>Al Saeed Bakers</t>
  </si>
  <si>
    <t>Address: Kank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</si>
</sst>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519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46270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Madina Mart</v>
      </c>
      <c r="T3" s="301">
        <f>+'1'!P35</f>
        <v>1411.2952132881355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Amina Deparmental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Khalid Super Store</v>
      </c>
      <c r="T5" s="301">
        <f>+'3'!P35</f>
        <v>9233.4270752542379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Shah Ji Bakers</v>
      </c>
      <c r="T6" s="301">
        <f>+'4'!P35</f>
        <v>705.64760664406776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Al Saeed Bakers</v>
      </c>
      <c r="T7" s="301">
        <f>+'5'!P35</f>
        <v>3636.9649591322036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Hafiz Kiryana Store</v>
      </c>
      <c r="T8" s="301">
        <f>+'6'!P35</f>
        <v>9173.4188863728796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Abduallah Store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183</v>
      </c>
      <c r="I10" s="236">
        <f t="shared" si="0"/>
        <v>13293.12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1121.5616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465.25920000000008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11706.299200000001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2512.3728813559319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71.093360406779652</v>
      </c>
      <c r="P10" s="311">
        <f t="shared" si="2"/>
        <v>14289.765441762713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>A Plus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173</v>
      </c>
      <c r="I11" s="236">
        <f t="shared" si="0"/>
        <v>12566.72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1063.4495999999999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439.83519999999999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11063.4352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2375.0847457627119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67.192599728813562</v>
      </c>
      <c r="P11" s="311">
        <f t="shared" si="2"/>
        <v>13505.712545491526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4">
        <v>9</v>
      </c>
      <c r="S11" s="300" t="str">
        <f>+'9'!A6:A6</f>
        <v>A Plus Store</v>
      </c>
      <c r="T11" s="301">
        <f>+'9'!P35</f>
        <v>2265.051582838983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186</v>
      </c>
      <c r="I12" s="236">
        <f t="shared" si="0"/>
        <v>13511.04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1138.9951999999998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472.88640000000009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11899.1584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2553.5593220338983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72.263588610169478</v>
      </c>
      <c r="P12" s="311">
        <f t="shared" si="2"/>
        <v>14524.981310644067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</v>
      </c>
      <c r="R12" s="314">
        <v>10</v>
      </c>
      <c r="S12" s="300" t="str">
        <f>+'10'!A6:A6</f>
        <v>A Plus Store</v>
      </c>
      <c r="T12" s="301">
        <f>+'10'!P35</f>
        <v>2265.051582838983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92</v>
      </c>
      <c r="I13" s="236">
        <f t="shared" si="0"/>
        <v>3609.1600000000003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180.45800000000003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126.32060000000003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184.06716</v>
      </c>
      <c r="M13" s="230">
        <f t="shared" si="1"/>
        <v>3118.3142400000002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701.69491525423689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19.100045776271187</v>
      </c>
      <c r="P13" s="311">
        <f t="shared" si="2"/>
        <v>3839.1092010305083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 Plus Store</v>
      </c>
      <c r="T13" s="301">
        <f>+'11'!P35</f>
        <v>2265.051582838983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 Plus Store</v>
      </c>
      <c r="T14" s="301">
        <f>+'12'!P35</f>
        <v>3136.2115850847458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 Plus Store</v>
      </c>
      <c r="T15" s="301">
        <f>+'13'!P35</f>
        <v>3136.2115850847458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19.850000000000001</v>
      </c>
      <c r="H16" s="113">
        <f t="shared" ref="H16:M16" si="3">SUM(H7:H15)</f>
        <v>794</v>
      </c>
      <c r="I16" s="114">
        <f t="shared" si="3"/>
        <v>51374.040000000008</v>
      </c>
      <c r="J16" s="274">
        <f>SUM(J7:J15)</f>
        <v>4175.9843999999994</v>
      </c>
      <c r="K16" s="275">
        <f t="shared" si="3"/>
        <v>1798.0914000000002</v>
      </c>
      <c r="L16" s="276">
        <f t="shared" si="3"/>
        <v>184.06716</v>
      </c>
      <c r="M16" s="232">
        <f t="shared" si="3"/>
        <v>45215.897040000003</v>
      </c>
      <c r="N16" s="233">
        <f>SUM(N7:N15)</f>
        <v>9729.1525423728799</v>
      </c>
      <c r="O16" s="101">
        <f>SUM(O7:O15)</f>
        <v>274.72524791186436</v>
      </c>
      <c r="P16" s="113">
        <f>SUM(P7:P15)</f>
        <v>55219.774830284754</v>
      </c>
      <c r="Q16" s="128">
        <f>SUM(Q7:Q15)</f>
        <v>10</v>
      </c>
      <c r="R16" s="314">
        <v>14</v>
      </c>
      <c r="S16" s="318" t="str">
        <f>+'14'!A6:A6</f>
        <v>A Plus Store</v>
      </c>
      <c r="T16" s="301">
        <f>+'14'!P35</f>
        <v>3136.2115850847458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Store</v>
      </c>
      <c r="T17" s="301">
        <f>+'15'!P35</f>
        <v>1646.5110821694916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Irfan Store</v>
      </c>
      <c r="T18" s="301">
        <f>+'16'!P35</f>
        <v>5401.2631679237284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51374.040000000008</v>
      </c>
      <c r="R19" s="299">
        <v>17</v>
      </c>
      <c r="S19" s="300" t="str">
        <f>+'17'!A6:A6</f>
        <v>Al Madina Store</v>
      </c>
      <c r="T19" s="301">
        <f>+'17'!P35</f>
        <v>1332.8899236610171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4175.9843999999994</v>
      </c>
      <c r="R20" s="299">
        <v>18</v>
      </c>
      <c r="S20" s="300" t="str">
        <f>+'18'!A6:A6</f>
        <v>Shope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1982.1585600000003</v>
      </c>
      <c r="R21" s="299">
        <v>19</v>
      </c>
      <c r="S21" s="300" t="str">
        <f>+'19'!A6:A6</f>
        <v>Shope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45215.897040000003</v>
      </c>
      <c r="R22" s="299">
        <v>20</v>
      </c>
      <c r="S22" s="300" t="str">
        <f>+'20'!A6:A6</f>
        <v>Shope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9729.1525423728799</v>
      </c>
      <c r="R23" s="299">
        <v>21</v>
      </c>
      <c r="S23" s="300" t="str">
        <f>+'21'!A6:A6</f>
        <v>Shope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54945.049582372885</v>
      </c>
      <c r="R24" s="299">
        <v>22</v>
      </c>
      <c r="S24" s="300" t="str">
        <f>+'22'!A6:A6</f>
        <v>Shope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274.72524791186436</v>
      </c>
      <c r="R25" s="299">
        <v>23</v>
      </c>
      <c r="S25" s="300" t="str">
        <f>+'23'!A6:A6</f>
        <v>Shope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55219.774830284747</v>
      </c>
      <c r="R26" s="299">
        <v>24</v>
      </c>
      <c r="S26" s="300" t="str">
        <f>+'24'!A6:A6</f>
        <v>Shope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Shope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Shope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Shope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Shope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Shope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Shope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55219.774830284754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7.2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1307.52</v>
      </c>
      <c r="J25" s="274">
        <f>SUM(J16:J24)</f>
        <v>104.60160000000002</v>
      </c>
      <c r="K25" s="275">
        <f t="shared" si="10"/>
        <v>45.763200000000005</v>
      </c>
      <c r="L25" s="276">
        <f t="shared" si="10"/>
        <v>0</v>
      </c>
      <c r="M25" s="232">
        <f t="shared" si="10"/>
        <v>1157.1552000000001</v>
      </c>
      <c r="N25" s="233">
        <f>SUM(N16:N24)</f>
        <v>247.11864406779662</v>
      </c>
      <c r="O25" s="101">
        <f>SUM(O16:O24)</f>
        <v>7.0213692203389835</v>
      </c>
      <c r="P25" s="113">
        <f>SUM(P16:P24)</f>
        <v>1411.2952132881355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1307.52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104.60160000000002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45.763200000000005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1157.1551999999999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1404.2738440677965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4" t="s">
        <v>88</v>
      </c>
      <c r="O35" s="345"/>
      <c r="P35" s="297">
        <f>+P33+P34</f>
        <v>1411.2952132881355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8.7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9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9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9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113">
        <f>SUM(P16:P24)</f>
        <v>9233.4270752542379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871.68000000000006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7540.0319999999992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9187.4896271186444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44" t="s">
        <v>88</v>
      </c>
      <c r="O35" s="345"/>
      <c r="P35" s="297">
        <f>+P33+P34</f>
        <v>9233.4270752542379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653.76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52.30080000000001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22.881600000000002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578.57759999999996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702.13692203389826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44" t="s">
        <v>88</v>
      </c>
      <c r="O35" s="345"/>
      <c r="P35" s="297">
        <f>+P33+P34</f>
        <v>705.64760664406776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52</v>
      </c>
      <c r="I25" s="114">
        <f t="shared" si="7"/>
        <v>3376.36</v>
      </c>
      <c r="J25" s="274">
        <f>SUM(J16:J24)</f>
        <v>255.98599999999999</v>
      </c>
      <c r="K25" s="275">
        <f t="shared" si="7"/>
        <v>118.1726</v>
      </c>
      <c r="L25" s="276">
        <f t="shared" si="7"/>
        <v>24.008760000000002</v>
      </c>
      <c r="M25" s="232">
        <f t="shared" si="7"/>
        <v>2978.1926399999998</v>
      </c>
      <c r="N25" s="233">
        <f>SUM(N16:N24)</f>
        <v>640.67796610169489</v>
      </c>
      <c r="O25" s="101">
        <f>SUM(O16:O24)</f>
        <v>18.094353030508476</v>
      </c>
      <c r="P25" s="113">
        <f>SUM(P16:P24)</f>
        <v>3636.9649591322036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3376.36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255.98599999999999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142.18136000000001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2978.1926400000002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640.67796610169489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3618.8706061016951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18.094353030508476</v>
      </c>
    </row>
    <row r="35" spans="2:16" ht="15.75" customHeight="1" thickBot="1" x14ac:dyDescent="0.4">
      <c r="N35" s="344" t="s">
        <v>88</v>
      </c>
      <c r="O35" s="345"/>
      <c r="P35" s="297">
        <f>+P33+P34</f>
        <v>3636.9649591322036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14" workbookViewId="0">
      <selection activeCell="Q19" sqref="A19:XFD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39</v>
      </c>
      <c r="I19" s="236">
        <f t="shared" si="0"/>
        <v>2832.96</v>
      </c>
      <c r="J19" s="272">
        <f t="shared" si="1"/>
        <v>226.63679999999999</v>
      </c>
      <c r="K19" s="128">
        <f t="shared" si="1"/>
        <v>99.153600000000012</v>
      </c>
      <c r="L19" s="119">
        <f t="shared" si="1"/>
        <v>0</v>
      </c>
      <c r="M19" s="230">
        <f t="shared" si="2"/>
        <v>2507.1696000000002</v>
      </c>
      <c r="N19" s="277">
        <f t="shared" si="3"/>
        <v>535.42372881355936</v>
      </c>
      <c r="O19" s="239">
        <f t="shared" si="4"/>
        <v>15.212966644067796</v>
      </c>
      <c r="P19" s="311">
        <f t="shared" si="5"/>
        <v>3057.8062954576271</v>
      </c>
      <c r="Q19" s="9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9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38</v>
      </c>
      <c r="I21" s="236">
        <f t="shared" si="0"/>
        <v>2760.32</v>
      </c>
      <c r="J21" s="272">
        <f t="shared" si="1"/>
        <v>220.82560000000001</v>
      </c>
      <c r="K21" s="128">
        <f t="shared" si="1"/>
        <v>96.611200000000011</v>
      </c>
      <c r="L21" s="119">
        <f t="shared" si="1"/>
        <v>0</v>
      </c>
      <c r="M21" s="230">
        <f t="shared" si="2"/>
        <v>2442.8832000000002</v>
      </c>
      <c r="N21" s="277">
        <f t="shared" si="3"/>
        <v>521.69491525423734</v>
      </c>
      <c r="O21" s="239">
        <f t="shared" si="4"/>
        <v>14.822890576271188</v>
      </c>
      <c r="P21" s="311">
        <f t="shared" si="5"/>
        <v>2979.4010058305089</v>
      </c>
      <c r="Q21" s="96">
        <v>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117</v>
      </c>
      <c r="I25" s="114">
        <f t="shared" si="7"/>
        <v>8498.8799999999992</v>
      </c>
      <c r="J25" s="274">
        <f>SUM(J16:J24)</f>
        <v>679.91039999999998</v>
      </c>
      <c r="K25" s="275">
        <f t="shared" si="7"/>
        <v>297.46080000000001</v>
      </c>
      <c r="L25" s="276">
        <f t="shared" si="7"/>
        <v>0</v>
      </c>
      <c r="M25" s="232">
        <f t="shared" si="7"/>
        <v>7521.5088000000005</v>
      </c>
      <c r="N25" s="233">
        <f>SUM(N16:N24)</f>
        <v>1606.2711864406783</v>
      </c>
      <c r="O25" s="101">
        <f>SUM(O16:O24)</f>
        <v>45.638899932203387</v>
      </c>
      <c r="P25" s="113">
        <f>SUM(P16:P24)</f>
        <v>9173.4188863728814</v>
      </c>
      <c r="Q25" s="128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8498.8799999999992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679.91039999999998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297.46080000000001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7521.5087999999996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1606.2711864406783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9127.779986440677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45.638899932203387</v>
      </c>
    </row>
    <row r="35" spans="2:16" ht="15.75" customHeight="1" thickBot="1" x14ac:dyDescent="0.4">
      <c r="N35" s="344" t="s">
        <v>88</v>
      </c>
      <c r="O35" s="345"/>
      <c r="P35" s="297">
        <f>+P33+P34</f>
        <v>9173.4188863728796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2098.5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167.88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73.447500000000005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1857.1724999999999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2253.7826694915252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4" t="s">
        <v>88</v>
      </c>
      <c r="O35" s="345"/>
      <c r="P35" s="297">
        <f>+P33+P34</f>
        <v>2265.051582838983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2098.5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167.88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73.447500000000005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1857.1724999999999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2253.7826694915252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4" t="s">
        <v>88</v>
      </c>
      <c r="O35" s="345"/>
      <c r="P35" s="297">
        <f>+P33+P34</f>
        <v>2265.051582838983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2098.5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167.88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73.447500000000005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1857.1724999999999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2253.7826694915252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4" t="s">
        <v>88</v>
      </c>
      <c r="O35" s="345"/>
      <c r="P35" s="297">
        <f>+P33+P34</f>
        <v>2265.051582838983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8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22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0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311">
        <f t="shared" si="5"/>
        <v>548.83702738983061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</v>
      </c>
      <c r="I20" s="236">
        <f t="shared" si="0"/>
        <v>508.48</v>
      </c>
      <c r="J20" s="272">
        <f t="shared" si="1"/>
        <v>40.678400000000003</v>
      </c>
      <c r="K20" s="128">
        <f t="shared" si="1"/>
        <v>17.796800000000001</v>
      </c>
      <c r="L20" s="119">
        <f t="shared" si="1"/>
        <v>0</v>
      </c>
      <c r="M20" s="230">
        <f t="shared" si="2"/>
        <v>450.00480000000005</v>
      </c>
      <c r="N20" s="277">
        <f t="shared" si="3"/>
        <v>96.101694915254242</v>
      </c>
      <c r="O20" s="239">
        <f t="shared" si="4"/>
        <v>2.7305324745762714</v>
      </c>
      <c r="P20" s="311">
        <f t="shared" si="5"/>
        <v>548.83702738983061</v>
      </c>
      <c r="Q20" s="156"/>
      <c r="R20">
        <f>P20/21</f>
        <v>26.135096542372885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311">
        <f t="shared" si="5"/>
        <v>548.83702738983061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21</v>
      </c>
      <c r="I25" s="114">
        <f t="shared" si="7"/>
        <v>1525.44</v>
      </c>
      <c r="J25" s="274">
        <f>SUM(J16:J24)</f>
        <v>122.0352</v>
      </c>
      <c r="K25" s="275">
        <f t="shared" si="7"/>
        <v>53.3904</v>
      </c>
      <c r="L25" s="276">
        <f t="shared" si="7"/>
        <v>0</v>
      </c>
      <c r="M25" s="232">
        <f t="shared" si="7"/>
        <v>1350.0144</v>
      </c>
      <c r="N25" s="233">
        <f>SUM(N16:N24)</f>
        <v>288.30508474576271</v>
      </c>
      <c r="O25" s="101">
        <f>SUM(O16:O24)</f>
        <v>8.1915974237288136</v>
      </c>
      <c r="P25" s="113">
        <f>SUM(P16:P24)</f>
        <v>1646.5110821694918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1525.44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122.0352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53.3904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1350.0144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288.30508474576271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1638.3194847457628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8.1915974237288136</v>
      </c>
    </row>
    <row r="35" spans="2:16" ht="15.75" customHeight="1" thickBot="1" x14ac:dyDescent="0.4">
      <c r="N35" s="344" t="s">
        <v>88</v>
      </c>
      <c r="O35" s="345"/>
      <c r="P35" s="297">
        <f>+P33+P34</f>
        <v>1646.5110821694916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400.32800000000003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175.14350000000002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4428.6284999999998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5374.3912118644066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4" t="s">
        <v>88</v>
      </c>
      <c r="O35" s="345"/>
      <c r="P35" s="297">
        <f>+P33+P34</f>
        <v>5401.2631679237284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13" workbookViewId="0">
      <selection activeCell="O21" sqref="O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540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>
        <v>6</v>
      </c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311">
        <f t="shared" si="5"/>
        <v>548.83702738983061</v>
      </c>
      <c r="Q21" s="156">
        <v>1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17</v>
      </c>
      <c r="I25" s="114">
        <f t="shared" si="7"/>
        <v>1234.8800000000001</v>
      </c>
      <c r="J25" s="274">
        <f>SUM(J16:J24)</f>
        <v>98.790400000000005</v>
      </c>
      <c r="K25" s="275">
        <f t="shared" si="7"/>
        <v>43.220800000000004</v>
      </c>
      <c r="L25" s="276">
        <f t="shared" si="7"/>
        <v>0</v>
      </c>
      <c r="M25" s="232">
        <f t="shared" si="7"/>
        <v>1092.8688000000002</v>
      </c>
      <c r="N25" s="233">
        <f>SUM(N16:N24)</f>
        <v>233.38983050847457</v>
      </c>
      <c r="O25" s="101">
        <f>SUM(O16:O24)</f>
        <v>6.6312931525423728</v>
      </c>
      <c r="P25" s="113">
        <f>SUM(P16:P24)</f>
        <v>1332.8899236610171</v>
      </c>
      <c r="Q25" s="128">
        <f>SUM(Q16:Q24)</f>
        <v>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1234.8800000000001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98.790400000000005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43.220800000000004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1092.8688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233.38983050847457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1326.2586305084747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6.6312931525423737</v>
      </c>
    </row>
    <row r="35" spans="2:16" ht="15.75" customHeight="1" thickBot="1" x14ac:dyDescent="0.4">
      <c r="N35" s="344" t="s">
        <v>88</v>
      </c>
      <c r="O35" s="345"/>
      <c r="P35" s="297">
        <f>+P33+P34</f>
        <v>1332.8899236610171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46271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46270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2026-09-05T10:33:05Z</dcterms:modified>
</cp:coreProperties>
</file>