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FE94F09-3C3B-4E3A-ABC9-96BAA4E786FB}" xr6:coauthVersionLast="47" xr6:coauthVersionMax="47" xr10:uidLastSave="{00000000-0000-0000-0000-000000000000}"/>
  <bookViews>
    <workbookView xWindow="-110" yWindow="-110" windowWidth="19420" windowHeight="10420" tabRatio="948" firstSheet="3" activeTab="4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5" i="65" s="1"/>
  <c r="N4" i="69"/>
  <c r="N5" i="69" s="1"/>
  <c r="N4" i="43"/>
  <c r="N4" i="47"/>
  <c r="N4" i="55"/>
  <c r="N4" i="68"/>
  <c r="N5" i="68" s="1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5" i="71" s="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1" i="50" l="1"/>
  <c r="M12" i="62"/>
  <c r="P30" i="70"/>
  <c r="P30" i="5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<sst xmlns="http://schemas.openxmlformats.org/spreadsheetml/2006/main" count="3948" uniqueCount="534">
  <si>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</si>
  <si>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</si>
  <si>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</si>
  <si>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</si>
  <si>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</si>
  <si>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</si>
  <si>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</si>
  <si>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</si>
  <si>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</si>
  <si>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</si>
  <si>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</si>
  <si>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</si>
  <si>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</si>
  <si>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</si>
  <si>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</si>
  <si>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</si>
  <si>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</si>
  <si>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</si>
  <si>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</si>
  <si>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</si>
  <si>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</si>
  <si>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</si>
  <si>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</si>
  <si>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</si>
  <si>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</si>
  <si>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</si>
  <si>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</si>
  <si>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</si>
  <si>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</si>
  <si>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</si>
  <si>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</si>
  <si>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</si>
  <si>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</si>
  <si>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</si>
  <si>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</si>
  <si>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</si>
  <si>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</si>
  <si>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</si>
  <si>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</si>
  <si>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</si>
  <si>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</si>
  <si>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</si>
  <si>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</si>
  <si>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</si>
  <si>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</si>
  <si>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</si>
  <si>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</si>
  <si>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</si>
  <si>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</si>
  <si>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</si>
  <si>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</si>
  <si>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</si>
  <si>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</si>
  <si>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</si>
  <si>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</si>
  <si>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</si>
  <si>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</si>
  <si>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</si>
  <si>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</si>
  <si>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</si>
  <si>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</si>
  <si>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</si>
  <si>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</si>
  <si>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</si>
  <si>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</si>
  <si>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</si>
  <si>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</si>
  <si>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</si>
  <si>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</si>
  <si>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</si>
  <si>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</si>
  <si>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</si>
  <si>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</si>
  <si>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</si>
  <si>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</si>
  <si>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</si>
  <si>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</si>
  <si>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</si>
  <si>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</si>
  <si>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</si>
  <si>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</si>
  <si>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</si>
  <si>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</si>
  <si>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</si>
  <si>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</si>
  <si>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</si>
  <si>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</si>
  <si>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</si>
  <si>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</si>
  <si>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</si>
  <si>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</si>
  <si>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</si>
  <si>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</si>
  <si>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</si>
  <si>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</si>
  <si>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</si>
  <si>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</si>
  <si>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</si>
  <si>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</si>
  <si>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</si>
  <si>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</si>
  <si>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</si>
  <si>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</si>
  <si>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</si>
  <si>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</si>
  <si>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</si>
  <si>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</si>
  <si>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</si>
  <si>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</si>
  <si>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</si>
  <si>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</si>
  <si>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</si>
  <si>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</si>
  <si>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</si>
  <si>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</si>
  <si>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</si>
  <si>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</si>
  <si>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</si>
  <si>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</si>
  <si>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</si>
  <si>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</si>
  <si>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</si>
  <si>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</si>
  <si>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</si>
  <si>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</si>
  <si>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</si>
  <si>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</si>
  <si>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</si>
  <si>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</si>
  <si>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</si>
  <si>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</si>
  <si>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</si>
  <si>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</si>
  <si>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</si>
  <si>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</si>
  <si>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</si>
  <si>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</si>
  <si>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</si>
  <si>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</si>
  <si>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</si>
  <si>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</si>
  <si>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</si>
  <si>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</si>
  <si>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</si>
  <si>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</si>
  <si>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</si>
  <si>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</si>
  <si>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</si>
  <si>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</si>
  <si>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</si>
  <si>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</si>
  <si>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</si>
  <si>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</si>
  <si>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</si>
  <si>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</si>
  <si>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</si>
  <si>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</si>
  <si>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</si>
  <si>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</si>
  <si>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</si>
  <si>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</si>
  <si>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</si>
  <si>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</si>
  <si>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</si>
  <si>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</si>
  <si>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</si>
  <si>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</si>
  <si>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</si>
  <si>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</si>
  <si>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</si>
  <si>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</si>
  <si>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</si>
  <si>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</si>
  <si>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</si>
  <si>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</si>
  <si>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</si>
  <si>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</si>
  <si>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</si>
  <si>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</si>
  <si>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</si>
  <si>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</si>
  <si>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</si>
  <si>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</si>
  <si>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</si>
  <si>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</si>
  <si>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</si>
  <si>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</si>
  <si>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</si>
  <si>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</si>
  <si>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</si>
  <si>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</si>
  <si>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</si>
  <si>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</si>
  <si>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</si>
  <si>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</si>
  <si>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</si>
  <si>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</si>
  <si>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</si>
  <si>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</si>
  <si>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</si>
  <si>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</si>
  <si>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</si>
  <si>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</si>
  <si>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</si>
  <si>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</si>
  <si>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</si>
  <si>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</si>
  <si>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</si>
  <si>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</si>
  <si>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</si>
  <si>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</si>
  <si>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</si>
  <si>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</si>
  <si>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</si>
  <si>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</si>
  <si>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</si>
  <si>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</si>
  <si>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</si>
  <si>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</si>
  <si>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</si>
  <si>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</si>
  <si>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</si>
  <si>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</si>
  <si>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</si>
  <si>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</si>
  <si>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</si>
  <si>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</si>
  <si>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</si>
  <si>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</si>
  <si>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</si>
  <si>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</si>
  <si>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</si>
  <si>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</si>
  <si>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</si>
  <si>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</si>
  <si>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</si>
  <si>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</si>
  <si>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</si>
  <si>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</si>
  <si>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</si>
  <si>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</si>
  <si>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</si>
  <si>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</si>
  <si>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</si>
  <si>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</si>
  <si>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</si>
  <si>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</si>
  <si>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</si>
  <si>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</si>
  <si>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</si>
  <si>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</si>
  <si>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</si>
  <si>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</si>
  <si>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</si>
  <si>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</si>
  <si>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</si>
  <si>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</si>
  <si>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</si>
  <si>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</si>
  <si>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</si>
  <si>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</si>
  <si>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</si>
  <si>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</si>
  <si>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</si>
  <si>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</si>
  <si>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</si>
  <si>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</si>
  <si>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</si>
  <si>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</si>
  <si>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</si>
  <si>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</si>
  <si>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</si>
  <si>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</si>
  <si>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</si>
  <si>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</si>
  <si>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</si>
  <si>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</si>
  <si>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</si>
  <si>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</si>
  <si>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</si>
  <si>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</si>
  <si>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</si>
  <si>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</si>
  <si>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</si>
  <si>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</si>
  <si>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</si>
  <si>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</si>
  <si>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</si>
  <si>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</si>
  <si>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</si>
  <si>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</si>
  <si>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</si>
  <si>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</si>
  <si>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</si>
  <si>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</si>
  <si>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</si>
  <si>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</si>
  <si>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</si>
  <si>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</si>
  <si>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</si>
  <si>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</si>
  <si>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</si>
  <si>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</si>
  <si>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</si>
  <si>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</si>
  <si>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</si>
  <si>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</si>
  <si>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</si>
  <si>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</si>
  <si>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</si>
  <si>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</si>
  <si>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</si>
  <si>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</si>
  <si>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</si>
  <si>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</si>
  <si>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</si>
  <si>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</si>
  <si>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</si>
  <si>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</si>
  <si>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</si>
  <si>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</si>
  <si>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</si>
  <si>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</si>
  <si>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</si>
  <si>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</si>
  <si>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</si>
  <si>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</si>
  <si>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</si>
  <si>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</si>
  <si>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</si>
  <si>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</si>
  <si>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</si>
  <si>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</si>
  <si>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</si>
  <si>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</si>
  <si>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</si>
  <si>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</si>
  <si>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</si>
  <si>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</si>
  <si>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</si>
  <si>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</si>
  <si>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</si>
  <si>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</si>
  <si>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</si>
  <si>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</si>
  <si>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</si>
  <si>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</si>
  <si>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</si>
  <si>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</si>
  <si>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</si>
  <si>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</si>
  <si>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</si>
  <si>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</si>
  <si>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</si>
  <si>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</si>
  <si>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</si>
  <si>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</si>
  <si>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</si>
  <si>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</si>
  <si>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</si>
  <si>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</si>
  <si>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</si>
  <si>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</si>
  <si>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</si>
  <si>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</si>
  <si>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</si>
  <si>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</si>
  <si>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</si>
  <si>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</si>
  <si>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</si>
  <si>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</si>
  <si>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</si>
  <si>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</si>
  <si>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</si>
  <si>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</si>
  <si>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</si>
  <si>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</si>
  <si>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</si>
  <si>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</si>
  <si>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</si>
  <si>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</si>
  <si>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</si>
  <si>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</si>
  <si>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</si>
  <si>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</si>
  <si>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</si>
  <si>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</si>
  <si>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</si>
  <si>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</si>
  <si>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</si>
  <si>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</si>
  <si>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</si>
  <si>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</si>
  <si>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</si>
  <si>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</si>
  <si>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</si>
  <si>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</si>
  <si>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</si>
  <si>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</si>
  <si>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</si>
  <si>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</si>
  <si>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</si>
  <si>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</si>
  <si>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</si>
  <si>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</si>
  <si>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</si>
  <si>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</si>
  <si>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</si>
  <si>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</si>
  <si>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</si>
  <si>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</si>
  <si>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</si>
  <si>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</si>
  <si>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</si>
  <si>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</si>
  <si>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</si>
  <si>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</si>
  <si>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</si>
  <si>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</si>
  <si>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</si>
  <si>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</si>
  <si>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</si>
  <si>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</si>
  <si>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</si>
  <si>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</si>
  <si>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</si>
  <si>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</si>
  <si>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</si>
  <si>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</si>
  <si>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</si>
  <si>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</si>
  <si>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</si>
  <si>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</si>
  <si>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</si>
  <si>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</si>
  <si>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</si>
  <si>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</si>
  <si>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</si>
  <si>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</si>
  <si>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</si>
  <si>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</si>
  <si>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</si>
  <si>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</si>
  <si>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</si>
  <si>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</si>
  <si>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</si>
  <si>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</si>
  <si>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</si>
  <si>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</si>
  <si>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</si>
  <si>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</si>
  <si>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</si>
  <si>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</si>
  <si>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</si>
  <si>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</si>
  <si>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</si>
  <si>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</si>
  <si>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</si>
  <si>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</si>
  <si>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</si>
  <si>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</si>
  <si>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</si>
  <si>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</si>
  <si>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</si>
  <si>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</si>
  <si>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</si>
  <si>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</si>
  <si>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</si>
  <si>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</si>
  <si>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</si>
  <si>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</si>
  <si>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</si>
  <si>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</si>
  <si>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</si>
  <si>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</si>
  <si>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</si>
  <si>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</si>
  <si>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</si>
  <si>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</si>
  <si>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</si>
  <si>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</si>
  <si>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</si>
  <si>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</si>
  <si>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</si>
  <si>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</si>
  <si>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</si>
  <si>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</si>
  <si>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</si>
  <si>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</si>
  <si>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</si>
  <si>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</si>
  <si>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</si>
  <si>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</si>
  <si>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</si>
  <si>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</si>
  <si>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</si>
  <si>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</si>
  <si>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</si>
  <si>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</si>
  <si>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</si>
  <si>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</si>
  <si>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</si>
  <si>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</si>
  <si>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</si>
  <si>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</si>
  <si>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</si>
  <si>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</si>
  <si>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</si>
  <si>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</si>
  <si>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</si>
  <si>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</si>
  <si>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</si>
  <si>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</si>
  <si>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Zeshan </t>
  </si>
  <si>
    <t>Address: DHA</t>
  </si>
  <si>
    <t>Paradise Store</t>
  </si>
  <si>
    <t xml:space="preserve">Groccer Express </t>
  </si>
  <si>
    <t>24/7</t>
  </si>
  <si>
    <t>Groccer Express 2</t>
  </si>
  <si>
    <t xml:space="preserve">My Choice </t>
  </si>
  <si>
    <t>Bilal Store</t>
  </si>
  <si>
    <t>Total Pump</t>
  </si>
  <si>
    <t>Ghani Store</t>
  </si>
  <si>
    <t xml:space="preserve">Ali Mart </t>
  </si>
  <si>
    <t>Al Mughez Store</t>
  </si>
  <si>
    <t xml:space="preserve">S Mart </t>
  </si>
  <si>
    <t xml:space="preserve">Al Jalil </t>
  </si>
  <si>
    <t xml:space="preserve">Max Mart </t>
  </si>
  <si>
    <t>Freshly Stoer</t>
  </si>
  <si>
    <t>Ajwa Store</t>
  </si>
  <si>
    <t>Marwa Stroe</t>
  </si>
  <si>
    <t xml:space="preserve">D Mart </t>
  </si>
  <si>
    <t>Saleem Store</t>
  </si>
  <si>
    <t xml:space="preserve">Smart Mart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</si>
</sst>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3" sqref="S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8" t="s">
        <v>91</v>
      </c>
      <c r="B2" s="368"/>
      <c r="C2" s="368"/>
      <c r="E2" s="355" t="s">
        <v>498</v>
      </c>
      <c r="F2" s="356"/>
      <c r="G2" s="356"/>
      <c r="H2" s="353" t="s">
        <v>513</v>
      </c>
      <c r="I2" s="353"/>
      <c r="J2" s="354"/>
      <c r="R2" s="350" t="s">
        <v>497</v>
      </c>
      <c r="S2" s="351"/>
      <c r="T2" s="352"/>
    </row>
    <row r="3" spans="1:20 16377:16378" ht="21.75" customHeight="1" thickBot="1" x14ac:dyDescent="0.4">
      <c r="A3" s="369" t="s">
        <v>92</v>
      </c>
      <c r="B3" s="369"/>
      <c r="C3" s="369"/>
      <c r="E3" s="359" t="s">
        <v>508</v>
      </c>
      <c r="F3" s="360"/>
      <c r="G3" s="360"/>
      <c r="H3" s="357">
        <v>46270</v>
      </c>
      <c r="I3" s="357"/>
      <c r="J3" s="358"/>
      <c r="K3" s="370" t="s">
        <v>43</v>
      </c>
      <c r="L3" s="370"/>
      <c r="M3" s="370"/>
      <c r="N3" s="369"/>
      <c r="O3" s="369"/>
      <c r="P3" s="369"/>
      <c r="R3" s="299">
        <v>1</v>
      </c>
      <c r="S3" s="300" t="str">
        <f>+'1'!A6:A6</f>
        <v>Paradise Store</v>
      </c>
      <c r="T3" s="301">
        <f>+'1'!P35</f>
        <v>3934.229496330508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 xml:space="preserve">Groccer Express </v>
      </c>
      <c r="T4" s="301">
        <f>+'2'!P35</f>
        <v>392.02644813559323</v>
      </c>
      <c r="XEX4" t="s">
        <v>105</v>
      </c>
    </row>
    <row r="5" spans="1:20 16377:16378" ht="21.75" customHeight="1" thickBot="1" x14ac:dyDescent="0.4">
      <c r="A5" s="389" t="s">
        <v>51</v>
      </c>
      <c r="B5" s="361"/>
      <c r="C5" s="391" t="s">
        <v>90</v>
      </c>
      <c r="D5" s="115" t="s">
        <v>52</v>
      </c>
      <c r="E5" s="393" t="s">
        <v>58</v>
      </c>
      <c r="F5" s="394"/>
      <c r="G5" s="366" t="s">
        <v>54</v>
      </c>
      <c r="H5" s="367"/>
      <c r="I5" s="395" t="s">
        <v>77</v>
      </c>
      <c r="J5" s="365" t="s">
        <v>55</v>
      </c>
      <c r="K5" s="366"/>
      <c r="L5" s="367"/>
      <c r="M5" s="361" t="s">
        <v>84</v>
      </c>
      <c r="N5" s="363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24/7</v>
      </c>
      <c r="T5" s="301">
        <f>+'3'!P35</f>
        <v>392.02644813559323</v>
      </c>
      <c r="XEX5" t="s">
        <v>106</v>
      </c>
    </row>
    <row r="6" spans="1:20 16377:16378" ht="21.75" customHeight="1" thickBot="1" x14ac:dyDescent="0.4">
      <c r="A6" s="390"/>
      <c r="B6" s="362"/>
      <c r="C6" s="392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4"/>
      <c r="J6" s="143" t="s">
        <v>59</v>
      </c>
      <c r="K6" s="144" t="s">
        <v>39</v>
      </c>
      <c r="L6" s="145" t="s">
        <v>493</v>
      </c>
      <c r="M6" s="362"/>
      <c r="N6" s="364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Groccer Express 2</v>
      </c>
      <c r="T6" s="301">
        <f>+'4'!P35</f>
        <v>392.02644813559323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40</v>
      </c>
      <c r="I7" s="235">
        <f>(G7*D7)*F7+H7*F7</f>
        <v>2098.5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167.88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73.447500000000005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1857.1725000000001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396.61016949152526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11.268913347457627</v>
      </c>
      <c r="P7" s="310">
        <f>M7+N7+O7</f>
        <v>2265.051582838983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My Choice </v>
      </c>
      <c r="T7" s="301">
        <f>+'5'!P35</f>
        <v>392.02644813559323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40</v>
      </c>
      <c r="R8" s="314">
        <v>6</v>
      </c>
      <c r="S8" s="300" t="str">
        <f>+'6'!A6:A6</f>
        <v>Bilal Store</v>
      </c>
      <c r="T8" s="301">
        <f>+'6'!P35</f>
        <v>235.21586888135593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Total Pump</v>
      </c>
      <c r="T9" s="301">
        <f>+'7'!P35</f>
        <v>235.21586888135593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100</v>
      </c>
      <c r="I10" s="236">
        <f t="shared" si="0"/>
        <v>7264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581.12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254.24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6428.64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1372.8813559322034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39.007606779661018</v>
      </c>
      <c r="P10" s="311">
        <f t="shared" si="2"/>
        <v>7840.5289627118646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Ghani Store</v>
      </c>
      <c r="T10" s="301">
        <f>+'8'!P35</f>
        <v>313.62115850847459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100</v>
      </c>
      <c r="I11" s="236">
        <f t="shared" si="0"/>
        <v>7264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581.12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254.24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6428.64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1372.8813559322034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39.007606779661018</v>
      </c>
      <c r="P11" s="311">
        <f t="shared" si="2"/>
        <v>7840.5289627118646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Ali Mart </v>
      </c>
      <c r="T11" s="301">
        <f>+'9'!P35</f>
        <v>9408.6347552542375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120</v>
      </c>
      <c r="I12" s="236">
        <f t="shared" si="0"/>
        <v>8716.7999999999993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697.34399999999994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305.08799999999997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7714.3679999999995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1647.4576271186443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46.809128135593227</v>
      </c>
      <c r="P12" s="311">
        <f t="shared" si="2"/>
        <v>9408.6347552542375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Al Mughez Store</v>
      </c>
      <c r="T12" s="301">
        <f>+'10'!P35</f>
        <v>235.21586888135593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40</v>
      </c>
      <c r="I13" s="236">
        <f t="shared" si="0"/>
        <v>1569.2000000000003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78.460000000000022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54.922000000000011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80.029200000000003</v>
      </c>
      <c r="M13" s="230">
        <f t="shared" si="1"/>
        <v>1355.7888000000003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305.08474576271169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8.3043677288135598</v>
      </c>
      <c r="P13" s="311">
        <f t="shared" si="2"/>
        <v>1669.1779134915255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S Mart </v>
      </c>
      <c r="T13" s="301">
        <f>+'11'!P35</f>
        <v>235.21586888135593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Al Jalil </v>
      </c>
      <c r="T14" s="301">
        <f>+'12'!P35</f>
        <v>313.62115850847459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Max Mart </v>
      </c>
      <c r="T15" s="301">
        <f>+'13'!P35</f>
        <v>392.02644813559323</v>
      </c>
    </row>
    <row r="16" spans="1:20 16377:16378" ht="21.75" customHeight="1" thickBot="1" x14ac:dyDescent="0.4">
      <c r="A16" s="371">
        <f>COUNT(A7:A15)</f>
        <v>0</v>
      </c>
      <c r="B16" s="372"/>
      <c r="C16" s="372" t="s">
        <v>40</v>
      </c>
      <c r="D16" s="372"/>
      <c r="E16" s="372"/>
      <c r="F16" s="373"/>
      <c r="G16" s="117">
        <f>H16/40</f>
        <v>10</v>
      </c>
      <c r="H16" s="113">
        <f t="shared" ref="H16:M16" si="3">SUM(H7:H15)</f>
        <v>400</v>
      </c>
      <c r="I16" s="114">
        <f t="shared" si="3"/>
        <v>26912.5</v>
      </c>
      <c r="J16" s="274">
        <f>SUM(J7:J15)</f>
        <v>2105.924</v>
      </c>
      <c r="K16" s="275">
        <f t="shared" si="3"/>
        <v>941.9375</v>
      </c>
      <c r="L16" s="276">
        <f t="shared" si="3"/>
        <v>80.029200000000003</v>
      </c>
      <c r="M16" s="232">
        <f t="shared" si="3"/>
        <v>23784.609299999996</v>
      </c>
      <c r="N16" s="233">
        <f>SUM(N7:N15)</f>
        <v>5094.9152542372876</v>
      </c>
      <c r="O16" s="101">
        <f>SUM(O7:O15)</f>
        <v>144.39762277118646</v>
      </c>
      <c r="P16" s="113">
        <f>SUM(P7:P15)</f>
        <v>29023.922177008477</v>
      </c>
      <c r="Q16" s="128">
        <f>SUM(Q7:Q15)</f>
        <v>40</v>
      </c>
      <c r="R16" s="314">
        <v>14</v>
      </c>
      <c r="S16" s="318" t="str">
        <f>+'14'!A6:A6</f>
        <v>Freshly Stoer</v>
      </c>
      <c r="T16" s="301">
        <f>+'14'!P35</f>
        <v>392.02644813559323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Ajwa Store</v>
      </c>
      <c r="T17" s="301">
        <f>+'15'!P35</f>
        <v>392.02644813559323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Marwa Stroe</v>
      </c>
      <c r="T18" s="301">
        <f>+'16'!P35</f>
        <v>392.02644813559323</v>
      </c>
    </row>
    <row r="19" spans="1:20" ht="21.75" customHeight="1" x14ac:dyDescent="0.35">
      <c r="B19" s="374" t="s">
        <v>64</v>
      </c>
      <c r="C19" s="375"/>
      <c r="D19" s="375"/>
      <c r="E19" s="375"/>
      <c r="F19" s="375"/>
      <c r="G19" s="375"/>
      <c r="H19" s="375"/>
      <c r="I19" s="375"/>
      <c r="J19" s="375"/>
      <c r="K19" s="375"/>
      <c r="L19" s="376"/>
      <c r="N19" s="383" t="s">
        <v>60</v>
      </c>
      <c r="O19" s="384"/>
      <c r="P19" s="139">
        <f>I16</f>
        <v>26912.5</v>
      </c>
      <c r="R19" s="299">
        <v>17</v>
      </c>
      <c r="S19" s="300" t="str">
        <f>+'17'!A6:A6</f>
        <v xml:space="preserve">D Mart </v>
      </c>
      <c r="T19" s="301">
        <f>+'17'!P35</f>
        <v>784.05289627118646</v>
      </c>
    </row>
    <row r="20" spans="1:20" ht="21.75" customHeight="1" x14ac:dyDescent="0.35">
      <c r="B20" s="377"/>
      <c r="C20" s="378"/>
      <c r="D20" s="378"/>
      <c r="E20" s="378"/>
      <c r="F20" s="378"/>
      <c r="G20" s="378"/>
      <c r="H20" s="378"/>
      <c r="I20" s="378"/>
      <c r="J20" s="378"/>
      <c r="K20" s="378"/>
      <c r="L20" s="379"/>
      <c r="N20" s="385" t="s">
        <v>85</v>
      </c>
      <c r="O20" s="386"/>
      <c r="P20" s="140">
        <f>+J16</f>
        <v>2105.924</v>
      </c>
      <c r="R20" s="299">
        <v>18</v>
      </c>
      <c r="S20" s="300" t="str">
        <f>+'18'!A6:A6</f>
        <v>Saleem Store</v>
      </c>
      <c r="T20" s="301">
        <f>+'18'!P35</f>
        <v>784.05289627118646</v>
      </c>
    </row>
    <row r="21" spans="1:20" ht="21.75" customHeight="1" x14ac:dyDescent="0.35">
      <c r="B21" s="377"/>
      <c r="C21" s="378"/>
      <c r="D21" s="378"/>
      <c r="E21" s="378"/>
      <c r="F21" s="378"/>
      <c r="G21" s="378"/>
      <c r="H21" s="378"/>
      <c r="I21" s="378"/>
      <c r="J21" s="378"/>
      <c r="K21" s="378"/>
      <c r="L21" s="379"/>
      <c r="N21" s="385" t="s">
        <v>86</v>
      </c>
      <c r="O21" s="386"/>
      <c r="P21" s="140">
        <f>+K16+L16</f>
        <v>1021.9666999999999</v>
      </c>
      <c r="R21" s="299">
        <v>19</v>
      </c>
      <c r="S21" s="300" t="str">
        <f>+'19'!A6:A6</f>
        <v xml:space="preserve">Smart Mart </v>
      </c>
      <c r="T21" s="301">
        <f>+'19'!P35</f>
        <v>9408.6347552542375</v>
      </c>
    </row>
    <row r="22" spans="1:20" ht="21.75" customHeight="1" x14ac:dyDescent="0.35">
      <c r="B22" s="377"/>
      <c r="C22" s="378"/>
      <c r="D22" s="378"/>
      <c r="E22" s="378"/>
      <c r="F22" s="378"/>
      <c r="G22" s="378"/>
      <c r="H22" s="378"/>
      <c r="I22" s="378"/>
      <c r="J22" s="378"/>
      <c r="K22" s="378"/>
      <c r="L22" s="379"/>
      <c r="M22" s="131"/>
      <c r="N22" s="385" t="s">
        <v>87</v>
      </c>
      <c r="O22" s="386"/>
      <c r="P22" s="140">
        <f>P19-P20-P21</f>
        <v>23784.6093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7"/>
      <c r="C23" s="378"/>
      <c r="D23" s="378"/>
      <c r="E23" s="378"/>
      <c r="F23" s="378"/>
      <c r="G23" s="378"/>
      <c r="H23" s="378"/>
      <c r="I23" s="378"/>
      <c r="J23" s="378"/>
      <c r="K23" s="378"/>
      <c r="L23" s="379"/>
      <c r="M23" s="131"/>
      <c r="N23" s="136" t="s">
        <v>61</v>
      </c>
      <c r="O23" s="133">
        <v>0.18</v>
      </c>
      <c r="P23" s="140">
        <f>+N16</f>
        <v>5094.9152542372876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7"/>
      <c r="C24" s="378"/>
      <c r="D24" s="378"/>
      <c r="E24" s="378"/>
      <c r="F24" s="378"/>
      <c r="G24" s="378"/>
      <c r="H24" s="378"/>
      <c r="I24" s="378"/>
      <c r="J24" s="378"/>
      <c r="K24" s="378"/>
      <c r="L24" s="379"/>
      <c r="M24" s="131"/>
      <c r="N24" s="387" t="s">
        <v>76</v>
      </c>
      <c r="O24" s="388"/>
      <c r="P24" s="140">
        <f>P22+P23</f>
        <v>28879.524554237287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0"/>
      <c r="C25" s="381"/>
      <c r="D25" s="381"/>
      <c r="E25" s="381"/>
      <c r="F25" s="381"/>
      <c r="G25" s="381"/>
      <c r="H25" s="381"/>
      <c r="I25" s="381"/>
      <c r="J25" s="381"/>
      <c r="K25" s="381"/>
      <c r="L25" s="382"/>
      <c r="M25" s="99"/>
      <c r="N25" s="138" t="s">
        <v>83</v>
      </c>
      <c r="O25" s="137" t="e">
        <f>IF(#REF!="Filer",0.5%,2.5%)</f>
        <v>#REF!</v>
      </c>
      <c r="P25" s="140">
        <f>+O16</f>
        <v>144.39762277118646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4" t="s">
        <v>88</v>
      </c>
      <c r="O26" s="345"/>
      <c r="P26" s="297">
        <f>+P24+P25</f>
        <v>29023.922177008473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6"/>
      <c r="D27" s="346"/>
      <c r="E27" s="346"/>
      <c r="F27" s="346"/>
      <c r="G27" s="346"/>
      <c r="H27" s="346"/>
      <c r="I27" s="347"/>
      <c r="J27" s="348"/>
      <c r="K27" s="34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29023.92217700847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abSelected="1" topLeftCell="A16" workbookViewId="0">
      <selection activeCell="Q35" sqref="Q3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Summary!H3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7.25" customHeight="1" x14ac:dyDescent="0.4">
      <c r="A6" s="398" t="s">
        <v>515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167.88</v>
      </c>
      <c r="K16" s="127">
        <f>$I16*T16</f>
        <v>73.447500000000005</v>
      </c>
      <c r="L16" s="118">
        <f>$I16*U16</f>
        <v>0</v>
      </c>
      <c r="M16" s="229">
        <f>I16-SUM(J16:L16)</f>
        <v>1857.1725000000001</v>
      </c>
      <c r="N16" s="248">
        <f>+(G16*D16+H16)*V16</f>
        <v>396.61016949152526</v>
      </c>
      <c r="O16" s="238">
        <f>(N16+M16)*$O$15</f>
        <v>11.268913347457627</v>
      </c>
      <c r="P16" s="310">
        <f>M16+N16+O16</f>
        <v>2265.051582838983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40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3667.7000000000003</v>
      </c>
      <c r="J25" s="274">
        <f>SUM(J16:J24)</f>
        <v>246.34000000000003</v>
      </c>
      <c r="K25" s="275">
        <f t="shared" si="10"/>
        <v>128.36950000000002</v>
      </c>
      <c r="L25" s="276">
        <f t="shared" si="10"/>
        <v>80.029200000000003</v>
      </c>
      <c r="M25" s="232">
        <f t="shared" si="10"/>
        <v>3212.9613000000004</v>
      </c>
      <c r="N25" s="233">
        <f>SUM(N16:N24)</f>
        <v>701.694915254237</v>
      </c>
      <c r="O25" s="101">
        <f>SUM(O16:O24)</f>
        <v>19.573281076271186</v>
      </c>
      <c r="P25" s="113">
        <f>SUM(P16:P24)</f>
        <v>3934.2294963305085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3667.7000000000003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246.34000000000003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208.39870000000002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3212.9612999999999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701.694915254237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3914.6562152542369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19.573281076271186</v>
      </c>
    </row>
    <row r="35" spans="2:16" ht="15.75" customHeight="1" thickBot="1" x14ac:dyDescent="0.4">
      <c r="N35" s="344" t="s">
        <v>88</v>
      </c>
      <c r="O35" s="345"/>
      <c r="P35" s="297">
        <f>+P33+P34</f>
        <v>3934.229496330508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363.2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29.056000000000001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12.712000000000002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321.43200000000002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390.07606779661018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4" t="s">
        <v>88</v>
      </c>
      <c r="O35" s="345"/>
      <c r="P35" s="297">
        <f>+P33+P34</f>
        <v>392.02644813559323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8.75" customHeight="1" x14ac:dyDescent="0.4">
      <c r="A6" s="398" t="s">
        <v>517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363.2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29.056000000000001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12.712000000000002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321.43200000000002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390.07606779661018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4" t="s">
        <v>88</v>
      </c>
      <c r="O35" s="345"/>
      <c r="P35" s="297">
        <f>+P33+P34</f>
        <v>392.02644813559323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363.2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29.056000000000001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12.712000000000002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321.43200000000002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390.07606779661018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4" t="s">
        <v>88</v>
      </c>
      <c r="O35" s="345"/>
      <c r="P35" s="297">
        <f>+P33+P34</f>
        <v>392.02644813559323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363.2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29.056000000000001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12.712000000000002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321.43200000000002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390.07606779661018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4" t="s">
        <v>88</v>
      </c>
      <c r="O35" s="345"/>
      <c r="P35" s="297">
        <f>+P33+P34</f>
        <v>392.02644813559323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520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7.6272000000000011</v>
      </c>
      <c r="L25" s="276">
        <f t="shared" si="7"/>
        <v>0</v>
      </c>
      <c r="M25" s="232">
        <f t="shared" si="7"/>
        <v>192.85920000000002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217.92000000000002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17.433600000000002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7.6272000000000011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192.85920000000002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234.04564067796611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44" t="s">
        <v>88</v>
      </c>
      <c r="O35" s="345"/>
      <c r="P35" s="297">
        <f>+P33+P34</f>
        <v>235.21586888135593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521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311">
        <f t="shared" si="5"/>
        <v>235.21586888135593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7.6272000000000011</v>
      </c>
      <c r="L25" s="276">
        <f t="shared" si="7"/>
        <v>0</v>
      </c>
      <c r="M25" s="232">
        <f t="shared" si="7"/>
        <v>192.85920000000002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217.92000000000002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17.433600000000002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7.6272000000000011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192.85920000000002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234.04564067796611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44" t="s">
        <v>88</v>
      </c>
      <c r="O35" s="345"/>
      <c r="P35" s="297">
        <f>+P33+P34</f>
        <v>235.21586888135593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522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311">
        <f t="shared" si="5"/>
        <v>313.62115850847459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</v>
      </c>
      <c r="I25" s="114">
        <f t="shared" si="7"/>
        <v>290.56</v>
      </c>
      <c r="J25" s="274">
        <f>SUM(J16:J24)</f>
        <v>23.244800000000001</v>
      </c>
      <c r="K25" s="275">
        <f t="shared" si="7"/>
        <v>10.169600000000001</v>
      </c>
      <c r="L25" s="276">
        <f t="shared" si="7"/>
        <v>0</v>
      </c>
      <c r="M25" s="232">
        <f t="shared" si="7"/>
        <v>257.1456</v>
      </c>
      <c r="N25" s="233">
        <f>SUM(N16:N24)</f>
        <v>54.915254237288138</v>
      </c>
      <c r="O25" s="101">
        <f>SUM(O16:O24)</f>
        <v>1.5603042711864408</v>
      </c>
      <c r="P25" s="113">
        <f>SUM(P16:P24)</f>
        <v>313.62115850847459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290.56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23.244800000000001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10.169600000000001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257.1456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54.915254237288138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312.06085423728814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1.5603042711864408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313.62115850847459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523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8716.7999999999993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697.34400000000005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305.08800000000002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7714.3679999999995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9361.8256271186438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4" t="s">
        <v>88</v>
      </c>
      <c r="O35" s="345"/>
      <c r="P35" s="297">
        <f>+P33+P34</f>
        <v>9408.6347552542375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524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7.6272000000000011</v>
      </c>
      <c r="L25" s="276">
        <f t="shared" si="7"/>
        <v>0</v>
      </c>
      <c r="M25" s="232">
        <f t="shared" si="7"/>
        <v>192.85920000000002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217.92000000000002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17.433600000000002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7.6272000000000011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192.85920000000002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234.04564067796611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44" t="s">
        <v>88</v>
      </c>
      <c r="O35" s="345"/>
      <c r="P35" s="297">
        <f>+P33+P34</f>
        <v>235.21586888135593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525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3</v>
      </c>
      <c r="I20" s="236">
        <f t="shared" si="0"/>
        <v>217.92000000000002</v>
      </c>
      <c r="J20" s="272">
        <f t="shared" si="1"/>
        <v>17.433600000000002</v>
      </c>
      <c r="K20" s="128">
        <f t="shared" si="1"/>
        <v>7.6272000000000011</v>
      </c>
      <c r="L20" s="119">
        <f t="shared" si="1"/>
        <v>0</v>
      </c>
      <c r="M20" s="230">
        <f t="shared" si="2"/>
        <v>192.85920000000002</v>
      </c>
      <c r="N20" s="277">
        <f t="shared" si="3"/>
        <v>41.186440677966104</v>
      </c>
      <c r="O20" s="239">
        <f t="shared" si="4"/>
        <v>1.1702282033898306</v>
      </c>
      <c r="P20" s="311">
        <f t="shared" si="5"/>
        <v>235.21586888135593</v>
      </c>
      <c r="Q20" s="156"/>
      <c r="R20">
        <f>P20/21</f>
        <v>11.200755661016949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3</v>
      </c>
      <c r="I25" s="114">
        <f t="shared" si="7"/>
        <v>217.92000000000002</v>
      </c>
      <c r="J25" s="274">
        <f>SUM(J16:J24)</f>
        <v>17.433600000000002</v>
      </c>
      <c r="K25" s="275">
        <f t="shared" si="7"/>
        <v>7.6272000000000011</v>
      </c>
      <c r="L25" s="276">
        <f t="shared" si="7"/>
        <v>0</v>
      </c>
      <c r="M25" s="232">
        <f t="shared" si="7"/>
        <v>192.85920000000002</v>
      </c>
      <c r="N25" s="233">
        <f>SUM(N16:N24)</f>
        <v>41.186440677966104</v>
      </c>
      <c r="O25" s="101">
        <f>SUM(O16:O24)</f>
        <v>1.1702282033898306</v>
      </c>
      <c r="P25" s="113">
        <f>SUM(P16:P24)</f>
        <v>235.21586888135593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217.92000000000002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17.433600000000002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7.6272000000000011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192.85920000000002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41.186440677966104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234.04564067796611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1.1702282033898306</v>
      </c>
    </row>
    <row r="35" spans="2:16" ht="15.75" customHeight="1" thickBot="1" x14ac:dyDescent="0.4">
      <c r="N35" s="344" t="s">
        <v>88</v>
      </c>
      <c r="O35" s="345"/>
      <c r="P35" s="297">
        <f>+P33+P34</f>
        <v>235.21586888135593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526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311">
        <f t="shared" si="5"/>
        <v>313.62115850847459</v>
      </c>
      <c r="Q20" s="156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4</v>
      </c>
      <c r="I25" s="114">
        <f t="shared" si="7"/>
        <v>290.56</v>
      </c>
      <c r="J25" s="274">
        <f>SUM(J16:J24)</f>
        <v>23.244800000000001</v>
      </c>
      <c r="K25" s="275">
        <f t="shared" si="7"/>
        <v>10.169600000000001</v>
      </c>
      <c r="L25" s="276">
        <f t="shared" si="7"/>
        <v>0</v>
      </c>
      <c r="M25" s="232">
        <f t="shared" si="7"/>
        <v>257.1456</v>
      </c>
      <c r="N25" s="233">
        <f>SUM(N16:N24)</f>
        <v>54.915254237288138</v>
      </c>
      <c r="O25" s="101">
        <f>SUM(O16:O24)</f>
        <v>1.5603042711864408</v>
      </c>
      <c r="P25" s="113">
        <f>SUM(P16:P24)</f>
        <v>313.62115850847459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290.56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23.244800000000001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10.169600000000001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257.1456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54.915254237288138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312.06085423728814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1.5603042711864408</v>
      </c>
    </row>
    <row r="35" spans="2:16" ht="15.75" customHeight="1" thickBot="1" x14ac:dyDescent="0.4">
      <c r="N35" s="344" t="s">
        <v>88</v>
      </c>
      <c r="O35" s="345"/>
      <c r="P35" s="297">
        <f>+P33+P34</f>
        <v>313.62115850847459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527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363.2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29.056000000000001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12.712000000000002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321.43200000000002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390.07606779661018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4" t="s">
        <v>88</v>
      </c>
      <c r="O35" s="345"/>
      <c r="P35" s="297">
        <f>+P33+P34</f>
        <v>392.02644813559323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528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363.2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29.056000000000001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12.712000000000002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321.43200000000002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390.07606779661018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4" t="s">
        <v>88</v>
      </c>
      <c r="O35" s="345"/>
      <c r="P35" s="297">
        <f>+P33+P34</f>
        <v>392.02644813559323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529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363.2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29.056000000000001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12.712000000000002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321.43200000000002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390.07606779661018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4" t="s">
        <v>88</v>
      </c>
      <c r="O35" s="345"/>
      <c r="P35" s="297">
        <f>+P33+P34</f>
        <v>392.02644813559323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530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311">
        <f t="shared" si="5"/>
        <v>392.02644813559323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5</v>
      </c>
      <c r="I25" s="114">
        <f t="shared" si="7"/>
        <v>363.2</v>
      </c>
      <c r="J25" s="274">
        <f>SUM(J16:J24)</f>
        <v>29.056000000000001</v>
      </c>
      <c r="K25" s="275">
        <f t="shared" si="7"/>
        <v>12.712000000000002</v>
      </c>
      <c r="L25" s="276">
        <f t="shared" si="7"/>
        <v>0</v>
      </c>
      <c r="M25" s="232">
        <f t="shared" si="7"/>
        <v>321.43200000000002</v>
      </c>
      <c r="N25" s="233">
        <f>SUM(N16:N24)</f>
        <v>68.644067796610173</v>
      </c>
      <c r="O25" s="101">
        <f>SUM(O16:O24)</f>
        <v>1.950380338983051</v>
      </c>
      <c r="P25" s="113">
        <f>SUM(P16:P24)</f>
        <v>392.02644813559323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363.2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29.056000000000001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12.712000000000002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321.43200000000002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68.644067796610173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390.07606779661018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1.950380338983051</v>
      </c>
    </row>
    <row r="35" spans="2:16" ht="15.75" customHeight="1" thickBot="1" x14ac:dyDescent="0.4">
      <c r="N35" s="344" t="s">
        <v>88</v>
      </c>
      <c r="O35" s="345"/>
      <c r="P35" s="297">
        <f>+P33+P34</f>
        <v>392.02644813559323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531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726.4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58.112000000000002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25.424000000000003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642.86400000000003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780.15213559322035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4" t="s">
        <v>88</v>
      </c>
      <c r="O35" s="345"/>
      <c r="P35" s="297">
        <f>+P33+P34</f>
        <v>784.05289627118646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532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311">
        <f t="shared" si="5"/>
        <v>784.05289627118646</v>
      </c>
      <c r="Q20" s="156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113">
        <f>SUM(P16:P24)</f>
        <v>784.05289627118646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726.4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58.112000000000002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25.424000000000003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642.86400000000003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780.15213559322035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4" t="s">
        <v>88</v>
      </c>
      <c r="O35" s="345"/>
      <c r="P35" s="297">
        <f>+P33+P34</f>
        <v>784.05289627118646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533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8716.7999999999993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697.34400000000005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305.08800000000002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7714.3679999999995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9361.8256271186438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4" t="s">
        <v>88</v>
      </c>
      <c r="O35" s="345"/>
      <c r="P35" s="297">
        <f>+P33+P34</f>
        <v>9408.6347552542375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8.7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8" t="s">
        <v>91</v>
      </c>
      <c r="B2" s="368"/>
      <c r="C2" s="368"/>
    </row>
    <row r="3" spans="1:22 16383:16384" ht="15" customHeight="1" x14ac:dyDescent="0.35">
      <c r="A3" s="369" t="s">
        <v>92</v>
      </c>
      <c r="B3" s="369"/>
      <c r="C3" s="369"/>
      <c r="F3" s="85"/>
      <c r="G3" s="1"/>
      <c r="K3" s="370" t="s">
        <v>43</v>
      </c>
      <c r="L3" s="370"/>
      <c r="M3" s="370"/>
      <c r="N3" s="369"/>
      <c r="O3" s="369"/>
      <c r="P3" s="369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9" t="s">
        <v>499</v>
      </c>
      <c r="B4" s="369"/>
      <c r="C4" s="369"/>
      <c r="F4" s="85"/>
      <c r="G4" s="1"/>
      <c r="K4" s="370" t="s">
        <v>44</v>
      </c>
      <c r="L4" s="370"/>
      <c r="M4" s="370"/>
      <c r="N4" s="400">
        <f>'1'!N4:P4</f>
        <v>46270</v>
      </c>
      <c r="O4" s="400"/>
      <c r="P4" s="400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7" t="s">
        <v>492</v>
      </c>
      <c r="B5" s="397"/>
      <c r="C5" s="397"/>
      <c r="F5" s="85"/>
      <c r="G5" s="1"/>
      <c r="K5" s="370" t="s">
        <v>45</v>
      </c>
      <c r="L5" s="370"/>
      <c r="M5" s="370"/>
      <c r="N5" s="400">
        <f>N4-1</f>
        <v>46269</v>
      </c>
      <c r="O5" s="369"/>
      <c r="P5" s="369"/>
      <c r="R5" s="85"/>
      <c r="S5" s="266"/>
    </row>
    <row r="6" spans="1:22 16383:16384" ht="15" customHeight="1" x14ac:dyDescent="0.4">
      <c r="A6" s="398" t="s">
        <v>512</v>
      </c>
      <c r="B6" s="398"/>
      <c r="C6" s="398"/>
      <c r="F6" s="85"/>
      <c r="G6" s="86"/>
      <c r="K6" s="370" t="s">
        <v>69</v>
      </c>
      <c r="L6" s="370"/>
      <c r="M6" s="370"/>
      <c r="N6" s="399" t="str">
        <f>Summary!H2</f>
        <v xml:space="preserve">Zeshan </v>
      </c>
      <c r="O6" s="399"/>
      <c r="P6" s="399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0" t="s">
        <v>73</v>
      </c>
      <c r="B7" s="370"/>
      <c r="C7" s="370"/>
      <c r="F7" s="85"/>
      <c r="G7" s="86"/>
      <c r="K7" s="370" t="s">
        <v>66</v>
      </c>
      <c r="L7" s="370"/>
      <c r="M7" s="370"/>
      <c r="N7" s="399" t="s">
        <v>505</v>
      </c>
      <c r="O7" s="399"/>
      <c r="P7" s="399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6" t="s">
        <v>514</v>
      </c>
      <c r="B8" s="396"/>
      <c r="C8" s="396"/>
      <c r="F8" s="85"/>
      <c r="G8" s="86"/>
      <c r="K8" s="370" t="s">
        <v>67</v>
      </c>
      <c r="L8" s="370"/>
      <c r="M8" s="370"/>
      <c r="N8" s="399" t="s">
        <v>505</v>
      </c>
      <c r="O8" s="399"/>
      <c r="P8" s="399"/>
      <c r="R8" s="85"/>
      <c r="S8" s="267"/>
    </row>
    <row r="9" spans="1:22 16383:16384" x14ac:dyDescent="0.35">
      <c r="A9" s="396" t="s">
        <v>96</v>
      </c>
      <c r="B9" s="396"/>
      <c r="C9" s="396"/>
      <c r="F9" s="85"/>
      <c r="G9" s="86"/>
      <c r="K9" s="370" t="s">
        <v>68</v>
      </c>
      <c r="L9" s="370"/>
      <c r="M9" s="370"/>
      <c r="N9" s="399" t="s">
        <v>104</v>
      </c>
      <c r="O9" s="399"/>
      <c r="P9" s="399"/>
      <c r="R9" s="85"/>
      <c r="S9" s="267"/>
      <c r="XFD9" t="s">
        <v>49</v>
      </c>
    </row>
    <row r="10" spans="1:22 16383:16384" x14ac:dyDescent="0.35">
      <c r="A10" s="396" t="s">
        <v>97</v>
      </c>
      <c r="B10" s="396"/>
      <c r="C10" s="396"/>
      <c r="F10" s="85"/>
      <c r="G10" s="1"/>
      <c r="K10" s="370" t="s">
        <v>46</v>
      </c>
      <c r="L10" s="370"/>
      <c r="M10" s="370"/>
      <c r="N10" s="369" t="s">
        <v>47</v>
      </c>
      <c r="O10" s="369"/>
      <c r="P10" s="369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0" t="s">
        <v>48</v>
      </c>
      <c r="L11" s="370"/>
      <c r="M11" s="370"/>
      <c r="N11" s="399" t="s">
        <v>49</v>
      </c>
      <c r="O11" s="399"/>
      <c r="P11" s="399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0" t="s">
        <v>50</v>
      </c>
      <c r="L12" s="370"/>
      <c r="M12" s="370"/>
      <c r="N12" s="369"/>
      <c r="O12" s="369"/>
      <c r="P12" s="369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9" t="s">
        <v>51</v>
      </c>
      <c r="B14" s="361"/>
      <c r="C14" s="391" t="s">
        <v>90</v>
      </c>
      <c r="D14" s="115" t="s">
        <v>52</v>
      </c>
      <c r="E14" s="393" t="s">
        <v>58</v>
      </c>
      <c r="F14" s="394"/>
      <c r="G14" s="366" t="s">
        <v>54</v>
      </c>
      <c r="H14" s="367"/>
      <c r="I14" s="395" t="s">
        <v>77</v>
      </c>
      <c r="J14" s="365" t="s">
        <v>55</v>
      </c>
      <c r="K14" s="366"/>
      <c r="L14" s="367"/>
      <c r="M14" s="361" t="s">
        <v>84</v>
      </c>
      <c r="N14" s="363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0"/>
      <c r="B15" s="362"/>
      <c r="C15" s="392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4"/>
      <c r="J15" s="143" t="s">
        <v>59</v>
      </c>
      <c r="K15" s="144" t="s">
        <v>39</v>
      </c>
      <c r="L15" s="145" t="s">
        <v>493</v>
      </c>
      <c r="M15" s="362"/>
      <c r="N15" s="364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5"/>
      <c r="L28" s="376"/>
      <c r="N28" s="383" t="s">
        <v>60</v>
      </c>
      <c r="O28" s="384"/>
      <c r="P28" s="139">
        <f>I25</f>
        <v>0</v>
      </c>
    </row>
    <row r="29" spans="1:22 16384:16384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8"/>
      <c r="L29" s="379"/>
      <c r="N29" s="385" t="s">
        <v>85</v>
      </c>
      <c r="O29" s="386"/>
      <c r="P29" s="140">
        <f>+J25</f>
        <v>0</v>
      </c>
    </row>
    <row r="30" spans="1:22 16384:16384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8"/>
      <c r="L30" s="379"/>
      <c r="N30" s="385" t="s">
        <v>86</v>
      </c>
      <c r="O30" s="386"/>
      <c r="P30" s="140">
        <f>+K25+L25</f>
        <v>0</v>
      </c>
    </row>
    <row r="31" spans="1:22 16384:16384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8"/>
      <c r="L31" s="379"/>
      <c r="M31" s="131"/>
      <c r="N31" s="385" t="s">
        <v>87</v>
      </c>
      <c r="O31" s="386"/>
      <c r="P31" s="140">
        <f>P28-P29-P30</f>
        <v>0</v>
      </c>
    </row>
    <row r="32" spans="1:22 16384:16384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8"/>
      <c r="L32" s="379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8"/>
      <c r="L33" s="379"/>
      <c r="M33" s="131"/>
      <c r="N33" s="387" t="s">
        <v>76</v>
      </c>
      <c r="O33" s="388"/>
      <c r="P33" s="140">
        <f>P31+P32</f>
        <v>0</v>
      </c>
    </row>
    <row r="34" spans="2:16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1"/>
      <c r="L34" s="382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4" t="s">
        <v>88</v>
      </c>
      <c r="O35" s="345"/>
      <c r="P35" s="297">
        <f>+P33+P34</f>
        <v>0</v>
      </c>
    </row>
    <row r="36" spans="2:16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348"/>
      <c r="K36" s="34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8" t="s">
        <v>91</v>
      </c>
      <c r="B2" s="368"/>
      <c r="C2" s="368"/>
    </row>
    <row r="3" spans="1:18 16382:16383" ht="15" customHeight="1" x14ac:dyDescent="0.35">
      <c r="A3" s="369" t="s">
        <v>92</v>
      </c>
      <c r="B3" s="369"/>
      <c r="C3" s="369"/>
      <c r="F3" s="85"/>
      <c r="G3" s="1"/>
      <c r="J3" s="370" t="s">
        <v>43</v>
      </c>
      <c r="K3" s="370"/>
      <c r="L3" s="370"/>
      <c r="M3" s="369"/>
      <c r="N3" s="369"/>
      <c r="O3" s="369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9" t="s">
        <v>65</v>
      </c>
      <c r="B4" s="369"/>
      <c r="C4" s="369"/>
      <c r="F4" s="85"/>
      <c r="G4" s="1"/>
      <c r="J4" s="370" t="s">
        <v>44</v>
      </c>
      <c r="K4" s="370"/>
      <c r="L4" s="370"/>
      <c r="M4" s="400">
        <f ca="1">TODAY()+1</f>
        <v>46271</v>
      </c>
      <c r="N4" s="400"/>
      <c r="O4" s="400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7" t="s">
        <v>93</v>
      </c>
      <c r="B5" s="397"/>
      <c r="C5" s="397"/>
      <c r="F5" s="85"/>
      <c r="G5" s="1"/>
      <c r="J5" s="370" t="s">
        <v>45</v>
      </c>
      <c r="K5" s="370"/>
      <c r="L5" s="370"/>
      <c r="M5" s="400">
        <f ca="1">M4-1</f>
        <v>46270</v>
      </c>
      <c r="N5" s="369"/>
      <c r="O5" s="369"/>
      <c r="Q5" s="85"/>
      <c r="R5" s="1"/>
    </row>
    <row r="6" spans="1:18 16382:16383" ht="15" customHeight="1" x14ac:dyDescent="0.35">
      <c r="A6" s="370" t="s">
        <v>94</v>
      </c>
      <c r="B6" s="370"/>
      <c r="C6" s="370"/>
      <c r="F6" s="85"/>
      <c r="G6" s="86"/>
      <c r="J6" s="370" t="s">
        <v>69</v>
      </c>
      <c r="K6" s="370"/>
      <c r="L6" s="370"/>
      <c r="M6" s="399" t="s">
        <v>62</v>
      </c>
      <c r="N6" s="399"/>
      <c r="O6" s="399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0" t="s">
        <v>73</v>
      </c>
      <c r="B7" s="370"/>
      <c r="C7" s="370"/>
      <c r="F7" s="85"/>
      <c r="G7" s="86"/>
      <c r="J7" s="370" t="s">
        <v>66</v>
      </c>
      <c r="K7" s="370"/>
      <c r="L7" s="370"/>
      <c r="M7" s="399" t="s">
        <v>70</v>
      </c>
      <c r="N7" s="399"/>
      <c r="O7" s="399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6" t="s">
        <v>95</v>
      </c>
      <c r="B8" s="396"/>
      <c r="C8" s="396"/>
      <c r="F8" s="85"/>
      <c r="G8" s="86"/>
      <c r="J8" s="370" t="s">
        <v>67</v>
      </c>
      <c r="K8" s="370"/>
      <c r="L8" s="370"/>
      <c r="M8" s="399" t="s">
        <v>71</v>
      </c>
      <c r="N8" s="399"/>
      <c r="O8" s="399"/>
      <c r="Q8" s="85"/>
      <c r="R8" s="86"/>
    </row>
    <row r="9" spans="1:18 16382:16383" x14ac:dyDescent="0.35">
      <c r="A9" s="396" t="s">
        <v>96</v>
      </c>
      <c r="B9" s="396"/>
      <c r="C9" s="396"/>
      <c r="F9" s="85"/>
      <c r="G9" s="86"/>
      <c r="J9" s="370" t="s">
        <v>68</v>
      </c>
      <c r="K9" s="370"/>
      <c r="L9" s="370"/>
      <c r="M9" s="399" t="s">
        <v>104</v>
      </c>
      <c r="N9" s="399"/>
      <c r="O9" s="399"/>
      <c r="Q9" s="85"/>
      <c r="R9" s="86"/>
      <c r="XFC9" t="s">
        <v>49</v>
      </c>
    </row>
    <row r="10" spans="1:18 16382:16383" x14ac:dyDescent="0.35">
      <c r="A10" s="396" t="s">
        <v>97</v>
      </c>
      <c r="B10" s="396"/>
      <c r="C10" s="396"/>
      <c r="F10" s="85"/>
      <c r="G10" s="1"/>
      <c r="J10" s="370" t="s">
        <v>46</v>
      </c>
      <c r="K10" s="370"/>
      <c r="L10" s="370"/>
      <c r="M10" s="369" t="s">
        <v>47</v>
      </c>
      <c r="N10" s="369"/>
      <c r="O10" s="369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0" t="s">
        <v>48</v>
      </c>
      <c r="K11" s="370"/>
      <c r="L11" s="370"/>
      <c r="M11" s="369" t="s">
        <v>49</v>
      </c>
      <c r="N11" s="369"/>
      <c r="O11" s="369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0" t="s">
        <v>50</v>
      </c>
      <c r="K12" s="370"/>
      <c r="L12" s="370"/>
      <c r="M12" s="369"/>
      <c r="N12" s="369"/>
      <c r="O12" s="369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9" t="s">
        <v>51</v>
      </c>
      <c r="B14" s="361"/>
      <c r="C14" s="391" t="s">
        <v>90</v>
      </c>
      <c r="D14" s="88" t="s">
        <v>52</v>
      </c>
      <c r="E14" s="95" t="s">
        <v>74</v>
      </c>
      <c r="F14" s="115" t="s">
        <v>53</v>
      </c>
      <c r="G14" s="365" t="s">
        <v>54</v>
      </c>
      <c r="H14" s="367"/>
      <c r="I14" s="395" t="s">
        <v>77</v>
      </c>
      <c r="J14" s="366" t="s">
        <v>55</v>
      </c>
      <c r="K14" s="367"/>
      <c r="L14" s="39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0"/>
      <c r="B15" s="362"/>
      <c r="C15" s="392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4"/>
      <c r="J15" s="144" t="s">
        <v>39</v>
      </c>
      <c r="K15" s="145" t="s">
        <v>59</v>
      </c>
      <c r="L15" s="364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1">
        <f>COUNT(A16:A24)</f>
        <v>0</v>
      </c>
      <c r="B25" s="372"/>
      <c r="C25" s="372" t="s">
        <v>40</v>
      </c>
      <c r="D25" s="372"/>
      <c r="E25" s="372"/>
      <c r="F25" s="373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4" t="s">
        <v>64</v>
      </c>
      <c r="C28" s="375"/>
      <c r="D28" s="375"/>
      <c r="E28" s="375"/>
      <c r="F28" s="375"/>
      <c r="G28" s="375"/>
      <c r="H28" s="375"/>
      <c r="I28" s="375"/>
      <c r="J28" s="375"/>
      <c r="K28" s="376"/>
      <c r="M28" s="383" t="s">
        <v>60</v>
      </c>
      <c r="N28" s="384"/>
      <c r="O28" s="139">
        <f>I25</f>
        <v>1452.8</v>
      </c>
    </row>
    <row r="29" spans="1:18 16383:16383" ht="15" customHeight="1" x14ac:dyDescent="0.35">
      <c r="B29" s="377"/>
      <c r="C29" s="378"/>
      <c r="D29" s="378"/>
      <c r="E29" s="378"/>
      <c r="F29" s="378"/>
      <c r="G29" s="378"/>
      <c r="H29" s="378"/>
      <c r="I29" s="378"/>
      <c r="J29" s="378"/>
      <c r="K29" s="379"/>
      <c r="M29" s="385" t="s">
        <v>85</v>
      </c>
      <c r="N29" s="386"/>
      <c r="O29" s="140">
        <f>K25</f>
        <v>0</v>
      </c>
    </row>
    <row r="30" spans="1:18 16383:16383" ht="15" customHeight="1" x14ac:dyDescent="0.35">
      <c r="B30" s="377"/>
      <c r="C30" s="378"/>
      <c r="D30" s="378"/>
      <c r="E30" s="378"/>
      <c r="F30" s="378"/>
      <c r="G30" s="378"/>
      <c r="H30" s="378"/>
      <c r="I30" s="378"/>
      <c r="J30" s="378"/>
      <c r="K30" s="379"/>
      <c r="M30" s="385" t="s">
        <v>86</v>
      </c>
      <c r="N30" s="386"/>
      <c r="O30" s="140">
        <f>J25</f>
        <v>50.848000000000006</v>
      </c>
    </row>
    <row r="31" spans="1:18 16383:16383" ht="15" customHeight="1" x14ac:dyDescent="0.35">
      <c r="B31" s="377"/>
      <c r="C31" s="378"/>
      <c r="D31" s="378"/>
      <c r="E31" s="378"/>
      <c r="F31" s="378"/>
      <c r="G31" s="378"/>
      <c r="H31" s="378"/>
      <c r="I31" s="378"/>
      <c r="J31" s="378"/>
      <c r="K31" s="379"/>
      <c r="L31" s="131"/>
      <c r="M31" s="385" t="s">
        <v>87</v>
      </c>
      <c r="N31" s="386"/>
      <c r="O31" s="140">
        <f>O28-O29-O30</f>
        <v>1401.952</v>
      </c>
    </row>
    <row r="32" spans="1:18 16383:16383" ht="15" customHeight="1" x14ac:dyDescent="0.35">
      <c r="B32" s="377"/>
      <c r="C32" s="378"/>
      <c r="D32" s="378"/>
      <c r="E32" s="378"/>
      <c r="F32" s="378"/>
      <c r="G32" s="378"/>
      <c r="H32" s="378"/>
      <c r="I32" s="378"/>
      <c r="J32" s="378"/>
      <c r="K32" s="379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7"/>
      <c r="C33" s="378"/>
      <c r="D33" s="378"/>
      <c r="E33" s="378"/>
      <c r="F33" s="378"/>
      <c r="G33" s="378"/>
      <c r="H33" s="378"/>
      <c r="I33" s="378"/>
      <c r="J33" s="378"/>
      <c r="K33" s="379"/>
      <c r="L33" s="131"/>
      <c r="M33" s="387" t="s">
        <v>76</v>
      </c>
      <c r="N33" s="388"/>
      <c r="O33" s="140">
        <f>O31+O32</f>
        <v>1710.3814400000001</v>
      </c>
    </row>
    <row r="34" spans="2:15" ht="15" customHeight="1" thickBot="1" x14ac:dyDescent="0.4">
      <c r="B34" s="380"/>
      <c r="C34" s="381"/>
      <c r="D34" s="381"/>
      <c r="E34" s="381"/>
      <c r="F34" s="381"/>
      <c r="G34" s="381"/>
      <c r="H34" s="381"/>
      <c r="I34" s="381"/>
      <c r="J34" s="381"/>
      <c r="K34" s="382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4" t="s">
        <v>88</v>
      </c>
      <c r="N35" s="345"/>
      <c r="O35" s="141">
        <f>O28-O29+O31+O34</f>
        <v>2897.511536</v>
      </c>
    </row>
    <row r="36" spans="2:15" ht="15" thickBot="1" x14ac:dyDescent="0.4">
      <c r="B36" s="121" t="s">
        <v>63</v>
      </c>
      <c r="C36" s="346"/>
      <c r="D36" s="346"/>
      <c r="E36" s="346"/>
      <c r="F36" s="346"/>
      <c r="G36" s="346"/>
      <c r="H36" s="346"/>
      <c r="I36" s="347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3" t="s">
        <v>439</v>
      </c>
      <c r="E1" s="336" t="s">
        <v>58</v>
      </c>
      <c r="F1" s="336"/>
      <c r="G1" s="337" t="s">
        <v>440</v>
      </c>
      <c r="H1" s="337"/>
      <c r="I1" s="410" t="s">
        <v>441</v>
      </c>
      <c r="J1" s="410"/>
      <c r="K1" s="410" t="s">
        <v>442</v>
      </c>
      <c r="L1" s="410"/>
      <c r="M1" s="405" t="s">
        <v>484</v>
      </c>
      <c r="N1" s="406"/>
      <c r="O1" s="407"/>
    </row>
    <row r="2" spans="3:24" ht="29" x14ac:dyDescent="0.35">
      <c r="C2" s="336"/>
      <c r="D2" s="403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8" t="s">
        <v>476</v>
      </c>
      <c r="D6" s="408"/>
      <c r="E6" s="408"/>
      <c r="F6" s="408"/>
      <c r="G6" s="408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4" t="s">
        <v>58</v>
      </c>
      <c r="F7" s="404"/>
      <c r="G7" s="402" t="s">
        <v>440</v>
      </c>
      <c r="H7" s="337"/>
      <c r="I7" s="338" t="s">
        <v>441</v>
      </c>
      <c r="J7" s="339"/>
      <c r="K7" s="338" t="s">
        <v>442</v>
      </c>
      <c r="L7" s="339"/>
      <c r="M7" s="405" t="s">
        <v>484</v>
      </c>
      <c r="N7" s="406"/>
      <c r="O7" s="407"/>
      <c r="P7" s="256" t="s">
        <v>475</v>
      </c>
      <c r="Q7" s="242" t="s">
        <v>473</v>
      </c>
      <c r="R7" s="403" t="s">
        <v>475</v>
      </c>
      <c r="S7" s="403" t="s">
        <v>485</v>
      </c>
      <c r="T7" s="401" t="s">
        <v>486</v>
      </c>
      <c r="U7" s="401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3"/>
      <c r="S8" s="403"/>
      <c r="T8" s="402"/>
      <c r="U8" s="402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9" t="s">
        <v>477</v>
      </c>
      <c r="D12" s="409"/>
      <c r="E12" s="409"/>
      <c r="F12" s="409"/>
      <c r="G12" s="409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5" t="s">
        <v>484</v>
      </c>
      <c r="N13" s="406"/>
      <c r="O13" s="407"/>
      <c r="P13" s="256" t="s">
        <v>475</v>
      </c>
      <c r="Q13" s="242" t="s">
        <v>473</v>
      </c>
      <c r="R13" s="403" t="s">
        <v>475</v>
      </c>
      <c r="S13" s="403" t="s">
        <v>485</v>
      </c>
      <c r="T13" s="401" t="s">
        <v>486</v>
      </c>
      <c r="U13" s="401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3"/>
      <c r="S14" s="403"/>
      <c r="T14" s="402"/>
      <c r="U14" s="402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8" t="s">
        <v>478</v>
      </c>
      <c r="D19" s="408"/>
      <c r="E19" s="408"/>
      <c r="F19" s="408"/>
      <c r="G19" s="408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5" t="s">
        <v>484</v>
      </c>
      <c r="N20" s="406"/>
      <c r="O20" s="407"/>
      <c r="P20" s="256" t="s">
        <v>475</v>
      </c>
      <c r="Q20" s="242" t="s">
        <v>473</v>
      </c>
      <c r="R20" s="403" t="s">
        <v>475</v>
      </c>
      <c r="S20" s="403" t="s">
        <v>485</v>
      </c>
      <c r="T20" s="401" t="s">
        <v>486</v>
      </c>
      <c r="U20" s="401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3"/>
      <c r="S21" s="403"/>
      <c r="T21" s="402"/>
      <c r="U21" s="402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8" t="s">
        <v>479</v>
      </c>
      <c r="D26" s="408"/>
      <c r="E26" s="408"/>
      <c r="F26" s="408"/>
      <c r="G26" s="408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5" t="s">
        <v>484</v>
      </c>
      <c r="N27" s="406"/>
      <c r="O27" s="407"/>
      <c r="P27" s="256" t="s">
        <v>475</v>
      </c>
      <c r="Q27" s="242" t="s">
        <v>473</v>
      </c>
      <c r="R27" s="403" t="s">
        <v>475</v>
      </c>
      <c r="S27" s="403" t="s">
        <v>485</v>
      </c>
      <c r="T27" s="401" t="s">
        <v>486</v>
      </c>
      <c r="U27" s="401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3"/>
      <c r="S28" s="403"/>
      <c r="T28" s="402"/>
      <c r="U28" s="402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3" t="s">
        <v>439</v>
      </c>
      <c r="D1" s="336" t="s">
        <v>58</v>
      </c>
      <c r="E1" s="336"/>
      <c r="F1" s="337" t="s">
        <v>440</v>
      </c>
      <c r="G1" s="337"/>
      <c r="H1" s="410" t="s">
        <v>441</v>
      </c>
      <c r="I1" s="410"/>
      <c r="J1" s="410" t="s">
        <v>442</v>
      </c>
      <c r="K1" s="410"/>
      <c r="L1" s="405" t="s">
        <v>484</v>
      </c>
      <c r="M1" s="406"/>
      <c r="N1" s="407"/>
    </row>
    <row r="2" spans="2:17" ht="29" x14ac:dyDescent="0.35">
      <c r="B2" s="336"/>
      <c r="C2" s="403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2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2"/>
      <c r="G60" s="160" t="s">
        <v>195</v>
      </c>
      <c r="H60" s="161" t="s">
        <v>100</v>
      </c>
    </row>
    <row r="61" spans="5:8" x14ac:dyDescent="0.35">
      <c r="E61" s="159" t="s">
        <v>192</v>
      </c>
      <c r="F61" s="412"/>
      <c r="G61" s="160" t="s">
        <v>196</v>
      </c>
      <c r="H61" s="161" t="s">
        <v>98</v>
      </c>
    </row>
    <row r="62" spans="5:8" x14ac:dyDescent="0.35">
      <c r="E62" s="159" t="s">
        <v>192</v>
      </c>
      <c r="F62" s="412"/>
      <c r="G62" s="160" t="s">
        <v>197</v>
      </c>
      <c r="H62" s="161" t="s">
        <v>101</v>
      </c>
    </row>
    <row r="63" spans="5:8" x14ac:dyDescent="0.35">
      <c r="E63" s="159" t="s">
        <v>192</v>
      </c>
      <c r="F63" s="412"/>
      <c r="G63" s="160" t="s">
        <v>198</v>
      </c>
      <c r="H63" s="161" t="s">
        <v>102</v>
      </c>
    </row>
    <row r="64" spans="5:8" x14ac:dyDescent="0.35">
      <c r="E64" s="159" t="s">
        <v>192</v>
      </c>
      <c r="F64" s="412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2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2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2"/>
      <c r="G121" s="160" t="s">
        <v>273</v>
      </c>
      <c r="H121" s="161" t="s">
        <v>98</v>
      </c>
    </row>
    <row r="122" spans="5:8" x14ac:dyDescent="0.35">
      <c r="E122" s="159" t="s">
        <v>269</v>
      </c>
      <c r="F122" s="412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2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2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2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2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2"/>
      <c r="G241" s="160" t="s">
        <v>432</v>
      </c>
      <c r="H241" s="161" t="s">
        <v>98</v>
      </c>
    </row>
    <row r="242" spans="5:8" x14ac:dyDescent="0.35">
      <c r="E242" s="159" t="s">
        <v>428</v>
      </c>
      <c r="F242" s="412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2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2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2026-09-05T11:24:21Z</dcterms:modified>
</cp:coreProperties>
</file>