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484BEC-043E-4F0B-B019-11561A2A3C0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49" l="1"/>
  <c r="O23" i="49" s="1"/>
  <c r="P23" i="49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2" i="52"/>
  <c r="O22" i="52" s="1"/>
  <c r="P22" i="52" s="1"/>
  <c r="M21" i="69"/>
  <c r="O21" i="69" s="1"/>
  <c r="P21" i="69" s="1"/>
  <c r="J7" i="62"/>
  <c r="K12" i="62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4"/>
  <c r="O21" i="44" s="1"/>
  <c r="P21" i="44" s="1"/>
  <c r="M21" i="47"/>
  <c r="O21" i="47" s="1"/>
  <c r="P21" i="47" s="1"/>
  <c r="M20" i="71"/>
  <c r="O20" i="71" s="1"/>
  <c r="P20" i="71" s="1"/>
  <c r="R20" i="71" s="1"/>
  <c r="M16" i="58"/>
  <c r="O16" i="58" s="1"/>
  <c r="P16" i="58" s="1"/>
  <c r="M16" i="59"/>
  <c r="M17" i="72"/>
  <c r="O17" i="72" s="1"/>
  <c r="P17" i="72" s="1"/>
  <c r="M16" i="64"/>
  <c r="M17" i="60"/>
  <c r="O17" i="60" s="1"/>
  <c r="P17" i="60" s="1"/>
  <c r="M23" i="56"/>
  <c r="O23" i="56" s="1"/>
  <c r="P23" i="56" s="1"/>
  <c r="M16" i="65"/>
  <c r="M22" i="63"/>
  <c r="O22" i="63" s="1"/>
  <c r="P22" i="63" s="1"/>
  <c r="M23" i="51"/>
  <c r="O23" i="51" s="1"/>
  <c r="P23" i="51" s="1"/>
  <c r="M23" i="60"/>
  <c r="O23" i="60" s="1"/>
  <c r="P23" i="60" s="1"/>
  <c r="M23" i="58"/>
  <c r="O23" i="58" s="1"/>
  <c r="P23" i="58" s="1"/>
  <c r="M16" i="60"/>
  <c r="M21" i="51"/>
  <c r="O21" i="51" s="1"/>
  <c r="P21" i="51" s="1"/>
  <c r="M23" i="72"/>
  <c r="O23" i="72" s="1"/>
  <c r="P23" i="72" s="1"/>
  <c r="M23" i="64"/>
  <c r="M23" i="59"/>
  <c r="M23" i="44"/>
  <c r="O23" i="44" s="1"/>
  <c r="P23" i="44" s="1"/>
  <c r="M16" i="66"/>
  <c r="M16" i="44"/>
  <c r="M23" i="65"/>
  <c r="M16" i="72"/>
  <c r="M21" i="53"/>
  <c r="O21" i="53" s="1"/>
  <c r="P21" i="53" s="1"/>
  <c r="M23" i="69"/>
  <c r="M23" i="53"/>
  <c r="O23" i="53" s="1"/>
  <c r="P23" i="53" s="1"/>
  <c r="M21" i="68"/>
  <c r="O21" i="68" s="1"/>
  <c r="P21" i="68" s="1"/>
  <c r="M22" i="43"/>
  <c r="O22" i="43" s="1"/>
  <c r="P22" i="43" s="1"/>
  <c r="M16" i="48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 s="1"/>
  <c r="O23" i="59"/>
  <c r="P23" i="59" s="1"/>
  <c r="O23" i="69"/>
  <c r="P23" i="69" s="1"/>
  <c r="O16" i="67"/>
  <c r="P16" i="67" s="1"/>
  <c r="O24" i="48"/>
  <c r="P24" i="48" s="1"/>
  <c r="O16" i="44"/>
  <c r="O22" i="51"/>
  <c r="P22" i="51" s="1"/>
  <c r="O16" i="64"/>
  <c r="P16" i="64" s="1"/>
  <c r="O16" i="55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6" i="70"/>
  <c r="P16" i="53"/>
  <c r="P25" i="53" s="1"/>
  <c r="O15" i="62"/>
  <c r="P15" i="62" s="1"/>
  <c r="O25" i="55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<sst xmlns="http://schemas.openxmlformats.org/spreadsheetml/2006/main" count="3948" uniqueCount="545">
  <si>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</si>
  <si>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</si>
  <si>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</si>
  <si>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</si>
  <si>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</si>
  <si>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</si>
  <si>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</si>
  <si>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</si>
  <si>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</si>
  <si>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</si>
  <si>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</si>
  <si>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</si>
  <si>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</si>
  <si>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</si>
  <si>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</si>
  <si>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</si>
  <si>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</si>
  <si>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</si>
  <si>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</si>
  <si>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</si>
  <si>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</si>
  <si>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</si>
  <si>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</si>
  <si>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</si>
  <si>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</si>
  <si>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</si>
  <si>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</si>
  <si>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</si>
  <si>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</si>
  <si>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</si>
  <si>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</si>
  <si>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</si>
  <si>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</si>
  <si>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</si>
  <si>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</si>
  <si>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</si>
  <si>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</si>
  <si>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</si>
  <si>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</si>
  <si>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</si>
  <si>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</si>
  <si>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</si>
  <si>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</si>
  <si>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</si>
  <si>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</si>
  <si>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</si>
  <si>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</si>
  <si>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</si>
  <si>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</si>
  <si>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</si>
  <si>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</si>
  <si>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</si>
  <si>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</si>
  <si>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</si>
  <si>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</si>
  <si>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</si>
  <si>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</si>
  <si>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</si>
  <si>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</si>
  <si>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</si>
  <si>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</si>
  <si>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</si>
  <si>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</si>
  <si>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</si>
  <si>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</si>
  <si>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</si>
  <si>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</si>
  <si>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</si>
  <si>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</si>
  <si>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</si>
  <si>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</si>
  <si>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</si>
  <si>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</si>
  <si>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</si>
  <si>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</si>
  <si>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</si>
  <si>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</si>
  <si>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</si>
  <si>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</si>
  <si>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</si>
  <si>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</si>
  <si>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</si>
  <si>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</si>
  <si>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</si>
  <si>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</si>
  <si>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</si>
  <si>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</si>
  <si>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</si>
  <si>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</si>
  <si>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</si>
  <si>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</si>
  <si>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</si>
  <si>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</si>
  <si>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</si>
  <si>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</si>
  <si>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</si>
  <si>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</si>
  <si>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</si>
  <si>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</si>
  <si>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</si>
  <si>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</si>
  <si>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</si>
  <si>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</si>
  <si>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</si>
  <si>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</si>
  <si>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</si>
  <si>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</si>
  <si>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</si>
  <si>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</si>
  <si>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</si>
  <si>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</si>
  <si>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</si>
  <si>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</si>
  <si>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</si>
  <si>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</si>
  <si>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</si>
  <si>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</si>
  <si>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</si>
  <si>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</si>
  <si>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</si>
  <si>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</si>
  <si>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</si>
  <si>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</si>
  <si>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</si>
  <si>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</si>
  <si>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</si>
  <si>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</si>
  <si>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</si>
  <si>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</si>
  <si>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</si>
  <si>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</si>
  <si>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</si>
  <si>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</si>
  <si>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</si>
  <si>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</si>
  <si>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</si>
  <si>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</si>
  <si>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</si>
  <si>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</si>
  <si>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</si>
  <si>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</si>
  <si>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</si>
  <si>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</si>
  <si>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</si>
  <si>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</si>
  <si>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</si>
  <si>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</si>
  <si>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</si>
  <si>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</si>
  <si>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</si>
  <si>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</si>
  <si>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</si>
  <si>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</si>
  <si>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</si>
  <si>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</si>
  <si>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</si>
  <si>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</si>
  <si>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</si>
  <si>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</si>
  <si>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</si>
  <si>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</si>
  <si>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</si>
  <si>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</si>
  <si>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</si>
  <si>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</si>
  <si>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</si>
  <si>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</si>
  <si>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</si>
  <si>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</si>
  <si>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</si>
  <si>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</si>
  <si>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</si>
  <si>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</si>
  <si>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</si>
  <si>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</si>
  <si>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</si>
  <si>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</si>
  <si>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</si>
  <si>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</si>
  <si>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</si>
  <si>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</si>
  <si>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</si>
  <si>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</si>
  <si>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</si>
  <si>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</si>
  <si>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</si>
  <si>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</si>
  <si>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</si>
  <si>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</si>
  <si>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</si>
  <si>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</si>
  <si>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</si>
  <si>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</si>
  <si>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</si>
  <si>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</si>
  <si>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</si>
  <si>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</si>
  <si>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</si>
  <si>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</si>
  <si>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</si>
  <si>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</si>
  <si>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</si>
  <si>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</si>
  <si>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</si>
  <si>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</si>
  <si>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</si>
  <si>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</si>
  <si>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</si>
  <si>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</si>
  <si>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</si>
  <si>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</si>
  <si>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</si>
  <si>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</si>
  <si>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</si>
  <si>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</si>
  <si>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</si>
  <si>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</si>
  <si>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</si>
  <si>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</si>
  <si>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</si>
  <si>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</si>
  <si>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</si>
  <si>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</si>
  <si>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</si>
  <si>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</si>
  <si>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</si>
  <si>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</si>
  <si>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</si>
  <si>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</si>
  <si>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</si>
  <si>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</si>
  <si>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</si>
  <si>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</si>
  <si>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</si>
  <si>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</si>
  <si>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</si>
  <si>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</si>
  <si>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</si>
  <si>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</si>
  <si>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</si>
  <si>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</si>
  <si>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</si>
  <si>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</si>
  <si>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</si>
  <si>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</si>
  <si>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</si>
  <si>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</si>
  <si>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</si>
  <si>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</si>
  <si>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</si>
  <si>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</si>
  <si>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</si>
  <si>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</si>
  <si>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</si>
  <si>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</si>
  <si>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</si>
  <si>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</si>
  <si>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</si>
  <si>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</si>
  <si>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</si>
  <si>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</si>
  <si>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</si>
  <si>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</si>
  <si>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</si>
  <si>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</si>
  <si>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</si>
  <si>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</si>
  <si>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</si>
  <si>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</si>
  <si>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</si>
  <si>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</si>
  <si>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</si>
  <si>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</si>
  <si>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</si>
  <si>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</si>
  <si>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</si>
  <si>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</si>
  <si>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</si>
  <si>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</si>
  <si>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</si>
  <si>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</si>
  <si>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</si>
  <si>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</si>
  <si>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</si>
  <si>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</si>
  <si>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</si>
  <si>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</si>
  <si>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</si>
  <si>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</si>
  <si>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</si>
  <si>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</si>
  <si>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</si>
  <si>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</si>
  <si>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</si>
  <si>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</si>
  <si>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</si>
  <si>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</si>
  <si>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</si>
  <si>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</si>
  <si>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</si>
  <si>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</si>
  <si>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</si>
  <si>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</si>
  <si>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</si>
  <si>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</si>
  <si>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</si>
  <si>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</si>
  <si>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</si>
  <si>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</si>
  <si>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</si>
  <si>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</si>
  <si>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</si>
  <si>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</si>
  <si>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</si>
  <si>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</si>
  <si>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</si>
  <si>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</si>
  <si>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</si>
  <si>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</si>
  <si>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</si>
  <si>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</si>
  <si>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</si>
  <si>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</si>
  <si>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</si>
  <si>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</si>
  <si>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</si>
  <si>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</si>
  <si>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</si>
  <si>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</si>
  <si>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</si>
  <si>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</si>
  <si>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</si>
  <si>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</si>
  <si>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</si>
  <si>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</si>
  <si>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</si>
  <si>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</si>
  <si>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</si>
  <si>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</si>
  <si>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</si>
  <si>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</si>
  <si>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</si>
  <si>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</si>
  <si>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</si>
  <si>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</si>
  <si>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</si>
  <si>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</si>
  <si>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</si>
  <si>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</si>
  <si>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</si>
  <si>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</si>
  <si>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</si>
  <si>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</si>
  <si>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</si>
  <si>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</si>
  <si>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</si>
  <si>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</si>
  <si>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</si>
  <si>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</si>
  <si>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</si>
  <si>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</si>
  <si>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</si>
  <si>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</si>
  <si>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</si>
  <si>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</si>
  <si>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</si>
  <si>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</si>
  <si>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</si>
  <si>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</si>
  <si>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</si>
  <si>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</si>
  <si>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</si>
  <si>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</si>
  <si>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</si>
  <si>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</si>
  <si>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</si>
  <si>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</si>
  <si>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</si>
  <si>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</si>
  <si>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</si>
  <si>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</si>
  <si>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</si>
  <si>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</si>
  <si>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</si>
  <si>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</si>
  <si>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</si>
  <si>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</si>
  <si>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</si>
  <si>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</si>
  <si>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</si>
  <si>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</si>
  <si>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</si>
  <si>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</si>
  <si>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</si>
  <si>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</si>
  <si>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</si>
  <si>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</si>
  <si>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</si>
  <si>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</si>
  <si>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</si>
  <si>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</si>
  <si>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</si>
  <si>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</si>
  <si>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</si>
  <si>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</si>
  <si>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</si>
  <si>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</si>
  <si>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</si>
  <si>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</si>
  <si>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</si>
  <si>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</si>
  <si>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</si>
  <si>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</si>
  <si>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</si>
  <si>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</si>
  <si>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</si>
  <si>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</si>
  <si>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</si>
  <si>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</si>
  <si>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</si>
  <si>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</si>
  <si>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</si>
  <si>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</si>
  <si>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</si>
  <si>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</si>
  <si>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</si>
  <si>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</si>
  <si>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</si>
  <si>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</si>
  <si>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</si>
  <si>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</si>
  <si>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</si>
  <si>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</si>
  <si>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</si>
  <si>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</si>
  <si>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</si>
  <si>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</si>
  <si>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</si>
  <si>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</si>
  <si>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</si>
  <si>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</si>
  <si>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</si>
  <si>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</si>
  <si>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</si>
  <si>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</si>
  <si>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</si>
  <si>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</si>
  <si>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</si>
  <si>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</si>
  <si>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</si>
  <si>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</si>
  <si>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</si>
  <si>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</si>
  <si>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</si>
  <si>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</si>
  <si>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</si>
  <si>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</si>
  <si>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</si>
  <si>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</si>
  <si>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</si>
  <si>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</si>
  <si>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</si>
  <si>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</si>
  <si>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</si>
  <si>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</si>
  <si>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</si>
  <si>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</si>
  <si>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</si>
  <si>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</si>
  <si>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</si>
  <si>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</si>
  <si>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</si>
  <si>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</si>
  <si>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</si>
  <si>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</si>
  <si>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</si>
  <si>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</si>
  <si>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</si>
  <si>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</si>
  <si>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</si>
  <si>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</si>
  <si>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</si>
  <si>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</si>
  <si>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</si>
  <si>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</si>
  <si>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</si>
  <si>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</si>
  <si>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</si>
  <si>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</si>
  <si>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</si>
  <si>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</si>
  <si>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</si>
  <si>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</si>
  <si>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</si>
  <si>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</si>
  <si>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</si>
  <si>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</si>
  <si>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</si>
  <si>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</si>
  <si>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</si>
  <si>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</si>
  <si>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</si>
  <si>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</si>
  <si>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</si>
  <si>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</si>
  <si>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</si>
  <si>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</si>
  <si>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</si>
  <si>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</si>
  <si>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</si>
  <si>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</si>
  <si>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</si>
  <si>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</si>
  <si>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 Guru mangat</t>
  </si>
  <si>
    <t>CNIC #:352015119657-7</t>
  </si>
  <si>
    <t>CNIC #:3520148928009</t>
  </si>
  <si>
    <t>CNIC #:352022391520-1</t>
  </si>
  <si>
    <t>CNIC #:352011835935-1</t>
  </si>
  <si>
    <t>CNIC #:3450214530224</t>
  </si>
  <si>
    <t>Shope Name</t>
  </si>
  <si>
    <t>Rana Anas Store</t>
  </si>
  <si>
    <t>Address: Al Noor Town</t>
  </si>
  <si>
    <t>Noor Traders</t>
  </si>
  <si>
    <t>Address: Al Baseerat School Noor town</t>
  </si>
  <si>
    <t>Khatak Store</t>
  </si>
  <si>
    <t>Address: Firdous Park Opp. General Hospital</t>
  </si>
  <si>
    <t>Khan Yousaf Store</t>
  </si>
  <si>
    <t>Address: Workshop Bazaar Street no. 1 Al Noor Town</t>
  </si>
  <si>
    <t>Chohan Store</t>
  </si>
  <si>
    <t>CNIC #:3520176515077</t>
  </si>
  <si>
    <t>Address: Workshop Bazar Street no. 1 Bajwa Chowk</t>
  </si>
  <si>
    <t>Mehmand Store</t>
  </si>
  <si>
    <t>Address:  Work Shop Street No. 1 Bajwa Chowk</t>
  </si>
  <si>
    <t>CNIC #:3520269442625</t>
  </si>
  <si>
    <t>Mazhar Store</t>
  </si>
  <si>
    <t>Address: Work Shop Bhola Chowk</t>
  </si>
  <si>
    <t>Rana Hamid Store</t>
  </si>
  <si>
    <t>Address: Kashi Chowk Workshop Bazar Street No.1</t>
  </si>
  <si>
    <t>Sami General Store</t>
  </si>
  <si>
    <t>Address: Nabi Pura (0321-4926751)</t>
  </si>
  <si>
    <t>H Super Mart</t>
  </si>
  <si>
    <t>Murad Store</t>
  </si>
  <si>
    <t>Address: Guru mangat Near H. Super Mart</t>
  </si>
  <si>
    <t xml:space="preserve">Hani Bakers </t>
  </si>
  <si>
    <t xml:space="preserve">Address: Walton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</si>
</sst>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3" fontId="17" fillId="0" borderId="1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J36" sqref="J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Rana Anas Store</v>
      </c>
      <c r="T3" s="301">
        <f>+'1'!P35</f>
        <v>2074.2726510858051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Noor Traders</v>
      </c>
      <c r="T4" s="301">
        <f>+'2'!P35</f>
        <v>2830.9694355610172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Khatak Store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Khan Yousaf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224.5395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2104.2708750000002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12.801862849576271</v>
      </c>
      <c r="P7" s="310">
        <f>M7+N7+O7</f>
        <v>2573.1744327648303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Chohan Store</v>
      </c>
      <c r="T7" s="301">
        <f>+'5'!P35</f>
        <v>840.51111147330516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</v>
      </c>
      <c r="I8" s="236">
        <f t="shared" ref="I8:I14" si="0">(G8*D8)*F8+H8*F8</f>
        <v>3357.6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300.08550000000002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117.51600000000001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2939.9984999999997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634.57627118644041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17.872873855932202</v>
      </c>
      <c r="P8" s="311">
        <f t="shared" ref="P8:P15" si="2">M8+N8+O8</f>
        <v>3592.4476450423722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Mehmand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52</v>
      </c>
      <c r="I9" s="236">
        <f t="shared" si="0"/>
        <v>2728.0499999999997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249.72150000000002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95.481750000000005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2382.8467499999997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515.59322033898286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14.492199851694913</v>
      </c>
      <c r="P9" s="311">
        <f t="shared" si="2"/>
        <v>2912.9321701906774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Mazhar Store</v>
      </c>
      <c r="T9" s="301">
        <f>+'7'!P35</f>
        <v>992.26808468008483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6984.3359999999993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42.472527457627123</v>
      </c>
      <c r="P10" s="311">
        <f t="shared" si="2"/>
        <v>8536.978018983049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Rana Hamid Store</v>
      </c>
      <c r="T10" s="301">
        <f>+'8'!P35</f>
        <v>500.75337404745761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49</v>
      </c>
      <c r="I11" s="236">
        <f t="shared" si="0"/>
        <v>3559.36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328.33280000000002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124.57760000000002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3106.4495999999999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672.71186440677968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18.8958073220339</v>
      </c>
      <c r="P11" s="311">
        <f t="shared" si="2"/>
        <v>3798.0572717288132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Sami General Store</v>
      </c>
      <c r="T11" s="301">
        <f>+'9'!P35</f>
        <v>500.75337404745761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86</v>
      </c>
      <c r="I12" s="236">
        <f t="shared" si="0"/>
        <v>6247.04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586.93119999999999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218.64640000000003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5441.4624000000003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1180.6779661016949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33.110701830508475</v>
      </c>
      <c r="P12" s="311">
        <f t="shared" si="2"/>
        <v>6655.251067932204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 Super Mart</v>
      </c>
      <c r="T12" s="301">
        <f>+'10'!P35</f>
        <v>500.75337404745761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146</v>
      </c>
      <c r="I13" s="236">
        <f t="shared" si="0"/>
        <v>5727.5800000000008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286.37900000000008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200.46530000000007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292.10657999999995</v>
      </c>
      <c r="M13" s="230">
        <f t="shared" si="1"/>
        <v>4948.6291200000005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1113.5593220338976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30.310942210169493</v>
      </c>
      <c r="P13" s="311">
        <f t="shared" si="2"/>
        <v>6092.4993842440681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Murad Store</v>
      </c>
      <c r="T13" s="301">
        <f>+'11'!P35</f>
        <v>905.84811164173743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Hani Bakers </v>
      </c>
      <c r="T14" s="301">
        <f>+'12'!P35</f>
        <v>22162.298411440679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Shope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13.824999999999999</v>
      </c>
      <c r="H16" s="113">
        <f t="shared" ref="H16:M16" si="3">SUM(H7:H15)</f>
        <v>553</v>
      </c>
      <c r="I16" s="114">
        <f t="shared" si="3"/>
        <v>32023.305</v>
      </c>
      <c r="J16" s="274">
        <f>SUM(J7:J15)</f>
        <v>2702.3894999999998</v>
      </c>
      <c r="K16" s="275">
        <f t="shared" si="3"/>
        <v>1120.8156750000003</v>
      </c>
      <c r="L16" s="276">
        <f t="shared" si="3"/>
        <v>292.10657999999995</v>
      </c>
      <c r="M16" s="232">
        <f t="shared" si="3"/>
        <v>27907.993245000001</v>
      </c>
      <c r="N16" s="233">
        <f>SUM(N7:N15)</f>
        <v>6083.3898305084731</v>
      </c>
      <c r="O16" s="101">
        <f>SUM(O7:O15)</f>
        <v>169.95691537754237</v>
      </c>
      <c r="P16" s="113">
        <f>SUM(P7:P15)</f>
        <v>34161.339990886016</v>
      </c>
      <c r="Q16" s="128">
        <f>SUM(Q7:Q15)</f>
        <v>0</v>
      </c>
      <c r="R16" s="314">
        <v>14</v>
      </c>
      <c r="S16" s="318" t="str">
        <f>+'14'!A6:A6</f>
        <v>Shope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Shope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Shope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32023.305</v>
      </c>
      <c r="R19" s="299">
        <v>17</v>
      </c>
      <c r="S19" s="300" t="str">
        <f>+'17'!A6:A6</f>
        <v>Shope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2702.3894999999998</v>
      </c>
      <c r="R20" s="299">
        <v>18</v>
      </c>
      <c r="S20" s="300" t="str">
        <f>+'18'!A6:A6</f>
        <v>Shope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1412.9222550000002</v>
      </c>
      <c r="R21" s="299">
        <v>19</v>
      </c>
      <c r="S21" s="300" t="str">
        <f>+'19'!A6:A6</f>
        <v>Shope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27907.993244999998</v>
      </c>
      <c r="R22" s="299">
        <v>20</v>
      </c>
      <c r="S22" s="300" t="str">
        <f>+'20'!A6:A6</f>
        <v>Shope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6083.3898305084731</v>
      </c>
      <c r="R23" s="299">
        <v>21</v>
      </c>
      <c r="S23" s="300" t="str">
        <f>+'21'!A6:A6</f>
        <v>Shope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33991.383075508471</v>
      </c>
      <c r="R24" s="299">
        <v>22</v>
      </c>
      <c r="S24" s="300" t="str">
        <f>+'22'!A6:A6</f>
        <v>Shope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169.95691537754237</v>
      </c>
      <c r="R25" s="299">
        <v>23</v>
      </c>
      <c r="S25" s="300" t="str">
        <f>+'23'!A6:A6</f>
        <v>Shope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34161.339990886016</v>
      </c>
      <c r="R26" s="299">
        <v>24</v>
      </c>
      <c r="S26" s="300" t="str">
        <f>+'24'!A6:A6</f>
        <v>Shope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Shope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Shope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Shope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Shope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Shope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Shope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34161.339990886016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7.2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46</v>
      </c>
      <c r="I25" s="114">
        <f t="shared" ref="I25:M25" si="10">SUM(I16:I24)</f>
        <v>1944.5075000000002</v>
      </c>
      <c r="J25" s="274">
        <f>SUM(J16:J24)</f>
        <v>108.48460000000003</v>
      </c>
      <c r="K25" s="275">
        <f t="shared" si="10"/>
        <v>68.05776250000001</v>
      </c>
      <c r="L25" s="276">
        <f t="shared" si="10"/>
        <v>80.029200000000003</v>
      </c>
      <c r="M25" s="232">
        <f t="shared" si="10"/>
        <v>1687.9359375000004</v>
      </c>
      <c r="N25" s="233">
        <f>SUM(N16:N24)</f>
        <v>376.01694915254222</v>
      </c>
      <c r="O25" s="101">
        <f>SUM(O16:O24)</f>
        <v>10.319764433262712</v>
      </c>
      <c r="P25" s="113">
        <f>SUM(P16:P24)</f>
        <v>2074.2726510858051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1944.5075000000002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108.48460000000003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148.08696250000003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1687.9359375000001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376.01694915254222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2063.9528866525425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10.319764433262712</v>
      </c>
    </row>
    <row r="35" spans="2:16" ht="15.75" customHeight="1" thickBot="1" x14ac:dyDescent="0.4">
      <c r="N35" s="374" t="s">
        <v>88</v>
      </c>
      <c r="O35" s="375"/>
      <c r="P35" s="297">
        <f>+P33+P34</f>
        <v>2074.2726510858051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311">
        <f t="shared" si="5"/>
        <v>1001.5067480949152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54</v>
      </c>
      <c r="I25" s="114">
        <f t="shared" si="7"/>
        <v>2636.46</v>
      </c>
      <c r="J25" s="274">
        <f>SUM(J16:J24)</f>
        <v>182.6712</v>
      </c>
      <c r="K25" s="275">
        <f t="shared" si="7"/>
        <v>92.276100000000014</v>
      </c>
      <c r="L25" s="276">
        <f t="shared" si="7"/>
        <v>48.017520000000005</v>
      </c>
      <c r="M25" s="232">
        <f t="shared" si="7"/>
        <v>2313.4951799999999</v>
      </c>
      <c r="N25" s="233">
        <f>SUM(N16:N24)</f>
        <v>503.38983050847435</v>
      </c>
      <c r="O25" s="101">
        <f>SUM(O16:O24)</f>
        <v>14.084425052542372</v>
      </c>
      <c r="P25" s="113">
        <f>SUM(P16:P24)</f>
        <v>2830.9694355610168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2636.46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182.6712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140.29362000000003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2313.4951800000003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503.38983050847435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2816.8850105084748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14.084425052542374</v>
      </c>
    </row>
    <row r="35" spans="2:16" ht="15.75" customHeight="1" thickBot="1" x14ac:dyDescent="0.4">
      <c r="N35" s="374" t="s">
        <v>88</v>
      </c>
      <c r="O35" s="375"/>
      <c r="P35" s="297">
        <f>+P33+P34</f>
        <v>2830.9694355610172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8.7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9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20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20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320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529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785.53500000000008</v>
      </c>
      <c r="J25" s="274">
        <f>SUM(J16:J24)</f>
        <v>48.72</v>
      </c>
      <c r="K25" s="275">
        <f t="shared" si="7"/>
        <v>27.493725000000005</v>
      </c>
      <c r="L25" s="276">
        <f t="shared" si="7"/>
        <v>24.008760000000002</v>
      </c>
      <c r="M25" s="232">
        <f t="shared" si="7"/>
        <v>685.31251500000008</v>
      </c>
      <c r="N25" s="233">
        <f>SUM(N16:N24)</f>
        <v>151.01694915254228</v>
      </c>
      <c r="O25" s="101">
        <f>SUM(O16:O24)</f>
        <v>4.1816473207627114</v>
      </c>
      <c r="P25" s="113">
        <f>SUM(P16:P24)</f>
        <v>840.51111147330505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785.53500000000008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48.72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51.502485000000007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685.31251500000008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151.01694915254228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836.32946415254241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4.1816473207627123</v>
      </c>
    </row>
    <row r="35" spans="2:16" ht="15.75" customHeight="1" thickBot="1" x14ac:dyDescent="0.4">
      <c r="N35" s="374" t="s">
        <v>88</v>
      </c>
      <c r="O35" s="375"/>
      <c r="P35" s="297">
        <f>+P33+P34</f>
        <v>840.51111147330516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533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516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9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9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19</v>
      </c>
      <c r="I25" s="114">
        <f t="shared" si="7"/>
        <v>924.995</v>
      </c>
      <c r="J25" s="274">
        <f>SUM(J16:J24)</f>
        <v>62.23060000000001</v>
      </c>
      <c r="K25" s="275">
        <f t="shared" si="7"/>
        <v>32.374825000000001</v>
      </c>
      <c r="L25" s="276">
        <f t="shared" si="7"/>
        <v>20.007300000000001</v>
      </c>
      <c r="M25" s="232">
        <f t="shared" si="7"/>
        <v>810.38227500000005</v>
      </c>
      <c r="N25" s="233">
        <f>SUM(N16:N24)</f>
        <v>176.94915254237281</v>
      </c>
      <c r="O25" s="101">
        <f>SUM(O16:O24)</f>
        <v>4.9366571377118644</v>
      </c>
      <c r="P25" s="113">
        <f>SUM(P16:P24)</f>
        <v>992.26808468008471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924.995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62.23060000000001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52.382125000000002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810.38227500000005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176.94915254237281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987.33142754237292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4.9366571377118644</v>
      </c>
    </row>
    <row r="35" spans="2:16" ht="15.75" customHeight="1" thickBot="1" x14ac:dyDescent="0.4">
      <c r="N35" s="374" t="s">
        <v>88</v>
      </c>
      <c r="O35" s="375"/>
      <c r="P35" s="297">
        <f>+P33+P34</f>
        <v>992.26808468008483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517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518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541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542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846.06750000000011</v>
      </c>
      <c r="J25" s="274">
        <f>SUM(J16:J24)</f>
        <v>53.562600000000003</v>
      </c>
      <c r="K25" s="275">
        <f t="shared" si="7"/>
        <v>29.612362500000007</v>
      </c>
      <c r="L25" s="276">
        <f t="shared" si="7"/>
        <v>24.008760000000002</v>
      </c>
      <c r="M25" s="232">
        <f t="shared" si="7"/>
        <v>738.88377749999995</v>
      </c>
      <c r="N25" s="233">
        <f>SUM(N16:N24)</f>
        <v>162.45762711864401</v>
      </c>
      <c r="O25" s="101">
        <f>SUM(O16:O24)</f>
        <v>4.5067070230932202</v>
      </c>
      <c r="P25" s="113">
        <f>SUM(P16:P24)</f>
        <v>905.8481116417372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846.06750000000011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53.562600000000003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53.621122500000013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738.88377750000018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162.45762711864401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901.34140461864422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4.5067070230932211</v>
      </c>
    </row>
    <row r="35" spans="2:16" ht="15.75" customHeight="1" thickBot="1" x14ac:dyDescent="0.4">
      <c r="N35" s="374" t="s">
        <v>88</v>
      </c>
      <c r="O35" s="375"/>
      <c r="P35" s="297">
        <f>+P33+P34</f>
        <v>905.84811164173743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543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544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199.35750000000002</v>
      </c>
      <c r="K16" s="127">
        <f>$I16*T16</f>
        <v>73.447500000000005</v>
      </c>
      <c r="L16" s="118">
        <f>$I16*U16</f>
        <v>0</v>
      </c>
      <c r="M16" s="229">
        <f>I16-SUM(J16:L16)</f>
        <v>1825.6949999999999</v>
      </c>
      <c r="N16" s="248">
        <f>+(G16*D16+H16)*V16</f>
        <v>396.61016949152526</v>
      </c>
      <c r="O16" s="238">
        <f>(N16+M16)*$O$15</f>
        <v>11.111525847457626</v>
      </c>
      <c r="P16" s="310">
        <f>M16+N16+O16</f>
        <v>2233.4166953389827</v>
      </c>
      <c r="Q16" s="313"/>
      <c r="S16" s="269">
        <v>9.5000000000000001E-2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199.35750000000002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1825.6949999999999</v>
      </c>
      <c r="N17" s="277">
        <f t="shared" ref="N17:N24" si="3">+(G17*D17+H17)*V17</f>
        <v>396.61016949152526</v>
      </c>
      <c r="O17" s="239">
        <f t="shared" ref="O17:O24" si="4">(N17+M17)*$O$15</f>
        <v>11.111525847457626</v>
      </c>
      <c r="P17" s="311">
        <f t="shared" ref="P17:P24" si="5">M17+N17+O17</f>
        <v>2233.4166953389827</v>
      </c>
      <c r="Q17" s="156"/>
      <c r="S17" s="269">
        <f>+S16</f>
        <v>9.5000000000000001E-2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199.35750000000002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1825.6949999999999</v>
      </c>
      <c r="N18" s="277">
        <f t="shared" si="3"/>
        <v>396.61016949152526</v>
      </c>
      <c r="O18" s="239">
        <f t="shared" si="4"/>
        <v>11.111525847457626</v>
      </c>
      <c r="P18" s="311">
        <f t="shared" si="5"/>
        <v>2233.4166953389827</v>
      </c>
      <c r="Q18" s="156"/>
      <c r="S18" s="269">
        <f>+S17</f>
        <v>9.5000000000000001E-2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552.06399999999996</v>
      </c>
      <c r="K19" s="128">
        <f t="shared" si="1"/>
        <v>203.39200000000002</v>
      </c>
      <c r="L19" s="119">
        <f t="shared" si="1"/>
        <v>0</v>
      </c>
      <c r="M19" s="230">
        <f t="shared" si="2"/>
        <v>5055.7439999999997</v>
      </c>
      <c r="N19" s="277">
        <f t="shared" si="3"/>
        <v>1098.3050847457628</v>
      </c>
      <c r="O19" s="239">
        <f t="shared" si="4"/>
        <v>30.770245423728813</v>
      </c>
      <c r="P19" s="311">
        <f t="shared" si="5"/>
        <v>6184.819330169491</v>
      </c>
      <c r="Q19" s="156"/>
      <c r="S19" s="269">
        <f>+S18</f>
        <v>9.5000000000000001E-2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276.03199999999998</v>
      </c>
      <c r="K20" s="128">
        <f t="shared" si="1"/>
        <v>101.69600000000001</v>
      </c>
      <c r="L20" s="119">
        <f t="shared" si="1"/>
        <v>0</v>
      </c>
      <c r="M20" s="230">
        <f t="shared" si="2"/>
        <v>2527.8719999999998</v>
      </c>
      <c r="N20" s="277">
        <f t="shared" si="3"/>
        <v>549.15254237288138</v>
      </c>
      <c r="O20" s="239">
        <f t="shared" si="4"/>
        <v>15.385122711864406</v>
      </c>
      <c r="P20" s="311">
        <f t="shared" si="5"/>
        <v>3092.4096650847455</v>
      </c>
      <c r="Q20" s="156"/>
      <c r="R20">
        <f>P20/21</f>
        <v>147.25760309927358</v>
      </c>
      <c r="S20" s="269">
        <f>+S19</f>
        <v>9.5000000000000001E-2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552.06399999999996</v>
      </c>
      <c r="K21" s="128">
        <f t="shared" si="1"/>
        <v>203.39200000000002</v>
      </c>
      <c r="L21" s="119">
        <f t="shared" si="1"/>
        <v>0</v>
      </c>
      <c r="M21" s="230">
        <f t="shared" si="2"/>
        <v>5055.7439999999997</v>
      </c>
      <c r="N21" s="277">
        <f t="shared" si="3"/>
        <v>1098.3050847457628</v>
      </c>
      <c r="O21" s="239">
        <f t="shared" si="4"/>
        <v>30.770245423728813</v>
      </c>
      <c r="P21" s="311">
        <f t="shared" si="5"/>
        <v>6184.819330169491</v>
      </c>
      <c r="Q21" s="156"/>
      <c r="S21" s="269">
        <f>+S20</f>
        <v>9.5000000000000001E-2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20823.5</v>
      </c>
      <c r="J25" s="274">
        <f>SUM(J16:J24)</f>
        <v>1978.2325000000001</v>
      </c>
      <c r="K25" s="275">
        <f t="shared" si="7"/>
        <v>728.8225000000001</v>
      </c>
      <c r="L25" s="276">
        <f t="shared" si="7"/>
        <v>0</v>
      </c>
      <c r="M25" s="232">
        <f t="shared" si="7"/>
        <v>18116.445</v>
      </c>
      <c r="N25" s="233">
        <f>SUM(N16:N24)</f>
        <v>3935.593220338983</v>
      </c>
      <c r="O25" s="101">
        <f>SUM(O16:O24)</f>
        <v>110.26019110169491</v>
      </c>
      <c r="P25" s="113">
        <f>SUM(P16:P24)</f>
        <v>22162.298411440675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20823.5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1978.2325000000001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728.8225000000001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18116.445000000003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3935.593220338983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22052.038220338985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110.26019110169493</v>
      </c>
    </row>
    <row r="35" spans="2:16" ht="15.75" customHeight="1" thickBot="1" x14ac:dyDescent="0.4">
      <c r="N35" s="374" t="s">
        <v>88</v>
      </c>
      <c r="O35" s="375"/>
      <c r="P35" s="297">
        <f>+P33+P34</f>
        <v>22162.298411440679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2026-09-05T05:03:49Z</dcterms:modified>
</cp:coreProperties>
</file>