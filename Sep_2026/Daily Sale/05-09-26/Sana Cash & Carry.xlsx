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ED44B5B-16DD-484F-9FB7-EDE440E5E187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5" i="65" s="1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<sst xmlns="http://schemas.openxmlformats.org/spreadsheetml/2006/main" count="3948" uniqueCount="518">
  <si>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</si>
  <si>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</si>
  <si>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</si>
  <si>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</si>
  <si>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</si>
  <si>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</si>
  <si>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</si>
  <si>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</si>
  <si>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</si>
  <si>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</si>
  <si>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</si>
  <si>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</si>
  <si>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</si>
  <si>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</si>
  <si>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</si>
  <si>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</si>
  <si>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</si>
  <si>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</si>
  <si>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</si>
  <si>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</si>
  <si>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</si>
  <si>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</si>
  <si>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</si>
  <si>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</si>
  <si>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</si>
  <si>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</si>
  <si>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</si>
  <si>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</si>
  <si>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</si>
  <si>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</si>
  <si>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</si>
  <si>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</si>
  <si>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</si>
  <si>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</si>
  <si>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</si>
  <si>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</si>
  <si>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</si>
  <si>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</si>
  <si>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</si>
  <si>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</si>
  <si>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</si>
  <si>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</si>
  <si>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</si>
  <si>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</si>
  <si>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</si>
  <si>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</si>
  <si>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</si>
  <si>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</si>
  <si>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</si>
  <si>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</si>
  <si>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</si>
  <si>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</si>
  <si>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</si>
  <si>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</si>
  <si>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</si>
  <si>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</si>
  <si>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</si>
  <si>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</si>
  <si>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</si>
  <si>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</si>
  <si>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</si>
  <si>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</si>
  <si>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</si>
  <si>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</si>
  <si>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</si>
  <si>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</si>
  <si>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</si>
  <si>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</si>
  <si>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</si>
  <si>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</si>
  <si>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</si>
  <si>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</si>
  <si>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</si>
  <si>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</si>
  <si>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</si>
  <si>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</si>
  <si>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</si>
  <si>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</si>
  <si>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</si>
  <si>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</si>
  <si>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</si>
  <si>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</si>
  <si>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</si>
  <si>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</si>
  <si>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</si>
  <si>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</si>
  <si>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</si>
  <si>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</si>
  <si>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</si>
  <si>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</si>
  <si>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</si>
  <si>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</si>
  <si>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</si>
  <si>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</si>
  <si>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</si>
  <si>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</si>
  <si>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</si>
  <si>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</si>
  <si>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</si>
  <si>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</si>
  <si>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</si>
  <si>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</si>
  <si>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</si>
  <si>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</si>
  <si>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</si>
  <si>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</si>
  <si>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</si>
  <si>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</si>
  <si>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</si>
  <si>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</si>
  <si>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</si>
  <si>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</si>
  <si>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</si>
  <si>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</si>
  <si>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</si>
  <si>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</si>
  <si>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</si>
  <si>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</si>
  <si>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</si>
  <si>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</si>
  <si>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</si>
  <si>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</si>
  <si>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</si>
  <si>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</si>
  <si>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</si>
  <si>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</si>
  <si>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</si>
  <si>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</si>
  <si>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</si>
  <si>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</si>
  <si>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</si>
  <si>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</si>
  <si>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</si>
  <si>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</si>
  <si>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</si>
  <si>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</si>
  <si>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</si>
  <si>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</si>
  <si>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</si>
  <si>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</si>
  <si>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</si>
  <si>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</si>
  <si>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</si>
  <si>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</si>
  <si>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</si>
  <si>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</si>
  <si>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</si>
  <si>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</si>
  <si>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</si>
  <si>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</si>
  <si>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</si>
  <si>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</si>
  <si>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</si>
  <si>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</si>
  <si>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</si>
  <si>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</si>
  <si>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</si>
  <si>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</si>
  <si>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</si>
  <si>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</si>
  <si>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</si>
  <si>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</si>
  <si>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</si>
  <si>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</si>
  <si>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</si>
  <si>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</si>
  <si>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</si>
  <si>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</si>
  <si>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</si>
  <si>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</si>
  <si>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</si>
  <si>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</si>
  <si>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</si>
  <si>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</si>
  <si>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</si>
  <si>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</si>
  <si>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</si>
  <si>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</si>
  <si>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</si>
  <si>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</si>
  <si>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</si>
  <si>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</si>
  <si>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</si>
  <si>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</si>
  <si>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</si>
  <si>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</si>
  <si>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</si>
  <si>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</si>
  <si>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</si>
  <si>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</si>
  <si>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</si>
  <si>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</si>
  <si>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</si>
  <si>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</si>
  <si>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</si>
  <si>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</si>
  <si>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</si>
  <si>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</si>
  <si>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</si>
  <si>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</si>
  <si>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</si>
  <si>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</si>
  <si>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</si>
  <si>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</si>
  <si>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</si>
  <si>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</si>
  <si>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</si>
  <si>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</si>
  <si>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</si>
  <si>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</si>
  <si>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</si>
  <si>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</si>
  <si>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</si>
  <si>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</si>
  <si>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</si>
  <si>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</si>
  <si>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</si>
  <si>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</si>
  <si>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</si>
  <si>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</si>
  <si>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</si>
  <si>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</si>
  <si>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</si>
  <si>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</si>
  <si>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</si>
  <si>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</si>
  <si>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</si>
  <si>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</si>
  <si>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</si>
  <si>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</si>
  <si>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</si>
  <si>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</si>
  <si>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</si>
  <si>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</si>
  <si>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</si>
  <si>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</si>
  <si>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</si>
  <si>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</si>
  <si>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</si>
  <si>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</si>
  <si>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</si>
  <si>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</si>
  <si>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</si>
  <si>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</si>
  <si>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</si>
  <si>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</si>
  <si>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</si>
  <si>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</si>
  <si>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</si>
  <si>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</si>
  <si>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</si>
  <si>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</si>
  <si>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</si>
  <si>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</si>
  <si>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</si>
  <si>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</si>
  <si>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</si>
  <si>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</si>
  <si>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</si>
  <si>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</si>
  <si>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</si>
  <si>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</si>
  <si>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</si>
  <si>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</si>
  <si>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</si>
  <si>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</si>
  <si>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</si>
  <si>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</si>
  <si>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</si>
  <si>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</si>
  <si>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</si>
  <si>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</si>
  <si>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</si>
  <si>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</si>
  <si>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</si>
  <si>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</si>
  <si>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</si>
  <si>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</si>
  <si>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</si>
  <si>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</si>
  <si>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</si>
  <si>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</si>
  <si>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</si>
  <si>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</si>
  <si>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</si>
  <si>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</si>
  <si>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</si>
  <si>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</si>
  <si>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</si>
  <si>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</si>
  <si>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</si>
  <si>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</si>
  <si>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</si>
  <si>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</si>
  <si>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</si>
  <si>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</si>
  <si>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</si>
  <si>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</si>
  <si>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</si>
  <si>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</si>
  <si>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</si>
  <si>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</si>
  <si>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</si>
  <si>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</si>
  <si>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</si>
  <si>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</si>
  <si>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</si>
  <si>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</si>
  <si>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</si>
  <si>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</si>
  <si>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</si>
  <si>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</si>
  <si>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</si>
  <si>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</si>
  <si>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</si>
  <si>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</si>
  <si>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</si>
  <si>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</si>
  <si>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</si>
  <si>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</si>
  <si>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</si>
  <si>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</si>
  <si>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</si>
  <si>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</si>
  <si>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</si>
  <si>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</si>
  <si>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</si>
  <si>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</si>
  <si>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</si>
  <si>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</si>
  <si>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</si>
  <si>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</si>
  <si>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</si>
  <si>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</si>
  <si>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</si>
  <si>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</si>
  <si>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</si>
  <si>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</si>
  <si>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</si>
  <si>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</si>
  <si>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</si>
  <si>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</si>
  <si>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</si>
  <si>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</si>
  <si>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</si>
  <si>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</si>
  <si>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</si>
  <si>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</si>
  <si>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</si>
  <si>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</si>
  <si>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</si>
  <si>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</si>
  <si>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</si>
  <si>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</si>
  <si>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</si>
  <si>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</si>
  <si>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</si>
  <si>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</si>
  <si>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</si>
  <si>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</si>
  <si>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</si>
  <si>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</si>
  <si>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</si>
  <si>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</si>
  <si>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</si>
  <si>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</si>
  <si>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</si>
  <si>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</si>
  <si>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</si>
  <si>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</si>
  <si>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</si>
  <si>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</si>
  <si>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</si>
  <si>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</si>
  <si>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</si>
  <si>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</si>
  <si>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</si>
  <si>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</si>
  <si>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</si>
  <si>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</si>
  <si>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</si>
  <si>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</si>
  <si>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</si>
  <si>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</si>
  <si>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</si>
  <si>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</si>
  <si>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</si>
  <si>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</si>
  <si>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</si>
  <si>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</si>
  <si>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</si>
  <si>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</si>
  <si>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</si>
  <si>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</si>
  <si>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</si>
  <si>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</si>
  <si>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</si>
  <si>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</si>
  <si>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</si>
  <si>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</si>
  <si>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</si>
  <si>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</si>
  <si>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</si>
  <si>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</si>
  <si>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</si>
  <si>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</si>
  <si>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</si>
  <si>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</si>
  <si>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</si>
  <si>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</si>
  <si>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</si>
  <si>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</si>
  <si>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</si>
  <si>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</si>
  <si>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</si>
  <si>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</si>
  <si>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</si>
  <si>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</si>
  <si>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</si>
  <si>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</si>
  <si>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</si>
  <si>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</si>
  <si>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</si>
  <si>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</si>
  <si>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</si>
  <si>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</si>
  <si>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</si>
  <si>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</si>
  <si>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</si>
  <si>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</si>
  <si>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</si>
  <si>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</si>
  <si>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</si>
  <si>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</si>
  <si>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</si>
  <si>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</si>
  <si>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</si>
  <si>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</si>
  <si>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</si>
  <si>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</si>
  <si>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</si>
  <si>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</si>
  <si>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</si>
  <si>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</si>
  <si>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</si>
  <si>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</si>
  <si>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</si>
  <si>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</si>
  <si>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</si>
  <si>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</si>
  <si>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</si>
  <si>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</si>
  <si>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</si>
  <si>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</si>
  <si>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</si>
  <si>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</si>
  <si>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</si>
  <si>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</si>
  <si>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</si>
  <si>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</si>
  <si>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</si>
  <si>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</si>
  <si>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</si>
  <si>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</si>
  <si>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</si>
  <si>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</si>
  <si>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</si>
  <si>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</si>
  <si>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</si>
  <si>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</si>
  <si>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</si>
  <si>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</si>
  <si>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</si>
  <si>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</si>
  <si>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</si>
  <si>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</si>
  <si>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</si>
  <si>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</si>
  <si>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</si>
  <si>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</si>
  <si>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</si>
  <si>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</si>
  <si>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</si>
  <si>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</si>
  <si>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</si>
  <si>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</si>
  <si>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</si>
  <si>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</si>
  <si>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</si>
  <si>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</si>
  <si>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</si>
  <si>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</si>
  <si>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</si>
  <si>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</si>
  <si>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</si>
  <si>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</si>
  <si>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</si>
  <si>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</si>
  <si>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</si>
  <si>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</si>
  <si>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</si>
  <si>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</si>
  <si>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</si>
  <si>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</si>
  <si>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</si>
  <si>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</si>
  <si>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</si>
  <si>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</si>
  <si>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</si>
  <si>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</si>
  <si>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</si>
  <si>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</si>
  <si>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</si>
  <si>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</si>
  <si>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Sana Cash &amp; Carry</t>
  </si>
  <si>
    <t>NTN #: 040250-2</t>
  </si>
  <si>
    <t>Address: IQBAL AVENUE CANAL ROAD</t>
  </si>
  <si>
    <t>Shakoor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</si>
</sst>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517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46269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>Sana Cash &amp; Carry</v>
      </c>
      <c r="T3" s="301">
        <f>+'1'!P35</f>
        <v>12824.23324868644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209.85000000000002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1815.2024999999999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11.059063347457625</v>
      </c>
      <c r="P7" s="310">
        <f>M7+N7+O7</f>
        <v>2222.8717328389826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40</v>
      </c>
      <c r="I8" s="236">
        <f t="shared" ref="I8:I14" si="0">(G8*D8)*F8+H8*F8</f>
        <v>2098.5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209.85000000000002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73.447500000000005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1815.2024999999999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396.61016949152526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11.059063347457625</v>
      </c>
      <c r="P8" s="311">
        <f t="shared" ref="P8:P15" si="2">M8+N8+O8</f>
        <v>2222.8717328389826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40</v>
      </c>
      <c r="I9" s="236">
        <f t="shared" si="0"/>
        <v>2098.5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209.85000000000002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73.447500000000005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1815.2024999999999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396.61016949152526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11.059063347457625</v>
      </c>
      <c r="P9" s="311">
        <f t="shared" si="2"/>
        <v>2222.8717328389826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40</v>
      </c>
      <c r="I10" s="236">
        <f t="shared" si="0"/>
        <v>2905.6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290.56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101.69600000000001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2513.3440000000001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549.15254237288138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15.312482711864407</v>
      </c>
      <c r="P10" s="311">
        <f t="shared" si="2"/>
        <v>3077.8090250847458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2513.3440000000001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15.312482711864407</v>
      </c>
      <c r="P11" s="311">
        <f t="shared" si="2"/>
        <v>3077.8090250847458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5</v>
      </c>
      <c r="H16" s="113">
        <f t="shared" ref="H16:M16" si="3">SUM(H7:H15)</f>
        <v>200</v>
      </c>
      <c r="I16" s="114">
        <f t="shared" si="3"/>
        <v>12106.7</v>
      </c>
      <c r="J16" s="274">
        <f>SUM(J7:J15)</f>
        <v>1210.67</v>
      </c>
      <c r="K16" s="275">
        <f t="shared" si="3"/>
        <v>423.73450000000008</v>
      </c>
      <c r="L16" s="276">
        <f t="shared" si="3"/>
        <v>0</v>
      </c>
      <c r="M16" s="232">
        <f t="shared" si="3"/>
        <v>10472.2955</v>
      </c>
      <c r="N16" s="233">
        <f>SUM(N7:N15)</f>
        <v>2288.1355932203383</v>
      </c>
      <c r="O16" s="101">
        <f>SUM(O7:O15)</f>
        <v>63.802155466101688</v>
      </c>
      <c r="P16" s="113">
        <f>SUM(P7:P15)</f>
        <v>12824.233248686438</v>
      </c>
      <c r="Q16" s="128">
        <f>SUM(Q7:Q15)</f>
        <v>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12106.7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1210.67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423.73450000000008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10472.2955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2288.1355932203383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12760.431093220339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63.802155466101688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12824.23324868644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12824.23324868644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9" workbookViewId="0">
      <selection sqref="A1:Q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7.25" customHeight="1" x14ac:dyDescent="0.4">
      <c r="A6" s="399" t="s">
        <v>514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515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209.85000000000002</v>
      </c>
      <c r="K16" s="127">
        <f>$I16*T16</f>
        <v>73.447500000000005</v>
      </c>
      <c r="L16" s="118">
        <f>$I16*U16</f>
        <v>0</v>
      </c>
      <c r="M16" s="229">
        <f>I16-SUM(J16:L16)</f>
        <v>1815.2024999999999</v>
      </c>
      <c r="N16" s="248">
        <f>+(G16*D16+H16)*V16</f>
        <v>396.61016949152526</v>
      </c>
      <c r="O16" s="238">
        <f>(N16+M16)*$O$15</f>
        <v>11.059063347457625</v>
      </c>
      <c r="P16" s="310">
        <f>M16+N16+O16</f>
        <v>2222.8717328389826</v>
      </c>
      <c r="Q16" s="313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209.85000000000002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1815.2024999999999</v>
      </c>
      <c r="N17" s="277">
        <f t="shared" ref="N17:N24" si="3">+(G17*D17+H17)*V17</f>
        <v>396.61016949152526</v>
      </c>
      <c r="O17" s="239">
        <f t="shared" ref="O17:O24" si="4">(N17+M17)*$O$15</f>
        <v>11.059063347457625</v>
      </c>
      <c r="P17" s="311">
        <f t="shared" ref="P17:P24" si="5">M17+N17+O17</f>
        <v>2222.8717328389826</v>
      </c>
      <c r="Q17" s="156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209.85000000000002</v>
      </c>
      <c r="K18" s="128">
        <f t="shared" si="1"/>
        <v>73.447500000000005</v>
      </c>
      <c r="L18" s="119">
        <f t="shared" si="1"/>
        <v>0</v>
      </c>
      <c r="M18" s="230">
        <f t="shared" si="2"/>
        <v>1815.2024999999999</v>
      </c>
      <c r="N18" s="277">
        <f t="shared" si="3"/>
        <v>396.61016949152526</v>
      </c>
      <c r="O18" s="239">
        <f t="shared" si="4"/>
        <v>11.059063347457625</v>
      </c>
      <c r="P18" s="311">
        <f t="shared" si="5"/>
        <v>2222.8717328389826</v>
      </c>
      <c r="Q18" s="156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290.56</v>
      </c>
      <c r="K19" s="128">
        <f t="shared" si="1"/>
        <v>101.69600000000001</v>
      </c>
      <c r="L19" s="119">
        <f t="shared" si="1"/>
        <v>0</v>
      </c>
      <c r="M19" s="230">
        <f t="shared" si="2"/>
        <v>2513.3440000000001</v>
      </c>
      <c r="N19" s="277">
        <f t="shared" si="3"/>
        <v>549.15254237288138</v>
      </c>
      <c r="O19" s="239">
        <f t="shared" si="4"/>
        <v>15.312482711864407</v>
      </c>
      <c r="P19" s="311">
        <f t="shared" si="5"/>
        <v>3077.8090250847458</v>
      </c>
      <c r="Q19" s="156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290.56</v>
      </c>
      <c r="K20" s="128">
        <f t="shared" si="1"/>
        <v>101.69600000000001</v>
      </c>
      <c r="L20" s="119">
        <f t="shared" si="1"/>
        <v>0</v>
      </c>
      <c r="M20" s="230">
        <f t="shared" si="2"/>
        <v>2513.3440000000001</v>
      </c>
      <c r="N20" s="277">
        <f t="shared" si="3"/>
        <v>549.15254237288138</v>
      </c>
      <c r="O20" s="239">
        <f t="shared" si="4"/>
        <v>15.312482711864407</v>
      </c>
      <c r="P20" s="311">
        <f t="shared" si="5"/>
        <v>3077.8090250847458</v>
      </c>
      <c r="Q20" s="156"/>
      <c r="R20">
        <f>P20/21</f>
        <v>146.56233452784505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200</v>
      </c>
      <c r="I25" s="114">
        <f t="shared" ref="I25:M25" si="10">SUM(I16:I24)</f>
        <v>12106.7</v>
      </c>
      <c r="J25" s="274">
        <f>SUM(J16:J24)</f>
        <v>1210.67</v>
      </c>
      <c r="K25" s="275">
        <f t="shared" si="10"/>
        <v>423.73450000000008</v>
      </c>
      <c r="L25" s="276">
        <f t="shared" si="10"/>
        <v>0</v>
      </c>
      <c r="M25" s="232">
        <f t="shared" si="10"/>
        <v>10472.2955</v>
      </c>
      <c r="N25" s="233">
        <f>SUM(N16:N24)</f>
        <v>2288.1355932203383</v>
      </c>
      <c r="O25" s="101">
        <f>SUM(O16:O24)</f>
        <v>63.802155466101688</v>
      </c>
      <c r="P25" s="113">
        <f>SUM(P16:P24)</f>
        <v>12824.233248686438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12106.7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1210.67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423.73450000000008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10472.2955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2288.1355932203383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12760.431093220339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63.802155466101695</v>
      </c>
    </row>
    <row r="35" spans="2:16" ht="15.75" customHeight="1" thickBot="1" x14ac:dyDescent="0.4">
      <c r="N35" s="373" t="s">
        <v>88</v>
      </c>
      <c r="O35" s="374"/>
      <c r="P35" s="297">
        <f>+P33+P34</f>
        <v>12824.23324868644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H26" sqref="H2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46269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46268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Shakoor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46270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46269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2026-09-04T05:33:51Z</dcterms:modified>
</cp:coreProperties>
</file>