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9BAC23D-7515-4CB3-97BC-07F840662E4E}" xr6:coauthVersionLast="47" xr6:coauthVersionMax="47" xr10:uidLastSave="{00000000-0000-0000-0000-000000000000}"/>
  <bookViews>
    <workbookView xWindow="-110" yWindow="-110" windowWidth="19420" windowHeight="10420" tabRatio="948" firstSheet="3" activeTab="22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0" l="1"/>
  <c r="M17" i="56"/>
  <c r="O17" i="56" s="1"/>
  <c r="P17" i="56" s="1"/>
  <c r="M18" i="53"/>
  <c r="O18" i="53" s="1"/>
  <c r="P18" i="53" s="1"/>
  <c r="J7" i="62"/>
  <c r="M21" i="52"/>
  <c r="O21" i="52" s="1"/>
  <c r="P21" i="52" s="1"/>
  <c r="M21" i="51"/>
  <c r="K12" i="62"/>
  <c r="M20" i="47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<sst xmlns="http://schemas.openxmlformats.org/spreadsheetml/2006/main" count="3948" uniqueCount="534">
  <si>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</si>
  <si>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</si>
  <si>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</si>
  <si>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</si>
  <si>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</si>
  <si>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</si>
  <si>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</si>
  <si>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</si>
  <si>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</si>
  <si>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</si>
  <si>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</si>
  <si>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</si>
  <si>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</si>
  <si>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</si>
  <si>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</si>
  <si>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</si>
  <si>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</si>
  <si>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</si>
  <si>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</si>
  <si>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</si>
  <si>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</si>
  <si>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</si>
  <si>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</si>
  <si>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</si>
  <si>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</si>
  <si>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</si>
  <si>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</si>
  <si>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</si>
  <si>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</si>
  <si>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</si>
  <si>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</si>
  <si>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</si>
  <si>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</si>
  <si>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</si>
  <si>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</si>
  <si>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</si>
  <si>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</si>
  <si>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</si>
  <si>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</si>
  <si>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</si>
  <si>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</si>
  <si>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</si>
  <si>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</si>
  <si>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</si>
  <si>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</si>
  <si>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</si>
  <si>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</si>
  <si>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</si>
  <si>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</si>
  <si>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</si>
  <si>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</si>
  <si>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</si>
  <si>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</si>
  <si>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</si>
  <si>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</si>
  <si>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</si>
  <si>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</si>
  <si>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</si>
  <si>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</si>
  <si>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</si>
  <si>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</si>
  <si>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</si>
  <si>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</si>
  <si>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</si>
  <si>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</si>
  <si>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</si>
  <si>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</si>
  <si>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</si>
  <si>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</si>
  <si>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</si>
  <si>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</si>
  <si>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</si>
  <si>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</si>
  <si>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</si>
  <si>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</si>
  <si>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</si>
  <si>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</si>
  <si>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</si>
  <si>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</si>
  <si>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</si>
  <si>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</si>
  <si>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</si>
  <si>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</si>
  <si>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</si>
  <si>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</si>
  <si>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</si>
  <si>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</si>
  <si>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</si>
  <si>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</si>
  <si>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</si>
  <si>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</si>
  <si>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</si>
  <si>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</si>
  <si>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</si>
  <si>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</si>
  <si>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</si>
  <si>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</si>
  <si>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</si>
  <si>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</si>
  <si>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</si>
  <si>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</si>
  <si>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</si>
  <si>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</si>
  <si>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</si>
  <si>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</si>
  <si>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</si>
  <si>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</si>
  <si>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</si>
  <si>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</si>
  <si>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</si>
  <si>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</si>
  <si>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</si>
  <si>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</si>
  <si>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</si>
  <si>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</si>
  <si>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</si>
  <si>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</si>
  <si>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</si>
  <si>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</si>
  <si>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</si>
  <si>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</si>
  <si>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</si>
  <si>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</si>
  <si>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</si>
  <si>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</si>
  <si>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</si>
  <si>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</si>
  <si>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</si>
  <si>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</si>
  <si>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</si>
  <si>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</si>
  <si>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</si>
  <si>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</si>
  <si>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</si>
  <si>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</si>
  <si>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</si>
  <si>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</si>
  <si>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</si>
  <si>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</si>
  <si>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</si>
  <si>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</si>
  <si>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</si>
  <si>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</si>
  <si>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</si>
  <si>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</si>
  <si>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</si>
  <si>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</si>
  <si>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</si>
  <si>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</si>
  <si>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</si>
  <si>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</si>
  <si>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</si>
  <si>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</si>
  <si>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</si>
  <si>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</si>
  <si>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</si>
  <si>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</si>
  <si>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</si>
  <si>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</si>
  <si>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</si>
  <si>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</si>
  <si>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</si>
  <si>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</si>
  <si>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</si>
  <si>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</si>
  <si>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</si>
  <si>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</si>
  <si>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</si>
  <si>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</si>
  <si>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</si>
  <si>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</si>
  <si>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</si>
  <si>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</si>
  <si>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</si>
  <si>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</si>
  <si>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</si>
  <si>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</si>
  <si>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</si>
  <si>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</si>
  <si>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</si>
  <si>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</si>
  <si>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</si>
  <si>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</si>
  <si>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</si>
  <si>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</si>
  <si>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</si>
  <si>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</si>
  <si>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</si>
  <si>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</si>
  <si>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</si>
  <si>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</si>
  <si>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</si>
  <si>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</si>
  <si>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</si>
  <si>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</si>
  <si>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</si>
  <si>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</si>
  <si>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</si>
  <si>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</si>
  <si>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</si>
  <si>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</si>
  <si>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</si>
  <si>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</si>
  <si>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</si>
  <si>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</si>
  <si>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</si>
  <si>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</si>
  <si>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</si>
  <si>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</si>
  <si>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</si>
  <si>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</si>
  <si>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</si>
  <si>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</si>
  <si>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</si>
  <si>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</si>
  <si>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</si>
  <si>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</si>
  <si>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</si>
  <si>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</si>
  <si>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</si>
  <si>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</si>
  <si>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</si>
  <si>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</si>
  <si>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</si>
  <si>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</si>
  <si>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</si>
  <si>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</si>
  <si>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</si>
  <si>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</si>
  <si>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</si>
  <si>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</si>
  <si>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</si>
  <si>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</si>
  <si>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</si>
  <si>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</si>
  <si>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</si>
  <si>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</si>
  <si>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</si>
  <si>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</si>
  <si>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</si>
  <si>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</si>
  <si>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</si>
  <si>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</si>
  <si>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</si>
  <si>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</si>
  <si>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</si>
  <si>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</si>
  <si>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</si>
  <si>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</si>
  <si>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</si>
  <si>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</si>
  <si>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</si>
  <si>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</si>
  <si>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</si>
  <si>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</si>
  <si>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</si>
  <si>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</si>
  <si>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</si>
  <si>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</si>
  <si>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</si>
  <si>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</si>
  <si>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</si>
  <si>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</si>
  <si>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</si>
  <si>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</si>
  <si>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</si>
  <si>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</si>
  <si>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</si>
  <si>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</si>
  <si>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</si>
  <si>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</si>
  <si>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</si>
  <si>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</si>
  <si>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</si>
  <si>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</si>
  <si>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</si>
  <si>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</si>
  <si>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</si>
  <si>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</si>
  <si>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</si>
  <si>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</si>
  <si>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</si>
  <si>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</si>
  <si>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</si>
  <si>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</si>
  <si>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</si>
  <si>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</si>
  <si>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</si>
  <si>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</si>
  <si>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</si>
  <si>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</si>
  <si>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</si>
  <si>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</si>
  <si>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</si>
  <si>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</si>
  <si>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</si>
  <si>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</si>
  <si>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</si>
  <si>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</si>
  <si>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</si>
  <si>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</si>
  <si>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</si>
  <si>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</si>
  <si>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</si>
  <si>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</si>
  <si>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</si>
  <si>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</si>
  <si>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</si>
  <si>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</si>
  <si>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</si>
  <si>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</si>
  <si>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</si>
  <si>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</si>
  <si>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</si>
  <si>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</si>
  <si>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</si>
  <si>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</si>
  <si>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</si>
  <si>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</si>
  <si>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</si>
  <si>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</si>
  <si>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</si>
  <si>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</si>
  <si>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</si>
  <si>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</si>
  <si>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</si>
  <si>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</si>
  <si>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</si>
  <si>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</si>
  <si>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</si>
  <si>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</si>
  <si>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</si>
  <si>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</si>
  <si>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</si>
  <si>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</si>
  <si>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</si>
  <si>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</si>
  <si>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</si>
  <si>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</si>
  <si>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</si>
  <si>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</si>
  <si>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</si>
  <si>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</si>
  <si>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</si>
  <si>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</si>
  <si>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</si>
  <si>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</si>
  <si>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</si>
  <si>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</si>
  <si>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</si>
  <si>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</si>
  <si>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</si>
  <si>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</si>
  <si>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</si>
  <si>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</si>
  <si>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</si>
  <si>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</si>
  <si>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</si>
  <si>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</si>
  <si>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</si>
  <si>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</si>
  <si>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</si>
  <si>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</si>
  <si>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</si>
  <si>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</si>
  <si>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</si>
  <si>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</si>
  <si>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</si>
  <si>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</si>
  <si>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</si>
  <si>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</si>
  <si>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</si>
  <si>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</si>
  <si>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</si>
  <si>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</si>
  <si>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</si>
  <si>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</si>
  <si>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</si>
  <si>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</si>
  <si>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</si>
  <si>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</si>
  <si>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</si>
  <si>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</si>
  <si>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</si>
  <si>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</si>
  <si>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</si>
  <si>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</si>
  <si>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</si>
  <si>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</si>
  <si>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</si>
  <si>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</si>
  <si>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</si>
  <si>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</si>
  <si>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</si>
  <si>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</si>
  <si>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</si>
  <si>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</si>
  <si>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</si>
  <si>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</si>
  <si>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</si>
  <si>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</si>
  <si>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</si>
  <si>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</si>
  <si>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</si>
  <si>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</si>
  <si>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</si>
  <si>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</si>
  <si>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</si>
  <si>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</si>
  <si>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</si>
  <si>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</si>
  <si>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</si>
  <si>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</si>
  <si>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</si>
  <si>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</si>
  <si>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</si>
  <si>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</si>
  <si>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</si>
  <si>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</si>
  <si>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</si>
  <si>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</si>
  <si>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</si>
  <si>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</si>
  <si>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</si>
  <si>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</si>
  <si>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</si>
  <si>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</si>
  <si>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</si>
  <si>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</si>
  <si>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</si>
  <si>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</si>
  <si>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</si>
  <si>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</si>
  <si>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</si>
  <si>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</si>
  <si>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</si>
  <si>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</si>
  <si>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</si>
  <si>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</si>
  <si>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</si>
  <si>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</si>
  <si>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</si>
  <si>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</si>
  <si>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</si>
  <si>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</si>
  <si>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</si>
  <si>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</si>
  <si>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</si>
  <si>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</si>
  <si>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</si>
  <si>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</si>
  <si>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</si>
  <si>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</si>
  <si>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</si>
  <si>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</si>
  <si>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</si>
  <si>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</si>
  <si>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</si>
  <si>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</si>
  <si>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</si>
  <si>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</si>
  <si>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</si>
  <si>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</si>
  <si>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</si>
  <si>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</si>
  <si>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</si>
  <si>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</si>
  <si>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</si>
  <si>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</si>
  <si>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</si>
  <si>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</si>
  <si>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</si>
  <si>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</si>
  <si>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</si>
  <si>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</si>
  <si>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</si>
  <si>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</si>
  <si>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</si>
  <si>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</si>
  <si>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</si>
  <si>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</si>
  <si>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</si>
  <si>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</si>
  <si>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</si>
  <si>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</si>
  <si>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</si>
  <si>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</si>
  <si>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</si>
  <si>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</si>
  <si>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</si>
  <si>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</si>
  <si>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</si>
  <si>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</si>
  <si>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</si>
  <si>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</si>
  <si>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</si>
  <si>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</si>
  <si>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</si>
  <si>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</si>
  <si>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</si>
  <si>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</si>
  <si>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</si>
  <si>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</si>
  <si>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</si>
  <si>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</si>
  <si>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</si>
  <si>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</si>
  <si>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</si>
  <si>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</si>
  <si>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</si>
  <si>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</si>
  <si>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</si>
  <si>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</si>
  <si>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</si>
  <si>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</si>
  <si>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Dilshad Store</t>
  </si>
  <si>
    <t>Address: Baharshah Road</t>
  </si>
  <si>
    <t>Waris Store</t>
  </si>
  <si>
    <t>Raja Store</t>
  </si>
  <si>
    <t>Mukhtiar Store</t>
  </si>
  <si>
    <t>Zohaib Store</t>
  </si>
  <si>
    <t>Jamal Store</t>
  </si>
  <si>
    <t>Wahid Store</t>
  </si>
  <si>
    <t>Gujjar Store</t>
  </si>
  <si>
    <t>M Ali Store</t>
  </si>
  <si>
    <t>Shahid Store</t>
  </si>
  <si>
    <t>Al Sheikh Store</t>
  </si>
  <si>
    <r>
      <t xml:space="preserve">Address: </t>
    </r>
    <r>
      <rPr>
        <sz val="11"/>
        <color theme="1"/>
        <rFont val="Calibri"/>
        <family val="2"/>
        <scheme val="minor"/>
      </rPr>
      <t>Baharshah Road</t>
    </r>
  </si>
  <si>
    <t>Al Sharif General Store</t>
  </si>
  <si>
    <t>Hamza Mart</t>
  </si>
  <si>
    <t>Mughal Store</t>
  </si>
  <si>
    <t>Al Fatah Super Store</t>
  </si>
  <si>
    <t>K Mart</t>
  </si>
  <si>
    <t>Bakhtawar 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</si>
</sst>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F42" sqref="F4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46270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Dilshad Store</v>
      </c>
      <c r="T3" s="301">
        <f>+'1'!P35</f>
        <v>453.01031656779651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Waris Store</v>
      </c>
      <c r="T4" s="301">
        <f>+'2'!P35</f>
        <v>453.01031656779651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Raja Store</v>
      </c>
      <c r="T5" s="301">
        <f>+'3'!P35</f>
        <v>453.01031656779651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Mukhtiar Store</v>
      </c>
      <c r="T6" s="301">
        <f>+'4'!P35</f>
        <v>453.01031656779651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85</v>
      </c>
      <c r="I7" s="235">
        <f>(G7*D7)*F7+H7*F7</f>
        <v>4459.3125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356.745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156.07593750000001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3946.4915624999999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842.79661016949115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23.946440863347455</v>
      </c>
      <c r="P7" s="310">
        <f>M7+N7+O7</f>
        <v>4813.2346135328389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Zohaib Store</v>
      </c>
      <c r="T7" s="301">
        <f>+'5'!P35</f>
        <v>453.01031656779651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27</v>
      </c>
      <c r="I8" s="236">
        <f t="shared" ref="I8:I14" si="0">(G8*D8)*F8+H8*F8</f>
        <v>1416.4875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113.319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49.577062499999997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1253.5914375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267.71186440677957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7.6065165095338978</v>
      </c>
      <c r="P8" s="311">
        <f t="shared" ref="P8:P15" si="2">M8+N8+O8</f>
        <v>1528.9098184163136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Jamal Store</v>
      </c>
      <c r="T8" s="301">
        <f>+'6'!P35</f>
        <v>627.2423170169493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133</v>
      </c>
      <c r="I9" s="236">
        <f t="shared" si="0"/>
        <v>6977.5124999999998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558.20100000000002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244.21293750000001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6175.0985624999994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1318.7288135593215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37.46913688029661</v>
      </c>
      <c r="P9" s="311">
        <f t="shared" si="2"/>
        <v>7531.296512939618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Wahid Store</v>
      </c>
      <c r="T9" s="301">
        <f>+'7'!P35</f>
        <v>627.2423170169493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79</v>
      </c>
      <c r="I10" s="236">
        <f t="shared" si="0"/>
        <v>5738.56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459.08480000000003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200.84960000000004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5078.6256000000003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1084.5762711864409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30.816009355932209</v>
      </c>
      <c r="P10" s="311">
        <f t="shared" si="2"/>
        <v>6194.017880542373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Gujjar Store</v>
      </c>
      <c r="T10" s="301">
        <f>+'8'!P35</f>
        <v>627.2423170169493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</v>
      </c>
      <c r="I11" s="236">
        <f t="shared" si="0"/>
        <v>871.68000000000006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69.734400000000008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30.508800000000004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771.43680000000006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164.74576271186442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4.6809128135593223</v>
      </c>
      <c r="P11" s="311">
        <f t="shared" si="2"/>
        <v>940.86347552542372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 Ali Store</v>
      </c>
      <c r="T11" s="301">
        <f>+'9'!P35</f>
        <v>627.2423170169493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101</v>
      </c>
      <c r="I12" s="236">
        <f t="shared" si="0"/>
        <v>7336.64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586.93119999999999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256.78240000000005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6492.9264000000003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1386.6101694915255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39.397682847457631</v>
      </c>
      <c r="P12" s="311">
        <f t="shared" si="2"/>
        <v>7918.9342523389832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Shahid Store</v>
      </c>
      <c r="T12" s="301">
        <f>+'10'!P35</f>
        <v>627.2423170169493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72</v>
      </c>
      <c r="I13" s="236">
        <f t="shared" si="0"/>
        <v>2824.5600000000004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141.22800000000004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98.859600000000029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144.05256</v>
      </c>
      <c r="M13" s="230">
        <f t="shared" si="1"/>
        <v>2440.4198400000005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549.15254237288104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14.947861911864408</v>
      </c>
      <c r="P13" s="311">
        <f t="shared" si="2"/>
        <v>3004.5202442847458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Al Sheikh Store</v>
      </c>
      <c r="T13" s="301">
        <f>+'11'!P35</f>
        <v>971.18511181016947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Al Sharif General Store</v>
      </c>
      <c r="T14" s="301">
        <f>+'12'!P35</f>
        <v>1189.1520809904662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Hamza Mart</v>
      </c>
      <c r="T15" s="301">
        <f>+'13'!P35</f>
        <v>10504.589501173728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12.725</v>
      </c>
      <c r="H16" s="113">
        <f t="shared" ref="H16:M16" si="3">SUM(H7:H15)</f>
        <v>509</v>
      </c>
      <c r="I16" s="114">
        <f t="shared" si="3"/>
        <v>29624.752500000002</v>
      </c>
      <c r="J16" s="274">
        <f>SUM(J7:J15)</f>
        <v>2285.2434000000003</v>
      </c>
      <c r="K16" s="275">
        <f t="shared" si="3"/>
        <v>1036.8663375000001</v>
      </c>
      <c r="L16" s="276">
        <f t="shared" si="3"/>
        <v>144.05256</v>
      </c>
      <c r="M16" s="232">
        <f t="shared" si="3"/>
        <v>26158.590202499996</v>
      </c>
      <c r="N16" s="233">
        <f>SUM(N7:N15)</f>
        <v>5614.3220338983037</v>
      </c>
      <c r="O16" s="101">
        <f>SUM(O7:O15)</f>
        <v>158.86456118199152</v>
      </c>
      <c r="P16" s="113">
        <f>SUM(P7:P15)</f>
        <v>31931.7767975803</v>
      </c>
      <c r="Q16" s="128">
        <f>SUM(Q7:Q15)</f>
        <v>0</v>
      </c>
      <c r="R16" s="314">
        <v>14</v>
      </c>
      <c r="S16" s="318" t="str">
        <f>+'14'!A6:A6</f>
        <v>Mughal Store</v>
      </c>
      <c r="T16" s="301">
        <f>+'14'!P35</f>
        <v>1829.4626874661017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Al Fatah Super Store</v>
      </c>
      <c r="T17" s="301">
        <f>+'15'!P35</f>
        <v>2265.051582838983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 Mart</v>
      </c>
      <c r="T18" s="301">
        <f>+'16'!P35</f>
        <v>9771.0726653771198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29624.752500000002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2285.2434000000003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1180.9188975000002</v>
      </c>
      <c r="R21" s="299">
        <v>19</v>
      </c>
      <c r="S21" s="300" t="str">
        <f>+'19'!A6:A6</f>
        <v>Bakhtawar Sweets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26158.590202500003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5614.3220338983037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31772.912236398308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158.86456118199152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31931.7767975803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31931.776797580296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ref="I18:I21" si="7">(G18*D18)*F18+H18*F18</f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8</v>
      </c>
      <c r="I25" s="114">
        <f t="shared" ref="I25:M25" si="10">SUM(I16:I24)</f>
        <v>419.7</v>
      </c>
      <c r="J25" s="274">
        <f>SUM(J16:J24)</f>
        <v>33.576000000000001</v>
      </c>
      <c r="K25" s="275">
        <f t="shared" si="10"/>
        <v>14.689500000000001</v>
      </c>
      <c r="L25" s="276">
        <f t="shared" si="10"/>
        <v>0</v>
      </c>
      <c r="M25" s="232">
        <f t="shared" si="10"/>
        <v>371.43449999999996</v>
      </c>
      <c r="N25" s="233">
        <f>SUM(N16:N24)</f>
        <v>79.322033898305051</v>
      </c>
      <c r="O25" s="101">
        <f>SUM(O16:O24)</f>
        <v>2.2537826694915255</v>
      </c>
      <c r="P25" s="113">
        <f>SUM(P16:P24)</f>
        <v>453.01031656779651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419.7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33.576000000000001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14.689500000000001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371.43449999999996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79.322033898305051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450.75653389830501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2.2537826694915251</v>
      </c>
    </row>
    <row r="35" spans="2:16" ht="15.75" customHeight="1" thickBot="1" x14ac:dyDescent="0.4">
      <c r="N35" s="373" t="s">
        <v>88</v>
      </c>
      <c r="O35" s="374"/>
      <c r="P35" s="297">
        <f>+P33+P34</f>
        <v>453.01031656779651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</v>
      </c>
      <c r="I25" s="114">
        <f t="shared" si="7"/>
        <v>419.7</v>
      </c>
      <c r="J25" s="274">
        <f>SUM(J16:J24)</f>
        <v>33.576000000000001</v>
      </c>
      <c r="K25" s="275">
        <f t="shared" si="7"/>
        <v>14.689500000000001</v>
      </c>
      <c r="L25" s="276">
        <f t="shared" si="7"/>
        <v>0</v>
      </c>
      <c r="M25" s="232">
        <f t="shared" si="7"/>
        <v>371.43449999999996</v>
      </c>
      <c r="N25" s="233">
        <f>SUM(N16:N24)</f>
        <v>79.322033898305051</v>
      </c>
      <c r="O25" s="101">
        <f>SUM(O16:O24)</f>
        <v>2.2537826694915255</v>
      </c>
      <c r="P25" s="113">
        <f>SUM(P16:P24)</f>
        <v>453.01031656779651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419.7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33.576000000000001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14.689500000000001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371.43449999999996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79.322033898305051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450.75653389830501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2.2537826694915251</v>
      </c>
    </row>
    <row r="35" spans="2:16" ht="15.75" customHeight="1" thickBot="1" x14ac:dyDescent="0.4">
      <c r="N35" s="373" t="s">
        <v>88</v>
      </c>
      <c r="O35" s="374"/>
      <c r="P35" s="297">
        <f>+P33+P34</f>
        <v>453.01031656779651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</v>
      </c>
      <c r="I25" s="114">
        <f t="shared" si="7"/>
        <v>419.7</v>
      </c>
      <c r="J25" s="274">
        <f>SUM(J16:J24)</f>
        <v>33.576000000000001</v>
      </c>
      <c r="K25" s="275">
        <f t="shared" si="7"/>
        <v>14.689500000000001</v>
      </c>
      <c r="L25" s="276">
        <f t="shared" si="7"/>
        <v>0</v>
      </c>
      <c r="M25" s="232">
        <f t="shared" si="7"/>
        <v>371.43449999999996</v>
      </c>
      <c r="N25" s="233">
        <f>SUM(N16:N24)</f>
        <v>79.322033898305051</v>
      </c>
      <c r="O25" s="101">
        <f>SUM(O16:O24)</f>
        <v>2.2537826694915255</v>
      </c>
      <c r="P25" s="113">
        <f>SUM(P16:P24)</f>
        <v>453.01031656779651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419.7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33.576000000000001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14.689500000000001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371.43449999999996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79.322033898305051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450.75653389830501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2.2537826694915251</v>
      </c>
    </row>
    <row r="35" spans="2:16" ht="15.75" customHeight="1" thickBot="1" x14ac:dyDescent="0.4">
      <c r="N35" s="373" t="s">
        <v>88</v>
      </c>
      <c r="O35" s="374"/>
      <c r="P35" s="297">
        <f>+P33+P34</f>
        <v>453.01031656779651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</v>
      </c>
      <c r="I25" s="114">
        <f t="shared" si="7"/>
        <v>419.7</v>
      </c>
      <c r="J25" s="274">
        <f>SUM(J16:J24)</f>
        <v>33.576000000000001</v>
      </c>
      <c r="K25" s="275">
        <f t="shared" si="7"/>
        <v>14.689500000000001</v>
      </c>
      <c r="L25" s="276">
        <f t="shared" si="7"/>
        <v>0</v>
      </c>
      <c r="M25" s="232">
        <f t="shared" si="7"/>
        <v>371.43449999999996</v>
      </c>
      <c r="N25" s="233">
        <f>SUM(N16:N24)</f>
        <v>79.322033898305051</v>
      </c>
      <c r="O25" s="101">
        <f>SUM(O16:O24)</f>
        <v>2.2537826694915255</v>
      </c>
      <c r="P25" s="113">
        <f>SUM(P16:P24)</f>
        <v>453.01031656779651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419.7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33.576000000000001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14.689500000000001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371.43449999999996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79.322033898305051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450.75653389830501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2.2537826694915251</v>
      </c>
    </row>
    <row r="35" spans="2:16" ht="15.75" customHeight="1" thickBot="1" x14ac:dyDescent="0.4">
      <c r="N35" s="373" t="s">
        <v>88</v>
      </c>
      <c r="O35" s="374"/>
      <c r="P35" s="297">
        <f>+P33+P34</f>
        <v>453.01031656779651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</v>
      </c>
      <c r="I16" s="235">
        <f>(G16*D16)*F16+H16*F16</f>
        <v>52.462499999999999</v>
      </c>
      <c r="J16" s="271">
        <f>$I16*S16</f>
        <v>4.1970000000000001</v>
      </c>
      <c r="K16" s="127">
        <f>$I16*T16</f>
        <v>1.8361875000000001</v>
      </c>
      <c r="L16" s="118">
        <f>$I16*U16</f>
        <v>0</v>
      </c>
      <c r="M16" s="229">
        <f>I16-SUM(J16:L16)</f>
        <v>46.429312499999995</v>
      </c>
      <c r="N16" s="248">
        <f>+(G16*D16+H16)*V16</f>
        <v>9.9152542372881314</v>
      </c>
      <c r="O16" s="238">
        <f>(N16+M16)*$O$15</f>
        <v>0.28172283368644063</v>
      </c>
      <c r="P16" s="310">
        <f>M16+N16+O16</f>
        <v>56.626289570974564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</v>
      </c>
      <c r="I25" s="114">
        <f t="shared" si="7"/>
        <v>419.7</v>
      </c>
      <c r="J25" s="274">
        <f>SUM(J16:J24)</f>
        <v>33.576000000000001</v>
      </c>
      <c r="K25" s="275">
        <f t="shared" si="7"/>
        <v>14.689500000000001</v>
      </c>
      <c r="L25" s="276">
        <f t="shared" si="7"/>
        <v>0</v>
      </c>
      <c r="M25" s="232">
        <f t="shared" si="7"/>
        <v>371.43449999999996</v>
      </c>
      <c r="N25" s="233">
        <f>SUM(N16:N24)</f>
        <v>79.322033898305051</v>
      </c>
      <c r="O25" s="101">
        <f>SUM(O16:O24)</f>
        <v>2.2537826694915251</v>
      </c>
      <c r="P25" s="113">
        <f>SUM(P16:P24)</f>
        <v>453.01031656779651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419.7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33.576000000000001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14.689500000000001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371.43449999999996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79.322033898305051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450.75653389830501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2.2537826694915251</v>
      </c>
    </row>
    <row r="35" spans="2:16" ht="15.75" customHeight="1" thickBot="1" x14ac:dyDescent="0.4">
      <c r="N35" s="373" t="s">
        <v>88</v>
      </c>
      <c r="O35" s="374"/>
      <c r="P35" s="297">
        <f>+P33+P34</f>
        <v>453.01031656779651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</v>
      </c>
      <c r="I25" s="114">
        <f t="shared" si="7"/>
        <v>581.12000000000012</v>
      </c>
      <c r="J25" s="274">
        <f>SUM(J16:J24)</f>
        <v>46.48960000000001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113">
        <f>SUM(P16:P24)</f>
        <v>627.24231701694919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581.12000000000012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46.48960000000001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20.339200000000002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514.29120000000012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624.12170847457639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3.120608542372882</v>
      </c>
    </row>
    <row r="35" spans="2:16" ht="15.75" customHeight="1" thickBot="1" x14ac:dyDescent="0.4">
      <c r="N35" s="373" t="s">
        <v>88</v>
      </c>
      <c r="O35" s="374"/>
      <c r="P35" s="297">
        <f>+P33+P34</f>
        <v>627.2423170169493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</v>
      </c>
      <c r="I25" s="114">
        <f t="shared" si="7"/>
        <v>581.12000000000012</v>
      </c>
      <c r="J25" s="274">
        <f>SUM(J16:J24)</f>
        <v>46.48960000000001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113">
        <f>SUM(P16:P24)</f>
        <v>627.24231701694919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581.12000000000012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46.48960000000001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20.339200000000002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514.29120000000012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624.12170847457639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3.120608542372882</v>
      </c>
    </row>
    <row r="35" spans="2:16" ht="15.75" customHeight="1" thickBot="1" x14ac:dyDescent="0.4">
      <c r="N35" s="373" t="s">
        <v>88</v>
      </c>
      <c r="O35" s="374"/>
      <c r="P35" s="297">
        <f>+P33+P34</f>
        <v>627.2423170169493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</v>
      </c>
      <c r="I25" s="114">
        <f t="shared" si="7"/>
        <v>581.12000000000012</v>
      </c>
      <c r="J25" s="274">
        <f>SUM(J16:J24)</f>
        <v>46.48960000000001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113">
        <f>SUM(P16:P24)</f>
        <v>627.24231701694919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581.12000000000012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46.48960000000001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20.339200000000002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514.29120000000012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624.12170847457639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3.120608542372882</v>
      </c>
    </row>
    <row r="35" spans="2:16" ht="15.75" customHeight="1" thickBot="1" x14ac:dyDescent="0.4">
      <c r="N35" s="373" t="s">
        <v>88</v>
      </c>
      <c r="O35" s="374"/>
      <c r="P35" s="297">
        <f>+P33+P34</f>
        <v>627.2423170169493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</v>
      </c>
      <c r="I25" s="114">
        <f t="shared" si="7"/>
        <v>581.12000000000012</v>
      </c>
      <c r="J25" s="274">
        <f>SUM(J16:J24)</f>
        <v>46.48960000000001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113">
        <f>SUM(P16:P24)</f>
        <v>627.24231701694919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581.12000000000012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46.48960000000001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20.339200000000002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514.29120000000012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624.12170847457639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3.120608542372882</v>
      </c>
    </row>
    <row r="35" spans="2:16" ht="15.75" customHeight="1" thickBot="1" x14ac:dyDescent="0.4">
      <c r="N35" s="373" t="s">
        <v>88</v>
      </c>
      <c r="O35" s="374"/>
      <c r="P35" s="297">
        <f>+P33+P34</f>
        <v>627.2423170169493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</v>
      </c>
      <c r="I25" s="114">
        <f t="shared" si="7"/>
        <v>581.12000000000012</v>
      </c>
      <c r="J25" s="274">
        <f>SUM(J16:J24)</f>
        <v>46.48960000000001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113">
        <f>SUM(P16:P24)</f>
        <v>627.24231701694919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581.12000000000012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46.48960000000001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20.339200000000002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514.29120000000012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624.12170847457639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3.120608542372882</v>
      </c>
    </row>
    <row r="35" spans="2:16" ht="15.75" customHeight="1" thickBot="1" x14ac:dyDescent="0.4">
      <c r="N35" s="373" t="s">
        <v>88</v>
      </c>
      <c r="O35" s="374"/>
      <c r="P35" s="297">
        <f>+P33+P34</f>
        <v>627.2423170169493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18</v>
      </c>
      <c r="I25" s="114">
        <f t="shared" si="7"/>
        <v>906.60000000000014</v>
      </c>
      <c r="J25" s="274">
        <f>SUM(J16:J24)</f>
        <v>58.405200000000008</v>
      </c>
      <c r="K25" s="275">
        <f t="shared" si="7"/>
        <v>31.731000000000009</v>
      </c>
      <c r="L25" s="276">
        <f t="shared" si="7"/>
        <v>24.008760000000002</v>
      </c>
      <c r="M25" s="232">
        <f t="shared" si="7"/>
        <v>792.45504000000005</v>
      </c>
      <c r="N25" s="233">
        <f>SUM(N16:N24)</f>
        <v>173.89830508474572</v>
      </c>
      <c r="O25" s="101">
        <f>SUM(O16:O24)</f>
        <v>4.8317667254237282</v>
      </c>
      <c r="P25" s="113">
        <f>SUM(P16:P24)</f>
        <v>971.18511181016947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906.60000000000014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58.405200000000008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55.739760000000011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792.45504000000005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173.89830508474572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966.3533450847458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4.8317667254237291</v>
      </c>
    </row>
    <row r="35" spans="2:16" ht="15.75" customHeight="1" thickBot="1" x14ac:dyDescent="0.4">
      <c r="N35" s="373" t="s">
        <v>88</v>
      </c>
      <c r="O35" s="374"/>
      <c r="P35" s="297">
        <f>+P33+P34</f>
        <v>971.18511181016947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8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21</v>
      </c>
      <c r="I25" s="114">
        <f t="shared" si="7"/>
        <v>1101.7125000000001</v>
      </c>
      <c r="J25" s="274">
        <f>SUM(J16:J24)</f>
        <v>88.137</v>
      </c>
      <c r="K25" s="275">
        <f t="shared" si="7"/>
        <v>38.559937500000004</v>
      </c>
      <c r="L25" s="276">
        <f t="shared" si="7"/>
        <v>0</v>
      </c>
      <c r="M25" s="232">
        <f t="shared" si="7"/>
        <v>975.01556249999999</v>
      </c>
      <c r="N25" s="233">
        <f>SUM(N16:N24)</f>
        <v>208.22033898305074</v>
      </c>
      <c r="O25" s="101">
        <f>SUM(O16:O24)</f>
        <v>5.9161795074152543</v>
      </c>
      <c r="P25" s="113">
        <f>SUM(P16:P24)</f>
        <v>1189.1520809904659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1101.7125000000001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88.137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38.559937500000004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975.0155625000001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208.22033898305074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1183.2359014830508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5.9161795074152543</v>
      </c>
    </row>
    <row r="35" spans="2:16" ht="15.75" customHeight="1" thickBot="1" x14ac:dyDescent="0.4">
      <c r="N35" s="373" t="s">
        <v>88</v>
      </c>
      <c r="O35" s="374"/>
      <c r="P35" s="297">
        <f>+P33+P34</f>
        <v>1189.1520809904662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9743.5500000000011</v>
      </c>
      <c r="J25" s="274">
        <f>SUM(J16:J24)</f>
        <v>755.94600000000003</v>
      </c>
      <c r="K25" s="275">
        <f t="shared" si="7"/>
        <v>341.02425000000005</v>
      </c>
      <c r="L25" s="276">
        <f t="shared" si="7"/>
        <v>40.014600000000002</v>
      </c>
      <c r="M25" s="232">
        <f t="shared" si="7"/>
        <v>8606.5651500000004</v>
      </c>
      <c r="N25" s="233">
        <f>SUM(N16:N24)</f>
        <v>1845.7627118644064</v>
      </c>
      <c r="O25" s="101">
        <f>SUM(O16:O24)</f>
        <v>52.261639309322035</v>
      </c>
      <c r="P25" s="113">
        <f>SUM(P16:P24)</f>
        <v>10504.58950117373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9743.5500000000011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755.94600000000003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381.03885000000002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8606.5651500000004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1845.7627118644064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10452.327861864407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52.261639309322035</v>
      </c>
    </row>
    <row r="35" spans="2:16" ht="15.75" customHeight="1" thickBot="1" x14ac:dyDescent="0.4">
      <c r="N35" s="373" t="s">
        <v>88</v>
      </c>
      <c r="O35" s="374"/>
      <c r="P35" s="297">
        <f>+P33+P34</f>
        <v>10504.589501173728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30</v>
      </c>
      <c r="I25" s="114">
        <f t="shared" si="7"/>
        <v>1694.94</v>
      </c>
      <c r="J25" s="274">
        <f>SUM(J16:J24)</f>
        <v>135.59520000000001</v>
      </c>
      <c r="K25" s="275">
        <f t="shared" si="7"/>
        <v>59.322900000000004</v>
      </c>
      <c r="L25" s="276">
        <f t="shared" si="7"/>
        <v>0</v>
      </c>
      <c r="M25" s="232">
        <f t="shared" si="7"/>
        <v>1500.0219</v>
      </c>
      <c r="N25" s="233">
        <f>SUM(N16:N24)</f>
        <v>320.33898305084733</v>
      </c>
      <c r="O25" s="101">
        <f>SUM(O16:O24)</f>
        <v>9.1018044152542359</v>
      </c>
      <c r="P25" s="113">
        <f>SUM(P16:P24)</f>
        <v>1829.4626874661017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1694.94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135.59520000000001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59.322900000000004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1500.0219000000002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320.33898305084733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1820.3608830508474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9.1018044152542377</v>
      </c>
    </row>
    <row r="35" spans="2:16" ht="15.75" customHeight="1" thickBot="1" x14ac:dyDescent="0.4">
      <c r="N35" s="373" t="s">
        <v>88</v>
      </c>
      <c r="O35" s="374"/>
      <c r="P35" s="297">
        <f>+P33+P34</f>
        <v>1829.4626874661017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8" workbookViewId="0">
      <selection activeCell="J5" sqref="J5:L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9075.35</v>
      </c>
      <c r="J25" s="274">
        <f>SUM(J16:J24)</f>
        <v>678.952</v>
      </c>
      <c r="K25" s="275">
        <f t="shared" si="7"/>
        <v>317.63725000000005</v>
      </c>
      <c r="L25" s="276">
        <f t="shared" si="7"/>
        <v>80.029200000000003</v>
      </c>
      <c r="M25" s="232">
        <f t="shared" si="7"/>
        <v>7998.7315500000004</v>
      </c>
      <c r="N25" s="233">
        <f>SUM(N16:N24)</f>
        <v>1723.7288135593215</v>
      </c>
      <c r="O25" s="101">
        <f>SUM(O16:O24)</f>
        <v>48.612301817796606</v>
      </c>
      <c r="P25" s="113">
        <f>SUM(P16:P24)</f>
        <v>9771.072665377118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9075.35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678.952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397.66645000000005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7998.7315500000013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1723.7288135593215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9722.460363559323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48.612301817796613</v>
      </c>
    </row>
    <row r="35" spans="2:16" ht="15.75" customHeight="1" thickBot="1" x14ac:dyDescent="0.4">
      <c r="N35" s="373" t="s">
        <v>88</v>
      </c>
      <c r="O35" s="374"/>
      <c r="P35" s="297">
        <f>+P33+P34</f>
        <v>9771.0726653771198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topLeftCell="A8" workbookViewId="0">
      <selection activeCell="I11" sqref="I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46271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46270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2026-09-05T04:25:22Z</dcterms:modified>
</cp:coreProperties>
</file>