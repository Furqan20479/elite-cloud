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5A19D4-2AC3-44EA-870A-D486AD71E0D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13" i="62" l="1"/>
  <c r="Q12" i="62"/>
  <c r="Q11" i="62"/>
  <c r="Q10" i="62"/>
  <c r="Q9" i="62"/>
  <c r="Q8" i="62"/>
  <c r="Q7" i="62"/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14" i="62"/>
  <c r="Q15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3" i="49"/>
  <c r="O23" i="49" s="1"/>
  <c r="P23" i="49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J7" i="62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20" i="71"/>
  <c r="O20" i="71" s="1"/>
  <c r="P20" i="71" s="1"/>
  <c r="R20" i="71" s="1"/>
  <c r="M16" i="58"/>
  <c r="O16" i="58" s="1"/>
  <c r="P16" i="58" s="1"/>
  <c r="M16" i="59"/>
  <c r="M17" i="72"/>
  <c r="O17" i="72" s="1"/>
  <c r="P17" i="72" s="1"/>
  <c r="M16" i="64"/>
  <c r="M17" i="60"/>
  <c r="O17" i="60" s="1"/>
  <c r="P17" i="60" s="1"/>
  <c r="M23" i="56"/>
  <c r="O23" i="56" s="1"/>
  <c r="P23" i="56" s="1"/>
  <c r="M16" i="65"/>
  <c r="M22" i="63"/>
  <c r="O22" i="63" s="1"/>
  <c r="P22" i="63" s="1"/>
  <c r="M23" i="51"/>
  <c r="O23" i="51" s="1"/>
  <c r="P23" i="51" s="1"/>
  <c r="M23" i="60"/>
  <c r="O23" i="60" s="1"/>
  <c r="P23" i="60" s="1"/>
  <c r="M23" i="58"/>
  <c r="O23" i="58" s="1"/>
  <c r="P23" i="58" s="1"/>
  <c r="M16" i="60"/>
  <c r="M21" i="51"/>
  <c r="O21" i="51" s="1"/>
  <c r="P21" i="51" s="1"/>
  <c r="M23" i="72"/>
  <c r="O23" i="72" s="1"/>
  <c r="P23" i="72" s="1"/>
  <c r="M23" i="64"/>
  <c r="M23" i="59"/>
  <c r="M23" i="44"/>
  <c r="O23" i="44" s="1"/>
  <c r="P23" i="44" s="1"/>
  <c r="M16" i="66"/>
  <c r="M16" i="44"/>
  <c r="M23" i="65"/>
  <c r="M16" i="72"/>
  <c r="M21" i="53"/>
  <c r="O21" i="53" s="1"/>
  <c r="P21" i="53" s="1"/>
  <c r="M23" i="69"/>
  <c r="M23" i="53"/>
  <c r="O23" i="53" s="1"/>
  <c r="P23" i="53" s="1"/>
  <c r="M21" i="68"/>
  <c r="O21" i="68" s="1"/>
  <c r="P21" i="68" s="1"/>
  <c r="M22" i="43"/>
  <c r="O22" i="43" s="1"/>
  <c r="P22" i="43" s="1"/>
  <c r="M16" i="48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16" i="44"/>
  <c r="O22" i="51"/>
  <c r="P22" i="51" s="1"/>
  <c r="O16" i="64"/>
  <c r="P16" i="64" s="1"/>
  <c r="O16" i="55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P16" i="70"/>
  <c r="P16" i="53"/>
  <c r="P25" i="53" s="1"/>
  <c r="O15" i="62"/>
  <c r="P15" i="62" s="1"/>
  <c r="O25" i="55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<sst xmlns="http://schemas.openxmlformats.org/spreadsheetml/2006/main" count="3948" uniqueCount="545">
  <si>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</si>
  <si>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</si>
  <si>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</si>
  <si>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</si>
  <si>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</si>
  <si>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</si>
  <si>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</si>
  <si>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</si>
  <si>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</si>
  <si>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</si>
  <si>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</si>
  <si>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</si>
  <si>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</si>
  <si>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</si>
  <si>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</si>
  <si>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</si>
  <si>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</si>
  <si>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</si>
  <si>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</si>
  <si>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</si>
  <si>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</si>
  <si>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</si>
  <si>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</si>
  <si>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</si>
  <si>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</si>
  <si>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</si>
  <si>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</si>
  <si>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</si>
  <si>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</si>
  <si>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</si>
  <si>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</si>
  <si>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</si>
  <si>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</si>
  <si>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</si>
  <si>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</si>
  <si>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</si>
  <si>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</si>
  <si>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</si>
  <si>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</si>
  <si>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</si>
  <si>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</si>
  <si>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</si>
  <si>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</si>
  <si>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</si>
  <si>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</si>
  <si>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</si>
  <si>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</si>
  <si>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</si>
  <si>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</si>
  <si>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</si>
  <si>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</si>
  <si>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</si>
  <si>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</si>
  <si>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</si>
  <si>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</si>
  <si>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</si>
  <si>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</si>
  <si>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</si>
  <si>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</si>
  <si>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</si>
  <si>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</si>
  <si>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</si>
  <si>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</si>
  <si>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</si>
  <si>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</si>
  <si>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</si>
  <si>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</si>
  <si>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</si>
  <si>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</si>
  <si>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</si>
  <si>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</si>
  <si>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</si>
  <si>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</si>
  <si>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</si>
  <si>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</si>
  <si>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</si>
  <si>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</si>
  <si>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</si>
  <si>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</si>
  <si>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</si>
  <si>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</si>
  <si>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</si>
  <si>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</si>
  <si>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</si>
  <si>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</si>
  <si>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</si>
  <si>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</si>
  <si>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</si>
  <si>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</si>
  <si>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</si>
  <si>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</si>
  <si>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</si>
  <si>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</si>
  <si>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</si>
  <si>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</si>
  <si>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</si>
  <si>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</si>
  <si>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</si>
  <si>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</si>
  <si>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</si>
  <si>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</si>
  <si>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</si>
  <si>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</si>
  <si>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</si>
  <si>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</si>
  <si>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</si>
  <si>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</si>
  <si>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</si>
  <si>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</si>
  <si>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</si>
  <si>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</si>
  <si>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</si>
  <si>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</si>
  <si>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</si>
  <si>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</si>
  <si>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</si>
  <si>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</si>
  <si>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</si>
  <si>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</si>
  <si>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</si>
  <si>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</si>
  <si>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</si>
  <si>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</si>
  <si>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</si>
  <si>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</si>
  <si>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</si>
  <si>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</si>
  <si>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</si>
  <si>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</si>
  <si>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</si>
  <si>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</si>
  <si>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</si>
  <si>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</si>
  <si>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</si>
  <si>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</si>
  <si>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</si>
  <si>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</si>
  <si>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</si>
  <si>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</si>
  <si>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</si>
  <si>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</si>
  <si>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</si>
  <si>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</si>
  <si>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</si>
  <si>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</si>
  <si>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</si>
  <si>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</si>
  <si>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</si>
  <si>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</si>
  <si>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</si>
  <si>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</si>
  <si>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</si>
  <si>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</si>
  <si>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</si>
  <si>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</si>
  <si>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</si>
  <si>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</si>
  <si>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</si>
  <si>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</si>
  <si>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</si>
  <si>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</si>
  <si>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</si>
  <si>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</si>
  <si>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</si>
  <si>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</si>
  <si>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</si>
  <si>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</si>
  <si>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</si>
  <si>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</si>
  <si>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</si>
  <si>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</si>
  <si>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</si>
  <si>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</si>
  <si>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</si>
  <si>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</si>
  <si>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</si>
  <si>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</si>
  <si>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</si>
  <si>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</si>
  <si>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</si>
  <si>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</si>
  <si>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</si>
  <si>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</si>
  <si>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</si>
  <si>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</si>
  <si>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</si>
  <si>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</si>
  <si>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</si>
  <si>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</si>
  <si>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</si>
  <si>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</si>
  <si>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</si>
  <si>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</si>
  <si>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</si>
  <si>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</si>
  <si>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</si>
  <si>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</si>
  <si>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</si>
  <si>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</si>
  <si>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</si>
  <si>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</si>
  <si>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</si>
  <si>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</si>
  <si>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</si>
  <si>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</si>
  <si>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</si>
  <si>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</si>
  <si>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</si>
  <si>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</si>
  <si>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</si>
  <si>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</si>
  <si>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</si>
  <si>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</si>
  <si>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</si>
  <si>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</si>
  <si>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</si>
  <si>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</si>
  <si>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</si>
  <si>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</si>
  <si>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</si>
  <si>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</si>
  <si>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</si>
  <si>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</si>
  <si>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</si>
  <si>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</si>
  <si>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</si>
  <si>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</si>
  <si>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</si>
  <si>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</si>
  <si>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</si>
  <si>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</si>
  <si>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</si>
  <si>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</si>
  <si>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</si>
  <si>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</si>
  <si>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</si>
  <si>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</si>
  <si>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</si>
  <si>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</si>
  <si>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</si>
  <si>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</si>
  <si>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</si>
  <si>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</si>
  <si>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</si>
  <si>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</si>
  <si>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</si>
  <si>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</si>
  <si>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</si>
  <si>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</si>
  <si>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</si>
  <si>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</si>
  <si>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</si>
  <si>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</si>
  <si>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</si>
  <si>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</si>
  <si>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</si>
  <si>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</si>
  <si>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</si>
  <si>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</si>
  <si>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</si>
  <si>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</si>
  <si>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</si>
  <si>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</si>
  <si>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</si>
  <si>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</si>
  <si>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</si>
  <si>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</si>
  <si>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</si>
  <si>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</si>
  <si>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</si>
  <si>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</si>
  <si>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</si>
  <si>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</si>
  <si>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</si>
  <si>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</si>
  <si>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</si>
  <si>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</si>
  <si>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</si>
  <si>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</si>
  <si>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</si>
  <si>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</si>
  <si>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</si>
  <si>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</si>
  <si>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</si>
  <si>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</si>
  <si>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</si>
  <si>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</si>
  <si>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</si>
  <si>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</si>
  <si>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</si>
  <si>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</si>
  <si>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</si>
  <si>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</si>
  <si>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</si>
  <si>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</si>
  <si>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</si>
  <si>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</si>
  <si>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</si>
  <si>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</si>
  <si>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</si>
  <si>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</si>
  <si>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</si>
  <si>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</si>
  <si>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</si>
  <si>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</si>
  <si>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</si>
  <si>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</si>
  <si>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</si>
  <si>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</si>
  <si>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</si>
  <si>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</si>
  <si>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</si>
  <si>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</si>
  <si>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</si>
  <si>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</si>
  <si>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</si>
  <si>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</si>
  <si>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</si>
  <si>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</si>
  <si>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</si>
  <si>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</si>
  <si>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</si>
  <si>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</si>
  <si>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</si>
  <si>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</si>
  <si>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</si>
  <si>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</si>
  <si>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</si>
  <si>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</si>
  <si>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</si>
  <si>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</si>
  <si>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</si>
  <si>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</si>
  <si>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</si>
  <si>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</si>
  <si>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</si>
  <si>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</si>
  <si>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</si>
  <si>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</si>
  <si>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</si>
  <si>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</si>
  <si>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</si>
  <si>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</si>
  <si>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</si>
  <si>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</si>
  <si>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</si>
  <si>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</si>
  <si>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</si>
  <si>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</si>
  <si>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</si>
  <si>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</si>
  <si>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</si>
  <si>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</si>
  <si>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</si>
  <si>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</si>
  <si>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</si>
  <si>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</si>
  <si>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</si>
  <si>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</si>
  <si>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</si>
  <si>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</si>
  <si>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</si>
  <si>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</si>
  <si>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</si>
  <si>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</si>
  <si>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</si>
  <si>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</si>
  <si>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</si>
  <si>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</si>
  <si>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</si>
  <si>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</si>
  <si>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</si>
  <si>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</si>
  <si>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</si>
  <si>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</si>
  <si>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</si>
  <si>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</si>
  <si>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</si>
  <si>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</si>
  <si>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</si>
  <si>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</si>
  <si>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</si>
  <si>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</si>
  <si>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</si>
  <si>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</si>
  <si>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</si>
  <si>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</si>
  <si>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</si>
  <si>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</si>
  <si>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</si>
  <si>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</si>
  <si>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</si>
  <si>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</si>
  <si>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</si>
  <si>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</si>
  <si>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</si>
  <si>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</si>
  <si>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</si>
  <si>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</si>
  <si>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</si>
  <si>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</si>
  <si>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</si>
  <si>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</si>
  <si>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</si>
  <si>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</si>
  <si>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</si>
  <si>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</si>
  <si>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</si>
  <si>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</si>
  <si>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</si>
  <si>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</si>
  <si>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</si>
  <si>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</si>
  <si>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</si>
  <si>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</si>
  <si>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</si>
  <si>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</si>
  <si>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</si>
  <si>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</si>
  <si>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</si>
  <si>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</si>
  <si>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</si>
  <si>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</si>
  <si>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</si>
  <si>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</si>
  <si>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</si>
  <si>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</si>
  <si>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</si>
  <si>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</si>
  <si>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</si>
  <si>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</si>
  <si>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</si>
  <si>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</si>
  <si>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</si>
  <si>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</si>
  <si>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</si>
  <si>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</si>
  <si>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</si>
  <si>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</si>
  <si>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</si>
  <si>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</si>
  <si>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</si>
  <si>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</si>
  <si>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</si>
  <si>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</si>
  <si>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</si>
  <si>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</si>
  <si>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</si>
  <si>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</si>
  <si>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</si>
  <si>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</si>
  <si>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</si>
  <si>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</si>
  <si>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</si>
  <si>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</si>
  <si>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</si>
  <si>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</si>
  <si>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</si>
  <si>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</si>
  <si>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</si>
  <si>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</si>
  <si>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</si>
  <si>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</si>
  <si>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</si>
  <si>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</si>
  <si>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</si>
  <si>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</si>
  <si>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</si>
  <si>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</si>
  <si>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</si>
  <si>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</si>
  <si>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</si>
  <si>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</si>
  <si>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</si>
  <si>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</si>
  <si>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</si>
  <si>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</si>
  <si>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</si>
  <si>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</si>
  <si>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</si>
  <si>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</si>
  <si>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</si>
  <si>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</si>
  <si>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</si>
  <si>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</si>
  <si>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</si>
  <si>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</si>
  <si>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</si>
  <si>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</si>
  <si>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</si>
  <si>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</si>
  <si>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</si>
  <si>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</si>
  <si>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</si>
  <si>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</si>
  <si>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</si>
  <si>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</si>
  <si>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</si>
  <si>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</si>
  <si>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</si>
  <si>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</si>
  <si>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</si>
  <si>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</si>
  <si>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</si>
  <si>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</si>
  <si>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</si>
  <si>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</si>
  <si>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</si>
  <si>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</si>
  <si>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</si>
  <si>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</si>
  <si>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</si>
  <si>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</si>
  <si>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 Guru mangat</t>
  </si>
  <si>
    <t>CNIC #:352015119657-7</t>
  </si>
  <si>
    <t>CNIC #:3520148928009</t>
  </si>
  <si>
    <t>CNIC #:352022391520-1</t>
  </si>
  <si>
    <t>CNIC #:352011835935-1</t>
  </si>
  <si>
    <t>CNIC #:3450214530224</t>
  </si>
  <si>
    <t>Shope Name</t>
  </si>
  <si>
    <t>Rana Anas Store</t>
  </si>
  <si>
    <t>Address: Al Noor Town</t>
  </si>
  <si>
    <t>Noor Traders</t>
  </si>
  <si>
    <t>Address: Al Baseerat School Noor town</t>
  </si>
  <si>
    <t>Khatak Store</t>
  </si>
  <si>
    <t>Address: Firdous Park Opp. General Hospital</t>
  </si>
  <si>
    <t>Khan Yousaf Store</t>
  </si>
  <si>
    <t>Address: Workshop Bazaar Street no. 1 Al Noor Town</t>
  </si>
  <si>
    <t>Chohan Store</t>
  </si>
  <si>
    <t>CNIC #:3520176515077</t>
  </si>
  <si>
    <t>Address: Workshop Bazar Street no. 1 Bajwa Chowk</t>
  </si>
  <si>
    <t>Mehmand Store</t>
  </si>
  <si>
    <t>Address:  Work Shop Street No. 1 Bajwa Chowk</t>
  </si>
  <si>
    <t>CNIC #:3520269442625</t>
  </si>
  <si>
    <t>Mazhar Store</t>
  </si>
  <si>
    <t>Address: Work Shop Bhola Chowk</t>
  </si>
  <si>
    <t>Rana Hamid Store</t>
  </si>
  <si>
    <t>Address: Kashi Chowk Workshop Bazar Street No.1</t>
  </si>
  <si>
    <t>Sami General Store</t>
  </si>
  <si>
    <t>Address: Nabi Pura (0321-4926751)</t>
  </si>
  <si>
    <t>H Super Mart</t>
  </si>
  <si>
    <t>Murad Store</t>
  </si>
  <si>
    <t>Address: Guru mangat Near H. Super Mart</t>
  </si>
  <si>
    <t xml:space="preserve">Address: Walton </t>
  </si>
  <si>
    <t>Honey Bakers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</si>
</sst>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3" fontId="17" fillId="0" borderId="1" xfId="0" applyNumberFormat="1" applyFont="1" applyBorder="1" applyAlignment="1">
      <alignment horizontal="center" vertical="top" shrinkToFit="1"/>
    </xf>
    <xf numFmtId="0" fontId="18" fillId="0" borderId="58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46270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Rana Anas Store</v>
      </c>
      <c r="T3" s="301">
        <f>+'1'!P35</f>
        <v>2074.2726510858051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Noor Traders</v>
      </c>
      <c r="T4" s="301">
        <f>+'2'!P35</f>
        <v>2360.5376977983046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Khatak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Khan Yousaf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+'1'!H16+'2'!H16+'3'!H16+'4'!H16+'5'!Q16+'6'!H16+'7'!H16+'8'!H16+'9'!H16+'10'!H16+'11'!H16+'12'!H16+'13'!H16+'14'!H16+'15'!H16+'16'!H16+'17'!H16+'18'!H16+'19'!H16+'20'!H16+'21'!H16+'22'!H16+'23'!H16+'24'!H16+'25'!H16+'26'!H16+'27'!H16+'28'!H16+'29'!H16+'30'!H16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199.35750000000002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1825.6949999999999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11.111525847457626</v>
      </c>
      <c r="P7" s="310">
        <f>M7+N7+O7</f>
        <v>2233.4166953389827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Chohan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+'1'!H17+'2'!H17+'3'!H17+'4'!H17+'5'!Q17+'6'!H17+'7'!H17+'8'!H17+'9'!H17+'10'!H17+'11'!H17+'12'!H17+'13'!H17+'14'!H17+'15'!H17+'16'!H17+'17'!H17+'18'!H17+'19'!H17+'20'!H17+'21'!H17+'22'!H17+'23'!H17+'24'!H17+'25'!H17+'26'!H17+'27'!H17+'28'!H17+'29'!H17+'30'!H17</f>
        <v>58</v>
      </c>
      <c r="I8" s="236">
        <f t="shared" ref="I8:I14" si="0">(G8*D8)*F8+H8*F8</f>
        <v>3042.8249999999998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274.90350000000001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106.498875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2661.4226249999997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575.08474576271158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16.182536853813559</v>
      </c>
      <c r="P8" s="311">
        <f t="shared" ref="P8:P15" si="2">M8+N8+O8</f>
        <v>3252.6899076165246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Mehmand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+'1'!H18+'2'!H18+'3'!H18+'4'!H18+'5'!Q18+'6'!H18+'7'!H18+'8'!H18+'9'!H18+'10'!H18+'11'!H18+'12'!H18+'13'!H18+'14'!H18+'15'!H18+'16'!H18+'17'!H18+'18'!H18+'19'!H18+'20'!H18+'21'!H18+'22'!H18+'23'!H18+'24'!H18+'25'!H18+'26'!H18+'27'!H18+'28'!H18+'29'!H18+'30'!H18</f>
        <v>52</v>
      </c>
      <c r="I9" s="236">
        <f t="shared" si="0"/>
        <v>2728.0499999999997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249.72150000000002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95.481750000000005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2382.8467499999997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515.59322033898286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14.492199851694913</v>
      </c>
      <c r="P9" s="311">
        <f t="shared" si="2"/>
        <v>2912.9321701906774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Mazhar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+'1'!H19+'2'!H19+'3'!H19+'4'!H19+'5'!Q19+'6'!H19+'7'!H19+'8'!H19+'9'!H19+'10'!H19+'11'!H19+'12'!H19+'13'!H19+'14'!H19+'15'!H19+'16'!H19+'17'!H19+'18'!H19+'19'!H19+'20'!H19+'21'!H19+'22'!H19+'23'!H19+'24'!H19+'25'!H19+'26'!H19+'27'!H19+'28'!H19+'29'!H19+'30'!H19</f>
        <v>86</v>
      </c>
      <c r="I10" s="236">
        <f t="shared" si="0"/>
        <v>6247.04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586.93119999999999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218.64640000000003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5441.4624000000003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1180.6779661016949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33.110701830508475</v>
      </c>
      <c r="P10" s="311">
        <f t="shared" si="2"/>
        <v>6655.251067932204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24</v>
      </c>
      <c r="R10" s="314">
        <v>8</v>
      </c>
      <c r="S10" s="300" t="str">
        <f>+'8'!A6:A6</f>
        <v>Rana Hamid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+'1'!H20+'2'!H20+'3'!H20+'4'!H20+'5'!Q20+'6'!H20+'7'!H20+'8'!H20+'9'!H20+'10'!H20+'11'!H20+'12'!H20+'13'!H20+'14'!H20+'15'!H20+'16'!H20+'17'!H20+'18'!H20+'19'!H20+'20'!H20+'21'!H20+'22'!H20+'23'!H20+'24'!H20+'25'!H20+'26'!H20+'27'!H20+'28'!H20+'29'!H20+'30'!H20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276.03199999999998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2527.8719999999998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15.385122711864406</v>
      </c>
      <c r="P11" s="311">
        <f t="shared" si="2"/>
        <v>3092.4096650847455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9</v>
      </c>
      <c r="R11" s="314">
        <v>9</v>
      </c>
      <c r="S11" s="300" t="str">
        <f>+'9'!A6:A6</f>
        <v>Sami General Store</v>
      </c>
      <c r="T11" s="301">
        <f>+'9'!P35</f>
        <v>500.75337404745761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+'1'!H21+'2'!H21+'3'!H21+'4'!H21+'5'!Q21+'6'!H21+'7'!H21+'8'!H21+'9'!H21+'10'!H21+'11'!H21+'12'!H21+'13'!H21+'14'!H21+'15'!H21+'16'!H21+'17'!H21+'18'!H21+'19'!H21+'20'!H21+'21'!H21+'22'!H21+'23'!H21+'24'!H21+'25'!H21+'26'!H21+'27'!H21+'28'!H21+'29'!H21+'30'!H21</f>
        <v>78</v>
      </c>
      <c r="I12" s="236">
        <f t="shared" si="0"/>
        <v>5665.92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538.26239999999996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198.30720000000002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4929.3504000000003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1070.8474576271187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30.0009892881356</v>
      </c>
      <c r="P12" s="311">
        <f t="shared" si="2"/>
        <v>6030.1988469152548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</v>
      </c>
      <c r="R12" s="314">
        <v>10</v>
      </c>
      <c r="S12" s="300" t="str">
        <f>+'10'!A6:A6</f>
        <v>H Super Mart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+'1'!H22+'2'!H22+'3'!H22+'4'!H22+'5'!Q22+'6'!H22+'7'!H22+'8'!H22+'9'!H22+'10'!H22+'11'!H22+'12'!H22+'13'!H22+'14'!H22+'15'!H22+'16'!H22+'17'!H22+'18'!H22+'19'!H22+'20'!H22+'21'!H22+'22'!H22+'23'!H22+'24'!H22+'25'!H22+'26'!H22+'27'!H22+'28'!H22+'29'!H22+'30'!H22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200.07299999999998</v>
      </c>
      <c r="M13" s="230">
        <f t="shared" si="1"/>
        <v>3389.4720000000007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311">
        <f t="shared" si="2"/>
        <v>4172.9447837288144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34</v>
      </c>
      <c r="R13" s="314">
        <v>11</v>
      </c>
      <c r="S13" s="300" t="str">
        <f>+'11'!A6:A6</f>
        <v>Murad Store</v>
      </c>
      <c r="T13" s="301">
        <f>+'11'!P35</f>
        <v>905.84811164173743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Honey Bakers</v>
      </c>
      <c r="T14" s="301">
        <f>+'12'!P35</f>
        <v>22007.677928186444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Shope Name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11.35</v>
      </c>
      <c r="H16" s="113">
        <f t="shared" ref="H16:M16" si="3">SUM(H7:H15)</f>
        <v>454</v>
      </c>
      <c r="I16" s="114">
        <f t="shared" si="3"/>
        <v>26610.934999999998</v>
      </c>
      <c r="J16" s="274">
        <f>SUM(J7:J15)</f>
        <v>2321.3580999999999</v>
      </c>
      <c r="K16" s="275">
        <f t="shared" si="3"/>
        <v>931.38272500000016</v>
      </c>
      <c r="L16" s="276">
        <f t="shared" si="3"/>
        <v>200.07299999999998</v>
      </c>
      <c r="M16" s="232">
        <f t="shared" si="3"/>
        <v>23158.121175</v>
      </c>
      <c r="N16" s="233">
        <f>SUM(N7:N15)</f>
        <v>5050.6779661016935</v>
      </c>
      <c r="O16" s="101">
        <f>SUM(O7:O15)</f>
        <v>141.04399570550848</v>
      </c>
      <c r="P16" s="113">
        <f>SUM(P7:P15)</f>
        <v>28349.843136807202</v>
      </c>
      <c r="Q16" s="128">
        <f>SUM(Q7:Q15)</f>
        <v>81</v>
      </c>
      <c r="R16" s="314">
        <v>14</v>
      </c>
      <c r="S16" s="318" t="str">
        <f>+'14'!A6:A6</f>
        <v>Shope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Shope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Shope Name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26610.934999999998</v>
      </c>
      <c r="R19" s="299">
        <v>17</v>
      </c>
      <c r="S19" s="300" t="str">
        <f>+'17'!A6:A6</f>
        <v>Shope Name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2321.3580999999999</v>
      </c>
      <c r="R20" s="299">
        <v>18</v>
      </c>
      <c r="S20" s="300" t="str">
        <f>+'18'!A6:A6</f>
        <v>Shope Name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1131.4557250000003</v>
      </c>
      <c r="R21" s="299">
        <v>19</v>
      </c>
      <c r="S21" s="300" t="str">
        <f>+'19'!A6:A6</f>
        <v>Shope Name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23158.121174999997</v>
      </c>
      <c r="R22" s="299">
        <v>20</v>
      </c>
      <c r="S22" s="300" t="str">
        <f>+'20'!A6:A6</f>
        <v>Shope Name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5050.6779661016935</v>
      </c>
      <c r="R23" s="299">
        <v>21</v>
      </c>
      <c r="S23" s="300" t="str">
        <f>+'21'!A6:A6</f>
        <v>Shope Name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28208.799141101692</v>
      </c>
      <c r="R24" s="299">
        <v>22</v>
      </c>
      <c r="S24" s="300" t="str">
        <f>+'22'!A6:A6</f>
        <v>Shope Name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141.04399570550848</v>
      </c>
      <c r="R25" s="299">
        <v>23</v>
      </c>
      <c r="S25" s="300" t="str">
        <f>+'23'!A6:A6</f>
        <v>Shope Name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28349.843136807202</v>
      </c>
      <c r="R26" s="299">
        <v>24</v>
      </c>
      <c r="S26" s="300" t="str">
        <f>+'24'!A6:A6</f>
        <v>Shope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Shope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Shope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Shope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Shope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Shope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Shope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28349.843136807205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7.25" customHeight="1" x14ac:dyDescent="0.4">
      <c r="A6" s="400" t="s">
        <v>520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521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46</v>
      </c>
      <c r="I25" s="114">
        <f t="shared" ref="I25:M25" si="10">SUM(I16:I24)</f>
        <v>1944.5075000000002</v>
      </c>
      <c r="J25" s="274">
        <f>SUM(J16:J24)</f>
        <v>108.48460000000003</v>
      </c>
      <c r="K25" s="275">
        <f t="shared" si="10"/>
        <v>68.05776250000001</v>
      </c>
      <c r="L25" s="276">
        <f t="shared" si="10"/>
        <v>80.029200000000003</v>
      </c>
      <c r="M25" s="232">
        <f t="shared" si="10"/>
        <v>1687.9359375000004</v>
      </c>
      <c r="N25" s="233">
        <f>SUM(N16:N24)</f>
        <v>376.01694915254222</v>
      </c>
      <c r="O25" s="101">
        <f>SUM(O16:O24)</f>
        <v>10.319764433262712</v>
      </c>
      <c r="P25" s="113">
        <f>SUM(P16:P24)</f>
        <v>2074.2726510858051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1944.5075000000002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108.48460000000003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148.08696250000003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1687.9359375000001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376.01694915254222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2063.9528866525425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10.319764433262712</v>
      </c>
    </row>
    <row r="35" spans="2:16" ht="15.75" customHeight="1" thickBot="1" x14ac:dyDescent="0.4">
      <c r="N35" s="346" t="s">
        <v>88</v>
      </c>
      <c r="O35" s="347"/>
      <c r="P35" s="297">
        <f>+P33+P34</f>
        <v>2074.2726510858051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E16" sqref="E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514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48</v>
      </c>
      <c r="I25" s="114">
        <f t="shared" si="7"/>
        <v>2200.62</v>
      </c>
      <c r="J25" s="274">
        <f>SUM(J16:J24)</f>
        <v>147.804</v>
      </c>
      <c r="K25" s="275">
        <f t="shared" si="7"/>
        <v>77.02170000000001</v>
      </c>
      <c r="L25" s="276">
        <f t="shared" si="7"/>
        <v>48.017520000000005</v>
      </c>
      <c r="M25" s="232">
        <f t="shared" si="7"/>
        <v>1927.7767800000001</v>
      </c>
      <c r="N25" s="233">
        <f>SUM(N16:N24)</f>
        <v>421.01694915254217</v>
      </c>
      <c r="O25" s="101">
        <f>SUM(O16:O24)</f>
        <v>11.74396864576271</v>
      </c>
      <c r="P25" s="113">
        <f>SUM(P16:P24)</f>
        <v>2360.5376977983051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2200.62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147.804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125.03922000000001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1927.7767799999997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421.01694915254217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2348.7937291525418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11.74396864576271</v>
      </c>
    </row>
    <row r="35" spans="2:16" ht="15.75" customHeight="1" thickBot="1" x14ac:dyDescent="0.4">
      <c r="N35" s="346" t="s">
        <v>88</v>
      </c>
      <c r="O35" s="347"/>
      <c r="P35" s="297">
        <f>+P33+P34</f>
        <v>2360.5376977983046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21" sqref="A21:XFD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8.75" customHeight="1" x14ac:dyDescent="0.4">
      <c r="A6" s="400" t="s">
        <v>524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527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20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20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3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O18" sqref="O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529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530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321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56"/>
      <c r="I16" s="248">
        <f t="shared" ref="I16:I22" si="0">(G16*D16)*F16+Q16*F16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 t="shared" ref="N16:N22" si="1">+(G16*D16+Q16)*V16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56"/>
      <c r="I17" s="277">
        <f t="shared" si="0"/>
        <v>0</v>
      </c>
      <c r="J17" s="272">
        <f t="shared" ref="J17:L24" si="2">$I17*S17</f>
        <v>0</v>
      </c>
      <c r="K17" s="128">
        <f>$I17*T17</f>
        <v>0</v>
      </c>
      <c r="L17" s="119">
        <f>$I17*U17</f>
        <v>0</v>
      </c>
      <c r="M17" s="230">
        <f t="shared" ref="M17:M24" si="3">I17-SUM(J17:L17)</f>
        <v>0</v>
      </c>
      <c r="N17" s="277">
        <f t="shared" si="1"/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56"/>
      <c r="I18" s="277">
        <f t="shared" si="0"/>
        <v>0</v>
      </c>
      <c r="J18" s="272">
        <f t="shared" si="2"/>
        <v>0</v>
      </c>
      <c r="K18" s="128">
        <f t="shared" si="2"/>
        <v>0</v>
      </c>
      <c r="L18" s="119">
        <f t="shared" si="2"/>
        <v>0</v>
      </c>
      <c r="M18" s="230">
        <f t="shared" si="3"/>
        <v>0</v>
      </c>
      <c r="N18" s="277">
        <f t="shared" si="1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56"/>
      <c r="I19" s="277">
        <f t="shared" si="0"/>
        <v>0</v>
      </c>
      <c r="J19" s="272">
        <f t="shared" si="2"/>
        <v>0</v>
      </c>
      <c r="K19" s="128">
        <f t="shared" si="2"/>
        <v>0</v>
      </c>
      <c r="L19" s="119">
        <f t="shared" si="2"/>
        <v>0</v>
      </c>
      <c r="M19" s="230">
        <f t="shared" si="3"/>
        <v>0</v>
      </c>
      <c r="N19" s="277">
        <f t="shared" si="1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56"/>
      <c r="I20" s="277">
        <f t="shared" si="0"/>
        <v>0</v>
      </c>
      <c r="J20" s="272">
        <f t="shared" si="2"/>
        <v>0</v>
      </c>
      <c r="K20" s="128">
        <f t="shared" si="2"/>
        <v>0</v>
      </c>
      <c r="L20" s="119">
        <f t="shared" si="2"/>
        <v>0</v>
      </c>
      <c r="M20" s="230">
        <f t="shared" si="3"/>
        <v>0</v>
      </c>
      <c r="N20" s="277">
        <f t="shared" si="1"/>
        <v>0</v>
      </c>
      <c r="O20" s="239">
        <f t="shared" si="4"/>
        <v>0</v>
      </c>
      <c r="P20" s="311">
        <f t="shared" si="5"/>
        <v>0</v>
      </c>
      <c r="Q20" s="9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56"/>
      <c r="I21" s="277">
        <f t="shared" si="0"/>
        <v>0</v>
      </c>
      <c r="J21" s="272">
        <f t="shared" si="2"/>
        <v>0</v>
      </c>
      <c r="K21" s="128">
        <f t="shared" si="2"/>
        <v>0</v>
      </c>
      <c r="L21" s="119">
        <f t="shared" si="2"/>
        <v>0</v>
      </c>
      <c r="M21" s="230">
        <f t="shared" si="3"/>
        <v>0</v>
      </c>
      <c r="N21" s="277">
        <f t="shared" si="1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56"/>
      <c r="I22" s="277">
        <f t="shared" si="0"/>
        <v>0</v>
      </c>
      <c r="J22" s="272">
        <f t="shared" si="2"/>
        <v>0</v>
      </c>
      <c r="K22" s="128">
        <f t="shared" si="2"/>
        <v>0</v>
      </c>
      <c r="L22" s="119">
        <f t="shared" si="2"/>
        <v>0</v>
      </c>
      <c r="M22" s="230">
        <f t="shared" si="3"/>
        <v>0</v>
      </c>
      <c r="N22" s="277">
        <f t="shared" si="1"/>
        <v>0</v>
      </c>
      <c r="O22" s="239">
        <f t="shared" si="4"/>
        <v>0</v>
      </c>
      <c r="P22" s="311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320"/>
      <c r="I23" s="277">
        <f t="shared" ref="I23" si="7">(G23*D23)*F23+H23*F23</f>
        <v>0</v>
      </c>
      <c r="J23" s="272">
        <f t="shared" si="2"/>
        <v>0</v>
      </c>
      <c r="K23" s="128">
        <f t="shared" si="2"/>
        <v>0</v>
      </c>
      <c r="L23" s="119">
        <f t="shared" si="2"/>
        <v>0</v>
      </c>
      <c r="M23" s="230">
        <f t="shared" si="3"/>
        <v>0</v>
      </c>
      <c r="N23" s="277">
        <f t="shared" ref="N23:N24" si="8">+(G23*D23+H23)*V23</f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2"/>
        <v>0</v>
      </c>
      <c r="K24" s="129">
        <f t="shared" si="2"/>
        <v>0</v>
      </c>
      <c r="L24" s="120">
        <f t="shared" si="2"/>
        <v>0</v>
      </c>
      <c r="M24" s="231">
        <f t="shared" si="3"/>
        <v>0</v>
      </c>
      <c r="N24" s="278">
        <f t="shared" si="8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9">SUM(G16:G24)</f>
        <v>0</v>
      </c>
      <c r="H25" s="113">
        <f t="shared" si="9"/>
        <v>0</v>
      </c>
      <c r="I25" s="114">
        <f t="shared" si="9"/>
        <v>0</v>
      </c>
      <c r="J25" s="274">
        <f>SUM(J16:J24)</f>
        <v>0</v>
      </c>
      <c r="K25" s="275">
        <f t="shared" si="9"/>
        <v>0</v>
      </c>
      <c r="L25" s="276">
        <f t="shared" si="9"/>
        <v>0</v>
      </c>
      <c r="M25" s="232">
        <f t="shared" si="9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533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9" sqref="A19:XFD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516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535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9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517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537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9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27" sqref="H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518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539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470.76000000000005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23.538000000000004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40.485360000000007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406.73664000000002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498.26206372881353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6" t="s">
        <v>88</v>
      </c>
      <c r="O35" s="347"/>
      <c r="P35" s="297">
        <f>+P33+P34</f>
        <v>500.75337404745761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A26" sqref="A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470.76000000000005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23.538000000000004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40.485360000000007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406.73664000000002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498.26206372881353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6" t="s">
        <v>88</v>
      </c>
      <c r="O35" s="347"/>
      <c r="P35" s="297">
        <f>+P33+P34</f>
        <v>500.75337404745761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542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18</v>
      </c>
      <c r="I25" s="114">
        <f t="shared" si="7"/>
        <v>846.06750000000011</v>
      </c>
      <c r="J25" s="274">
        <f>SUM(J16:J24)</f>
        <v>53.562600000000003</v>
      </c>
      <c r="K25" s="275">
        <f t="shared" si="7"/>
        <v>29.612362500000007</v>
      </c>
      <c r="L25" s="276">
        <f t="shared" si="7"/>
        <v>24.008760000000002</v>
      </c>
      <c r="M25" s="232">
        <f t="shared" si="7"/>
        <v>738.88377749999995</v>
      </c>
      <c r="N25" s="233">
        <f>SUM(N16:N24)</f>
        <v>162.45762711864401</v>
      </c>
      <c r="O25" s="101">
        <f>SUM(O16:O24)</f>
        <v>4.5067070230932202</v>
      </c>
      <c r="P25" s="113">
        <f>SUM(P16:P24)</f>
        <v>905.8481116417372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846.06750000000011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53.562600000000003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53.621122500000013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738.88377750000018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162.45762711864401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901.34140461864422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4.5067070230932211</v>
      </c>
    </row>
    <row r="35" spans="2:16" ht="15.75" customHeight="1" thickBot="1" x14ac:dyDescent="0.4">
      <c r="N35" s="346" t="s">
        <v>88</v>
      </c>
      <c r="O35" s="347"/>
      <c r="P35" s="297">
        <f>+P33+P34</f>
        <v>905.84811164173743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544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543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199.35750000000002</v>
      </c>
      <c r="K16" s="127">
        <f>$I16*T16</f>
        <v>73.447500000000005</v>
      </c>
      <c r="L16" s="118">
        <f>$I16*U16</f>
        <v>0</v>
      </c>
      <c r="M16" s="229">
        <f>I16-SUM(J16:L16)</f>
        <v>1825.6949999999999</v>
      </c>
      <c r="N16" s="248">
        <f>+(G16*D16+H16)*V16</f>
        <v>396.61016949152526</v>
      </c>
      <c r="O16" s="238">
        <f>(N16+M16)*$O$15</f>
        <v>11.111525847457626</v>
      </c>
      <c r="P16" s="310">
        <f>M16+N16+O16</f>
        <v>2233.4166953389827</v>
      </c>
      <c r="Q16" s="313"/>
      <c r="S16" s="269">
        <v>9.5000000000000001E-2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199.35750000000002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1825.6949999999999</v>
      </c>
      <c r="N17" s="277">
        <f t="shared" ref="N17:N24" si="3">+(G17*D17+H17)*V17</f>
        <v>396.61016949152526</v>
      </c>
      <c r="O17" s="239">
        <f t="shared" ref="O17:O24" si="4">(N17+M17)*$O$15</f>
        <v>11.111525847457626</v>
      </c>
      <c r="P17" s="311">
        <f t="shared" ref="P17:P24" si="5">M17+N17+O17</f>
        <v>2233.4166953389827</v>
      </c>
      <c r="Q17" s="156"/>
      <c r="S17" s="269">
        <f>+S16</f>
        <v>9.5000000000000001E-2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199.35750000000002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1825.6949999999999</v>
      </c>
      <c r="N18" s="277">
        <f t="shared" si="3"/>
        <v>396.61016949152526</v>
      </c>
      <c r="O18" s="239">
        <f t="shared" si="4"/>
        <v>11.111525847457626</v>
      </c>
      <c r="P18" s="311">
        <f t="shared" si="5"/>
        <v>2233.4166953389827</v>
      </c>
      <c r="Q18" s="156"/>
      <c r="S18" s="269">
        <f>+S17</f>
        <v>9.5000000000000001E-2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552.06399999999996</v>
      </c>
      <c r="K19" s="128">
        <f t="shared" si="1"/>
        <v>203.39200000000002</v>
      </c>
      <c r="L19" s="119">
        <f t="shared" si="1"/>
        <v>0</v>
      </c>
      <c r="M19" s="230">
        <f t="shared" si="2"/>
        <v>5055.7439999999997</v>
      </c>
      <c r="N19" s="277">
        <f t="shared" si="3"/>
        <v>1098.3050847457628</v>
      </c>
      <c r="O19" s="239">
        <f t="shared" si="4"/>
        <v>30.770245423728813</v>
      </c>
      <c r="P19" s="311">
        <f t="shared" si="5"/>
        <v>6184.819330169491</v>
      </c>
      <c r="Q19" s="156"/>
      <c r="S19" s="269">
        <f>+S18</f>
        <v>9.5000000000000001E-2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276.03199999999998</v>
      </c>
      <c r="K20" s="128">
        <f t="shared" si="1"/>
        <v>101.69600000000001</v>
      </c>
      <c r="L20" s="119">
        <f t="shared" si="1"/>
        <v>0</v>
      </c>
      <c r="M20" s="230">
        <f t="shared" si="2"/>
        <v>2527.8719999999998</v>
      </c>
      <c r="N20" s="277">
        <f t="shared" si="3"/>
        <v>549.15254237288138</v>
      </c>
      <c r="O20" s="239">
        <f t="shared" si="4"/>
        <v>15.385122711864406</v>
      </c>
      <c r="P20" s="311">
        <f t="shared" si="5"/>
        <v>3092.4096650847455</v>
      </c>
      <c r="Q20" s="156"/>
      <c r="R20">
        <f>P20/21</f>
        <v>147.25760309927358</v>
      </c>
      <c r="S20" s="269">
        <f>+S19</f>
        <v>9.5000000000000001E-2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78</v>
      </c>
      <c r="I21" s="236">
        <f t="shared" si="0"/>
        <v>5665.92</v>
      </c>
      <c r="J21" s="272">
        <f t="shared" si="1"/>
        <v>538.26239999999996</v>
      </c>
      <c r="K21" s="128">
        <f t="shared" si="1"/>
        <v>198.30720000000002</v>
      </c>
      <c r="L21" s="119">
        <f t="shared" si="1"/>
        <v>0</v>
      </c>
      <c r="M21" s="230">
        <f t="shared" si="2"/>
        <v>4929.3504000000003</v>
      </c>
      <c r="N21" s="277">
        <f t="shared" si="3"/>
        <v>1070.8474576271187</v>
      </c>
      <c r="O21" s="239">
        <f t="shared" si="4"/>
        <v>30.0009892881356</v>
      </c>
      <c r="P21" s="311">
        <f t="shared" si="5"/>
        <v>6030.1988469152548</v>
      </c>
      <c r="Q21" s="156">
        <v>2</v>
      </c>
      <c r="S21" s="269">
        <f>+S20</f>
        <v>9.5000000000000001E-2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318</v>
      </c>
      <c r="I25" s="114">
        <f t="shared" si="7"/>
        <v>20678.22</v>
      </c>
      <c r="J25" s="274">
        <f>SUM(J16:J24)</f>
        <v>1964.4308999999998</v>
      </c>
      <c r="K25" s="275">
        <f t="shared" si="7"/>
        <v>723.73770000000013</v>
      </c>
      <c r="L25" s="276">
        <f t="shared" si="7"/>
        <v>0</v>
      </c>
      <c r="M25" s="232">
        <f t="shared" si="7"/>
        <v>17990.0514</v>
      </c>
      <c r="N25" s="233">
        <f>SUM(N16:N24)</f>
        <v>3908.1355932203387</v>
      </c>
      <c r="O25" s="101">
        <f>SUM(O16:O24)</f>
        <v>109.4909349661017</v>
      </c>
      <c r="P25" s="113">
        <f>SUM(P16:P24)</f>
        <v>22007.677928186436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20678.22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1964.4308999999998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723.73770000000013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17990.0514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3908.1355932203387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21898.186993220341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109.4909349661017</v>
      </c>
    </row>
    <row r="35" spans="2:16" ht="15.75" customHeight="1" thickBot="1" x14ac:dyDescent="0.4">
      <c r="N35" s="346" t="s">
        <v>88</v>
      </c>
      <c r="O35" s="347"/>
      <c r="P35" s="297">
        <f>+P33+P34</f>
        <v>22007.677928186444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2" sqref="A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46270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46269</v>
      </c>
      <c r="O5" s="371"/>
      <c r="P5" s="371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Furqan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46271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46270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2026-09-05T10:42:12Z</dcterms:modified>
</cp:coreProperties>
</file>