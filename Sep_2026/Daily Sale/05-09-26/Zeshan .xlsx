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BBCCB3-0228-4FEF-A3EC-F37609B9C86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<sst xmlns="http://schemas.openxmlformats.org/spreadsheetml/2006/main" count="3948" uniqueCount="534">
  <si>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</si>
  <si>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</si>
  <si>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</si>
  <si>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</si>
  <si>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</si>
  <si>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</si>
  <si>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</si>
  <si>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</si>
  <si>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</si>
  <si>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</si>
  <si>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</si>
  <si>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</si>
  <si>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</si>
  <si>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</si>
  <si>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</si>
  <si>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</si>
  <si>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</si>
  <si>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</si>
  <si>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</si>
  <si>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</si>
  <si>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</si>
  <si>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</si>
  <si>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</si>
  <si>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</si>
  <si>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</si>
  <si>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</si>
  <si>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</si>
  <si>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</si>
  <si>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</si>
  <si>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</si>
  <si>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</si>
  <si>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</si>
  <si>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</si>
  <si>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</si>
  <si>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</si>
  <si>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</si>
  <si>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</si>
  <si>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</si>
  <si>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</si>
  <si>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</si>
  <si>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</si>
  <si>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</si>
  <si>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</si>
  <si>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</si>
  <si>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</si>
  <si>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</si>
  <si>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</si>
  <si>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</si>
  <si>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</si>
  <si>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</si>
  <si>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</si>
  <si>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</si>
  <si>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</si>
  <si>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</si>
  <si>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</si>
  <si>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</si>
  <si>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</si>
  <si>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</si>
  <si>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</si>
  <si>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</si>
  <si>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</si>
  <si>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</si>
  <si>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</si>
  <si>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</si>
  <si>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</si>
  <si>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</si>
  <si>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</si>
  <si>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</si>
  <si>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</si>
  <si>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</si>
  <si>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</si>
  <si>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</si>
  <si>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</si>
  <si>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</si>
  <si>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</si>
  <si>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</si>
  <si>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</si>
  <si>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</si>
  <si>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</si>
  <si>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</si>
  <si>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</si>
  <si>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</si>
  <si>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</si>
  <si>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</si>
  <si>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</si>
  <si>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</si>
  <si>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</si>
  <si>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</si>
  <si>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</si>
  <si>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</si>
  <si>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</si>
  <si>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</si>
  <si>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</si>
  <si>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</si>
  <si>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</si>
  <si>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</si>
  <si>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</si>
  <si>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</si>
  <si>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</si>
  <si>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</si>
  <si>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</si>
  <si>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</si>
  <si>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</si>
  <si>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</si>
  <si>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</si>
  <si>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</si>
  <si>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</si>
  <si>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</si>
  <si>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</si>
  <si>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</si>
  <si>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</si>
  <si>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</si>
  <si>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</si>
  <si>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</si>
  <si>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</si>
  <si>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</si>
  <si>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</si>
  <si>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</si>
  <si>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</si>
  <si>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</si>
  <si>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</si>
  <si>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</si>
  <si>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</si>
  <si>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</si>
  <si>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</si>
  <si>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</si>
  <si>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</si>
  <si>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</si>
  <si>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</si>
  <si>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</si>
  <si>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</si>
  <si>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</si>
  <si>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</si>
  <si>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</si>
  <si>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</si>
  <si>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</si>
  <si>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</si>
  <si>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</si>
  <si>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</si>
  <si>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</si>
  <si>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</si>
  <si>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</si>
  <si>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</si>
  <si>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</si>
  <si>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</si>
  <si>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</si>
  <si>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</si>
  <si>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</si>
  <si>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</si>
  <si>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</si>
  <si>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</si>
  <si>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</si>
  <si>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</si>
  <si>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</si>
  <si>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</si>
  <si>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</si>
  <si>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</si>
  <si>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</si>
  <si>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</si>
  <si>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</si>
  <si>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</si>
  <si>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</si>
  <si>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</si>
  <si>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</si>
  <si>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</si>
  <si>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</si>
  <si>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</si>
  <si>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</si>
  <si>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</si>
  <si>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</si>
  <si>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</si>
  <si>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</si>
  <si>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</si>
  <si>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</si>
  <si>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</si>
  <si>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</si>
  <si>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</si>
  <si>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</si>
  <si>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</si>
  <si>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</si>
  <si>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</si>
  <si>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</si>
  <si>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</si>
  <si>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</si>
  <si>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</si>
  <si>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</si>
  <si>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</si>
  <si>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</si>
  <si>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</si>
  <si>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</si>
  <si>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</si>
  <si>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</si>
  <si>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</si>
  <si>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</si>
  <si>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</si>
  <si>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</si>
  <si>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</si>
  <si>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</si>
  <si>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</si>
  <si>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</si>
  <si>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</si>
  <si>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</si>
  <si>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</si>
  <si>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</si>
  <si>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</si>
  <si>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</si>
  <si>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</si>
  <si>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</si>
  <si>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</si>
  <si>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</si>
  <si>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</si>
  <si>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</si>
  <si>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</si>
  <si>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</si>
  <si>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</si>
  <si>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</si>
  <si>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</si>
  <si>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</si>
  <si>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</si>
  <si>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</si>
  <si>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</si>
  <si>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</si>
  <si>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</si>
  <si>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</si>
  <si>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</si>
  <si>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</si>
  <si>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</si>
  <si>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</si>
  <si>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</si>
  <si>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</si>
  <si>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</si>
  <si>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</si>
  <si>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</si>
  <si>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</si>
  <si>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</si>
  <si>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</si>
  <si>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</si>
  <si>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</si>
  <si>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</si>
  <si>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</si>
  <si>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</si>
  <si>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</si>
  <si>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</si>
  <si>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</si>
  <si>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</si>
  <si>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</si>
  <si>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</si>
  <si>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</si>
  <si>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</si>
  <si>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</si>
  <si>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</si>
  <si>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</si>
  <si>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</si>
  <si>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</si>
  <si>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</si>
  <si>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</si>
  <si>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</si>
  <si>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</si>
  <si>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</si>
  <si>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</si>
  <si>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</si>
  <si>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</si>
  <si>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</si>
  <si>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</si>
  <si>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</si>
  <si>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</si>
  <si>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</si>
  <si>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</si>
  <si>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</si>
  <si>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</si>
  <si>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</si>
  <si>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</si>
  <si>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</si>
  <si>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</si>
  <si>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</si>
  <si>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</si>
  <si>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</si>
  <si>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</si>
  <si>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</si>
  <si>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</si>
  <si>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</si>
  <si>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</si>
  <si>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</si>
  <si>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</si>
  <si>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</si>
  <si>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</si>
  <si>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</si>
  <si>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</si>
  <si>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</si>
  <si>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</si>
  <si>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</si>
  <si>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</si>
  <si>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</si>
  <si>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</si>
  <si>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</si>
  <si>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</si>
  <si>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</si>
  <si>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</si>
  <si>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</si>
  <si>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</si>
  <si>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</si>
  <si>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</si>
  <si>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</si>
  <si>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</si>
  <si>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</si>
  <si>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</si>
  <si>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</si>
  <si>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</si>
  <si>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</si>
  <si>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</si>
  <si>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</si>
  <si>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</si>
  <si>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</si>
  <si>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</si>
  <si>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</si>
  <si>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</si>
  <si>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</si>
  <si>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</si>
  <si>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</si>
  <si>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</si>
  <si>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</si>
  <si>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</si>
  <si>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</si>
  <si>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</si>
  <si>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</si>
  <si>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</si>
  <si>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</si>
  <si>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</si>
  <si>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</si>
  <si>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</si>
  <si>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</si>
  <si>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</si>
  <si>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</si>
  <si>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</si>
  <si>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</si>
  <si>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</si>
  <si>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</si>
  <si>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</si>
  <si>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</si>
  <si>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</si>
  <si>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</si>
  <si>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</si>
  <si>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</si>
  <si>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</si>
  <si>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</si>
  <si>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</si>
  <si>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</si>
  <si>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</si>
  <si>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</si>
  <si>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</si>
  <si>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</si>
  <si>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</si>
  <si>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</si>
  <si>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</si>
  <si>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</si>
  <si>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</si>
  <si>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</si>
  <si>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</si>
  <si>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</si>
  <si>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</si>
  <si>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</si>
  <si>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</si>
  <si>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</si>
  <si>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</si>
  <si>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</si>
  <si>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</si>
  <si>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</si>
  <si>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</si>
  <si>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</si>
  <si>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</si>
  <si>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</si>
  <si>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</si>
  <si>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</si>
  <si>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</si>
  <si>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</si>
  <si>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</si>
  <si>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</si>
  <si>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</si>
  <si>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</si>
  <si>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</si>
  <si>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</si>
  <si>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</si>
  <si>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</si>
  <si>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</si>
  <si>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</si>
  <si>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</si>
  <si>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</si>
  <si>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</si>
  <si>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</si>
  <si>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</si>
  <si>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</si>
  <si>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</si>
  <si>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</si>
  <si>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</si>
  <si>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</si>
  <si>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</si>
  <si>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</si>
  <si>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</si>
  <si>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</si>
  <si>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</si>
  <si>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</si>
  <si>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</si>
  <si>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</si>
  <si>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</si>
  <si>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</si>
  <si>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</si>
  <si>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</si>
  <si>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</si>
  <si>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</si>
  <si>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</si>
  <si>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</si>
  <si>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</si>
  <si>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</si>
  <si>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</si>
  <si>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</si>
  <si>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</si>
  <si>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</si>
  <si>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</si>
  <si>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</si>
  <si>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</si>
  <si>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</si>
  <si>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</si>
  <si>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</si>
  <si>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</si>
  <si>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</si>
  <si>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</si>
  <si>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</si>
  <si>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</si>
  <si>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</si>
  <si>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</si>
  <si>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</si>
  <si>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</si>
  <si>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</si>
  <si>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</si>
  <si>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</si>
  <si>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</si>
  <si>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</si>
  <si>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</si>
  <si>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</si>
  <si>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</si>
  <si>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</si>
  <si>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</si>
  <si>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</si>
  <si>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</si>
  <si>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</si>
  <si>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</si>
  <si>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</si>
  <si>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</si>
  <si>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</si>
  <si>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</si>
  <si>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</si>
  <si>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</si>
  <si>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</si>
  <si>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</si>
  <si>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</si>
  <si>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</si>
  <si>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</si>
  <si>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</si>
  <si>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</si>
  <si>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</si>
  <si>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</si>
  <si>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</si>
  <si>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</si>
  <si>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</si>
  <si>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</si>
  <si>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</si>
  <si>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</si>
  <si>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</si>
  <si>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</si>
  <si>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</si>
  <si>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</si>
  <si>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</si>
  <si>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</si>
  <si>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</si>
  <si>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</si>
  <si>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</si>
  <si>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</si>
  <si>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</si>
  <si>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</si>
  <si>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</si>
  <si>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</si>
  <si>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</si>
  <si>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</si>
  <si>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</si>
  <si>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</si>
  <si>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</si>
  <si>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</si>
  <si>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</si>
  <si>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</si>
  <si>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</si>
  <si>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</si>
  <si>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</si>
  <si>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</si>
  <si>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</si>
  <si>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</si>
  <si>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</si>
  <si>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</si>
  <si>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</si>
  <si>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</si>
  <si>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</si>
  <si>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</si>
  <si>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</si>
  <si>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</si>
  <si>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</si>
  <si>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</si>
  <si>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</si>
  <si>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</si>
  <si>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</si>
  <si>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</si>
  <si>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</si>
  <si>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</si>
  <si>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</si>
  <si>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</si>
  <si>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</si>
  <si>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>Address: DHA</t>
  </si>
  <si>
    <t>Paradise Store</t>
  </si>
  <si>
    <t xml:space="preserve">Groccer Express </t>
  </si>
  <si>
    <t>24/7</t>
  </si>
  <si>
    <t>Groccer Express 2</t>
  </si>
  <si>
    <t xml:space="preserve">My Choice </t>
  </si>
  <si>
    <t>Bilal Store</t>
  </si>
  <si>
    <t>Total Pump</t>
  </si>
  <si>
    <t>Ghani Store</t>
  </si>
  <si>
    <t xml:space="preserve">Ali Mart </t>
  </si>
  <si>
    <t>Al Mughez Store</t>
  </si>
  <si>
    <t xml:space="preserve">S Mart </t>
  </si>
  <si>
    <t xml:space="preserve">Al Jalil </t>
  </si>
  <si>
    <t xml:space="preserve">Max Mart </t>
  </si>
  <si>
    <t>Freshly Stoer</t>
  </si>
  <si>
    <t>Ajwa Store</t>
  </si>
  <si>
    <t>Marwa Stroe</t>
  </si>
  <si>
    <t xml:space="preserve">D Mart </t>
  </si>
  <si>
    <t>Saleem Store</t>
  </si>
  <si>
    <t xml:space="preserve">Smart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</si>
</sst>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Paradise Store</v>
      </c>
      <c r="T3" s="301">
        <f>+'1'!P35</f>
        <v>6199.2810791694919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Groccer Express 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24/7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Groccer Express 2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My Choice 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Bilal Store</v>
      </c>
      <c r="T8" s="301">
        <f>+'6'!P35</f>
        <v>235.21586888135593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Total Pump</v>
      </c>
      <c r="T9" s="301">
        <f>+'7'!P35</f>
        <v>235.21586888135593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Ghani Store</v>
      </c>
      <c r="T10" s="301">
        <f>+'8'!P35</f>
        <v>313.62115850847459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6428.64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39.007606779661018</v>
      </c>
      <c r="P11" s="311">
        <f t="shared" si="2"/>
        <v>7840.5289627118646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Ali Mart </v>
      </c>
      <c r="T11" s="301">
        <f>+'9'!P35</f>
        <v>9408.6347552542375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305.08799999999997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Al Mughez Store</v>
      </c>
      <c r="T12" s="301">
        <f>+'10'!P35</f>
        <v>235.21586888135593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 Mart </v>
      </c>
      <c r="T13" s="301">
        <f>+'11'!P35</f>
        <v>235.21586888135593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Al Jalil </v>
      </c>
      <c r="T14" s="301">
        <f>+'12'!P35</f>
        <v>313.62115850847459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Max Mart </v>
      </c>
      <c r="T15" s="301">
        <f>+'13'!P35</f>
        <v>392.02644813559323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11</v>
      </c>
      <c r="H16" s="113">
        <f t="shared" ref="H16:M16" si="3">SUM(H7:H15)</f>
        <v>440</v>
      </c>
      <c r="I16" s="114">
        <f t="shared" si="3"/>
        <v>29011</v>
      </c>
      <c r="J16" s="274">
        <f>SUM(J7:J15)</f>
        <v>2273.8040000000001</v>
      </c>
      <c r="K16" s="275">
        <f t="shared" si="3"/>
        <v>1015.385</v>
      </c>
      <c r="L16" s="276">
        <f t="shared" si="3"/>
        <v>80.029200000000003</v>
      </c>
      <c r="M16" s="232">
        <f t="shared" si="3"/>
        <v>25641.781799999997</v>
      </c>
      <c r="N16" s="233">
        <f>SUM(N7:N15)</f>
        <v>5491.5254237288136</v>
      </c>
      <c r="O16" s="101">
        <f>SUM(O7:O15)</f>
        <v>155.66653611864407</v>
      </c>
      <c r="P16" s="113">
        <f>SUM(P7:P15)</f>
        <v>31288.97375984746</v>
      </c>
      <c r="Q16" s="128">
        <f>SUM(Q7:Q15)</f>
        <v>0</v>
      </c>
      <c r="R16" s="314">
        <v>14</v>
      </c>
      <c r="S16" s="318" t="str">
        <f>+'14'!A6:A6</f>
        <v>Freshly Stoer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Ajwa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Marwa Stroe</v>
      </c>
      <c r="T18" s="301">
        <f>+'16'!P35</f>
        <v>392.02644813559323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29011</v>
      </c>
      <c r="R19" s="299">
        <v>17</v>
      </c>
      <c r="S19" s="300" t="str">
        <f>+'17'!A6:A6</f>
        <v xml:space="preserve">D Mart </v>
      </c>
      <c r="T19" s="301">
        <f>+'17'!P35</f>
        <v>784.05289627118646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2273.8040000000001</v>
      </c>
      <c r="R20" s="299">
        <v>18</v>
      </c>
      <c r="S20" s="300" t="str">
        <f>+'18'!A6:A6</f>
        <v>Saleem Store</v>
      </c>
      <c r="T20" s="301">
        <f>+'18'!P35</f>
        <v>784.05289627118646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1095.4141999999999</v>
      </c>
      <c r="R21" s="299">
        <v>19</v>
      </c>
      <c r="S21" s="300" t="str">
        <f>+'19'!A6:A6</f>
        <v xml:space="preserve">Smart Mart </v>
      </c>
      <c r="T21" s="301">
        <f>+'19'!P35</f>
        <v>9408.6347552542375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25641.781800000001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5491.5254237288136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31133.307223728814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155.66653611864407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31288.973759847457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31288.973759847453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5766.2000000000007</v>
      </c>
      <c r="J25" s="274">
        <f>SUM(J16:J24)</f>
        <v>414.22</v>
      </c>
      <c r="K25" s="275">
        <f t="shared" si="10"/>
        <v>201.81700000000001</v>
      </c>
      <c r="L25" s="276">
        <f t="shared" si="10"/>
        <v>80.029200000000003</v>
      </c>
      <c r="M25" s="232">
        <f t="shared" si="10"/>
        <v>5070.1338000000005</v>
      </c>
      <c r="N25" s="233">
        <f>SUM(N16:N24)</f>
        <v>1098.3050847457621</v>
      </c>
      <c r="O25" s="101">
        <f>SUM(O16:O24)</f>
        <v>30.842194423728813</v>
      </c>
      <c r="P25" s="113">
        <f>SUM(P16:P24)</f>
        <v>6199.2810791694919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5766.2000000000007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414.22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281.84620000000001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5070.1338000000005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6168.4388847457631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30.842194423728817</v>
      </c>
    </row>
    <row r="35" spans="2:16" ht="15.75" customHeight="1" thickBot="1" x14ac:dyDescent="0.4">
      <c r="N35" s="373" t="s">
        <v>88</v>
      </c>
      <c r="O35" s="374"/>
      <c r="P35" s="297">
        <f>+P33+P34</f>
        <v>6199.2810791694919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290.56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23.244800000000001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10.169600000000001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257.1456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312.06085423728814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313.62115850847459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290.56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23.244800000000001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10.169600000000001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257.1456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312.06085423728814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313.62115850847459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2026-09-05T04:17:25Z</dcterms:modified>
</cp:coreProperties>
</file>