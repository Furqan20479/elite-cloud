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27F158-DC30-4A0F-A497-2576D3BFED0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M20" i="43"/>
  <c r="O20" i="43" s="1"/>
  <c r="P20" i="43" s="1"/>
  <c r="R20" i="43" s="1"/>
  <c r="M23" i="49"/>
  <c r="O23" i="49" s="1"/>
  <c r="P23" i="49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J7" i="62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20" i="71"/>
  <c r="O20" i="71" s="1"/>
  <c r="P20" i="71" s="1"/>
  <c r="R20" i="71" s="1"/>
  <c r="M16" i="58"/>
  <c r="O16" i="58" s="1"/>
  <c r="P16" i="58" s="1"/>
  <c r="M16" i="59"/>
  <c r="M17" i="72"/>
  <c r="O17" i="72" s="1"/>
  <c r="P17" i="72" s="1"/>
  <c r="M16" i="64"/>
  <c r="M17" i="60"/>
  <c r="O17" i="60" s="1"/>
  <c r="P17" i="60" s="1"/>
  <c r="M23" i="56"/>
  <c r="O23" i="56" s="1"/>
  <c r="P23" i="56" s="1"/>
  <c r="M16" i="65"/>
  <c r="M22" i="63"/>
  <c r="O22" i="63" s="1"/>
  <c r="P22" i="63" s="1"/>
  <c r="M23" i="51"/>
  <c r="O23" i="51" s="1"/>
  <c r="P23" i="51" s="1"/>
  <c r="M23" i="60"/>
  <c r="O23" i="60" s="1"/>
  <c r="P23" i="60" s="1"/>
  <c r="M23" i="58"/>
  <c r="O23" i="58" s="1"/>
  <c r="P23" i="58" s="1"/>
  <c r="M16" i="60"/>
  <c r="M21" i="51"/>
  <c r="O21" i="51" s="1"/>
  <c r="P21" i="51" s="1"/>
  <c r="M23" i="72"/>
  <c r="O23" i="72" s="1"/>
  <c r="P23" i="72" s="1"/>
  <c r="M23" i="64"/>
  <c r="M23" i="59"/>
  <c r="M23" i="44"/>
  <c r="O23" i="44" s="1"/>
  <c r="P23" i="44" s="1"/>
  <c r="M16" i="66"/>
  <c r="M16" i="44"/>
  <c r="M23" i="65"/>
  <c r="M16" i="72"/>
  <c r="M21" i="53"/>
  <c r="O21" i="53" s="1"/>
  <c r="P21" i="53" s="1"/>
  <c r="M23" i="69"/>
  <c r="M23" i="53"/>
  <c r="O23" i="53" s="1"/>
  <c r="P23" i="53" s="1"/>
  <c r="M21" i="68"/>
  <c r="O21" i="68" s="1"/>
  <c r="P21" i="68" s="1"/>
  <c r="M22" i="43"/>
  <c r="O22" i="43" s="1"/>
  <c r="P22" i="43" s="1"/>
  <c r="M16" i="48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16" i="44"/>
  <c r="O22" i="51"/>
  <c r="P22" i="51" s="1"/>
  <c r="O16" i="64"/>
  <c r="P16" i="64" s="1"/>
  <c r="O16" i="55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6" i="70"/>
  <c r="P16" i="53"/>
  <c r="P25" i="53" s="1"/>
  <c r="O15" i="62"/>
  <c r="P15" i="62" s="1"/>
  <c r="O25" i="55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<sst xmlns="http://schemas.openxmlformats.org/spreadsheetml/2006/main" count="3948" uniqueCount="539">
  <si>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</si>
  <si>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</si>
  <si>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</si>
  <si>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</si>
  <si>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</si>
  <si>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</si>
  <si>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</si>
  <si>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</si>
  <si>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</si>
  <si>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</si>
  <si>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</si>
  <si>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</si>
  <si>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</si>
  <si>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</si>
  <si>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</si>
  <si>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</si>
  <si>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</si>
  <si>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</si>
  <si>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</si>
  <si>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</si>
  <si>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</si>
  <si>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</si>
  <si>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</si>
  <si>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</si>
  <si>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</si>
  <si>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</si>
  <si>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</si>
  <si>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</si>
  <si>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</si>
  <si>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</si>
  <si>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</si>
  <si>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</si>
  <si>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</si>
  <si>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</si>
  <si>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</si>
  <si>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</si>
  <si>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</si>
  <si>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</si>
  <si>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</si>
  <si>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</si>
  <si>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</si>
  <si>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</si>
  <si>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</si>
  <si>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</si>
  <si>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</si>
  <si>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</si>
  <si>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</si>
  <si>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</si>
  <si>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</si>
  <si>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</si>
  <si>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</si>
  <si>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</si>
  <si>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</si>
  <si>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</si>
  <si>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</si>
  <si>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</si>
  <si>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</si>
  <si>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</si>
  <si>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</si>
  <si>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</si>
  <si>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</si>
  <si>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</si>
  <si>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</si>
  <si>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</si>
  <si>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</si>
  <si>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</si>
  <si>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</si>
  <si>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</si>
  <si>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</si>
  <si>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</si>
  <si>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</si>
  <si>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</si>
  <si>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</si>
  <si>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</si>
  <si>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</si>
  <si>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</si>
  <si>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</si>
  <si>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</si>
  <si>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</si>
  <si>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</si>
  <si>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</si>
  <si>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</si>
  <si>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</si>
  <si>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</si>
  <si>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</si>
  <si>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</si>
  <si>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</si>
  <si>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</si>
  <si>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</si>
  <si>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</si>
  <si>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</si>
  <si>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</si>
  <si>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</si>
  <si>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</si>
  <si>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</si>
  <si>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</si>
  <si>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</si>
  <si>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</si>
  <si>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</si>
  <si>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</si>
  <si>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</si>
  <si>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</si>
  <si>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</si>
  <si>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</si>
  <si>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</si>
  <si>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</si>
  <si>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</si>
  <si>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</si>
  <si>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</si>
  <si>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</si>
  <si>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</si>
  <si>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</si>
  <si>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</si>
  <si>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</si>
  <si>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</si>
  <si>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</si>
  <si>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</si>
  <si>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</si>
  <si>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</si>
  <si>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</si>
  <si>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</si>
  <si>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</si>
  <si>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</si>
  <si>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</si>
  <si>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</si>
  <si>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</si>
  <si>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</si>
  <si>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</si>
  <si>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</si>
  <si>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</si>
  <si>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</si>
  <si>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</si>
  <si>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</si>
  <si>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</si>
  <si>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</si>
  <si>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</si>
  <si>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</si>
  <si>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</si>
  <si>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</si>
  <si>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</si>
  <si>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</si>
  <si>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</si>
  <si>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</si>
  <si>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</si>
  <si>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</si>
  <si>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</si>
  <si>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</si>
  <si>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</si>
  <si>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</si>
  <si>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</si>
  <si>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</si>
  <si>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</si>
  <si>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</si>
  <si>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</si>
  <si>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</si>
  <si>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</si>
  <si>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</si>
  <si>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</si>
  <si>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</si>
  <si>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</si>
  <si>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</si>
  <si>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</si>
  <si>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</si>
  <si>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</si>
  <si>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</si>
  <si>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</si>
  <si>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</si>
  <si>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</si>
  <si>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</si>
  <si>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</si>
  <si>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</si>
  <si>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</si>
  <si>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</si>
  <si>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</si>
  <si>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</si>
  <si>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</si>
  <si>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</si>
  <si>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</si>
  <si>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</si>
  <si>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</si>
  <si>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</si>
  <si>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</si>
  <si>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</si>
  <si>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</si>
  <si>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</si>
  <si>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</si>
  <si>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</si>
  <si>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</si>
  <si>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</si>
  <si>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</si>
  <si>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</si>
  <si>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</si>
  <si>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</si>
  <si>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</si>
  <si>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</si>
  <si>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</si>
  <si>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</si>
  <si>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</si>
  <si>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</si>
  <si>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</si>
  <si>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</si>
  <si>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</si>
  <si>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</si>
  <si>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</si>
  <si>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</si>
  <si>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</si>
  <si>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</si>
  <si>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</si>
  <si>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</si>
  <si>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</si>
  <si>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</si>
  <si>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</si>
  <si>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</si>
  <si>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</si>
  <si>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</si>
  <si>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</si>
  <si>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</si>
  <si>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</si>
  <si>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</si>
  <si>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</si>
  <si>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</si>
  <si>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</si>
  <si>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</si>
  <si>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</si>
  <si>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</si>
  <si>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</si>
  <si>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</si>
  <si>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</si>
  <si>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</si>
  <si>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</si>
  <si>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</si>
  <si>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</si>
  <si>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</si>
  <si>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</si>
  <si>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</si>
  <si>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</si>
  <si>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</si>
  <si>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</si>
  <si>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</si>
  <si>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</si>
  <si>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</si>
  <si>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</si>
  <si>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</si>
  <si>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</si>
  <si>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</si>
  <si>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</si>
  <si>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</si>
  <si>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</si>
  <si>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</si>
  <si>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</si>
  <si>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</si>
  <si>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</si>
  <si>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</si>
  <si>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</si>
  <si>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</si>
  <si>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</si>
  <si>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</si>
  <si>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</si>
  <si>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</si>
  <si>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</si>
  <si>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</si>
  <si>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</si>
  <si>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</si>
  <si>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</si>
  <si>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</si>
  <si>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</si>
  <si>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</si>
  <si>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</si>
  <si>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</si>
  <si>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</si>
  <si>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</si>
  <si>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</si>
  <si>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</si>
  <si>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</si>
  <si>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</si>
  <si>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</si>
  <si>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</si>
  <si>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</si>
  <si>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</si>
  <si>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</si>
  <si>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</si>
  <si>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</si>
  <si>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</si>
  <si>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</si>
  <si>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</si>
  <si>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</si>
  <si>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</si>
  <si>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</si>
  <si>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</si>
  <si>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</si>
  <si>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</si>
  <si>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</si>
  <si>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</si>
  <si>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</si>
  <si>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</si>
  <si>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</si>
  <si>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</si>
  <si>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</si>
  <si>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</si>
  <si>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</si>
  <si>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</si>
  <si>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</si>
  <si>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</si>
  <si>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</si>
  <si>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</si>
  <si>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</si>
  <si>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</si>
  <si>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</si>
  <si>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</si>
  <si>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</si>
  <si>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</si>
  <si>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</si>
  <si>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</si>
  <si>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</si>
  <si>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</si>
  <si>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</si>
  <si>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</si>
  <si>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</si>
  <si>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</si>
  <si>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</si>
  <si>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</si>
  <si>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</si>
  <si>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</si>
  <si>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</si>
  <si>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</si>
  <si>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</si>
  <si>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</si>
  <si>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</si>
  <si>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</si>
  <si>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</si>
  <si>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</si>
  <si>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</si>
  <si>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</si>
  <si>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</si>
  <si>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</si>
  <si>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</si>
  <si>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</si>
  <si>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</si>
  <si>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</si>
  <si>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</si>
  <si>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</si>
  <si>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</si>
  <si>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</si>
  <si>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</si>
  <si>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</si>
  <si>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</si>
  <si>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</si>
  <si>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</si>
  <si>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</si>
  <si>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</si>
  <si>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</si>
  <si>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</si>
  <si>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</si>
  <si>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</si>
  <si>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</si>
  <si>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</si>
  <si>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</si>
  <si>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</si>
  <si>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</si>
  <si>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</si>
  <si>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</si>
  <si>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</si>
  <si>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</si>
  <si>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</si>
  <si>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</si>
  <si>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</si>
  <si>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</si>
  <si>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</si>
  <si>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</si>
  <si>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</si>
  <si>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</si>
  <si>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</si>
  <si>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</si>
  <si>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</si>
  <si>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</si>
  <si>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</si>
  <si>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</si>
  <si>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</si>
  <si>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</si>
  <si>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</si>
  <si>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</si>
  <si>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</si>
  <si>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</si>
  <si>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</si>
  <si>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</si>
  <si>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</si>
  <si>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</si>
  <si>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</si>
  <si>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</si>
  <si>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</si>
  <si>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</si>
  <si>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</si>
  <si>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</si>
  <si>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</si>
  <si>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</si>
  <si>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</si>
  <si>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</si>
  <si>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</si>
  <si>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</si>
  <si>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</si>
  <si>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</si>
  <si>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</si>
  <si>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</si>
  <si>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</si>
  <si>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</si>
  <si>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</si>
  <si>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</si>
  <si>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</si>
  <si>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</si>
  <si>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</si>
  <si>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</si>
  <si>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</si>
  <si>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</si>
  <si>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</si>
  <si>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</si>
  <si>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</si>
  <si>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</si>
  <si>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</si>
  <si>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</si>
  <si>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</si>
  <si>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</si>
  <si>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</si>
  <si>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</si>
  <si>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</si>
  <si>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</si>
  <si>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</si>
  <si>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</si>
  <si>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</si>
  <si>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</si>
  <si>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</si>
  <si>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</si>
  <si>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</si>
  <si>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</si>
  <si>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</si>
  <si>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</si>
  <si>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</si>
  <si>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</si>
  <si>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</si>
  <si>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</si>
  <si>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</si>
  <si>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</si>
  <si>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</si>
  <si>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</si>
  <si>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</si>
  <si>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</si>
  <si>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</si>
  <si>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</si>
  <si>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</si>
  <si>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</si>
  <si>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</si>
  <si>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</si>
  <si>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</si>
  <si>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</si>
  <si>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</si>
  <si>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</si>
  <si>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</si>
  <si>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</si>
  <si>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</si>
  <si>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</si>
  <si>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</si>
  <si>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</si>
  <si>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</si>
  <si>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</si>
  <si>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</si>
  <si>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</si>
  <si>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</si>
  <si>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</si>
  <si>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</si>
  <si>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</si>
  <si>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</si>
  <si>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</si>
  <si>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</si>
  <si>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</si>
  <si>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</si>
  <si>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</si>
  <si>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</si>
  <si>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</si>
  <si>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</si>
  <si>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</si>
  <si>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</si>
  <si>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</si>
  <si>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</si>
  <si>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</si>
  <si>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</si>
  <si>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</si>
  <si>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</si>
  <si>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</si>
  <si>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</si>
  <si>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</si>
  <si>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</si>
  <si>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</si>
  <si>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</si>
  <si>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</si>
  <si>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</si>
  <si>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</si>
  <si>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</si>
  <si>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</si>
  <si>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</si>
  <si>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</si>
  <si>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</si>
  <si>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</si>
  <si>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</si>
  <si>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</si>
  <si>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</si>
  <si>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</si>
  <si>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</si>
  <si>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</si>
  <si>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</si>
  <si>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</si>
  <si>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</si>
  <si>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</si>
  <si>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</si>
  <si>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Guru mangat</t>
  </si>
  <si>
    <t>CNIC #:3520148928009</t>
  </si>
  <si>
    <t>CNIC #:341027579428-1</t>
  </si>
  <si>
    <t>CNIC #:352022391520-1</t>
  </si>
  <si>
    <t>CNIC #:352011835935-1</t>
  </si>
  <si>
    <t>CNIC #:3450214530224</t>
  </si>
  <si>
    <t>Shope Name</t>
  </si>
  <si>
    <t>Jabbar</t>
  </si>
  <si>
    <t>Madina Mart</t>
  </si>
  <si>
    <t>Address: Jalal din Road</t>
  </si>
  <si>
    <t>CNIC #:H540150-6</t>
  </si>
  <si>
    <t>Amina Deparmental Store</t>
  </si>
  <si>
    <t>Address: Jalal Din Road</t>
  </si>
  <si>
    <t>CNIC #:F737750</t>
  </si>
  <si>
    <t>Khalid Super Store</t>
  </si>
  <si>
    <t>CNIC #:3520207278271</t>
  </si>
  <si>
    <t>Shah Ji Bakers</t>
  </si>
  <si>
    <t>Al Madina Store</t>
  </si>
  <si>
    <t>Address: Kank Mandi</t>
  </si>
  <si>
    <t>Hafiz Kiryana Store</t>
  </si>
  <si>
    <t>Address:  Kank Mandi</t>
  </si>
  <si>
    <t>Abduallah Store</t>
  </si>
  <si>
    <t>A Plus Store</t>
  </si>
  <si>
    <t>Umer Store</t>
  </si>
  <si>
    <t>Address: Alla Bakhash Road</t>
  </si>
  <si>
    <t>Irfan Store</t>
  </si>
  <si>
    <t>Address: Alla Bakhash Road Near Gourment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</si>
</sst>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519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Madina Mart</v>
      </c>
      <c r="T3" s="301">
        <f>+'1'!P35</f>
        <v>1411.2952132881355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Amina Deparmental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Khalid Super Store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Shah Ji Bakers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Madina Store</v>
      </c>
      <c r="T7" s="301">
        <f>+'5'!P35</f>
        <v>3636.9649591322036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Kiryana Store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Abduallah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176</v>
      </c>
      <c r="I10" s="236">
        <f t="shared" si="0"/>
        <v>12784.64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1022.7712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447.46240000000012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11314.4064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2416.2711864406779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68.653387932203387</v>
      </c>
      <c r="P10" s="311">
        <f t="shared" si="2"/>
        <v>13799.330974372881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 Plus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171</v>
      </c>
      <c r="I11" s="236">
        <f t="shared" si="0"/>
        <v>12421.44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993.71519999999998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434.75040000000001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10992.974400000001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2347.6271186440677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66.703007593220335</v>
      </c>
      <c r="P11" s="311">
        <f t="shared" si="2"/>
        <v>13407.304526237289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 Plus Store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181</v>
      </c>
      <c r="I12" s="236">
        <f t="shared" si="0"/>
        <v>13147.84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1051.8271999999999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460.17440000000011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11635.838400000001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2484.9152542372881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70.603768271186439</v>
      </c>
      <c r="P12" s="311">
        <f t="shared" si="2"/>
        <v>14191.357422508476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 Plus Store</v>
      </c>
      <c r="T12" s="301">
        <f>+'10'!P35</f>
        <v>2265.051582838983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 Plus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 Plus Store</v>
      </c>
      <c r="T14" s="301">
        <f>+'12'!P35</f>
        <v>3136.2115850847458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 Plus Store</v>
      </c>
      <c r="T15" s="301">
        <f>+'13'!P35</f>
        <v>3136.2115850847458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19.5</v>
      </c>
      <c r="H16" s="113">
        <f t="shared" ref="H16:M16" si="3">SUM(H7:H15)</f>
        <v>780</v>
      </c>
      <c r="I16" s="114">
        <f t="shared" si="3"/>
        <v>50357.08</v>
      </c>
      <c r="J16" s="274">
        <f>SUM(J7:J15)</f>
        <v>3920.2916</v>
      </c>
      <c r="K16" s="275">
        <f t="shared" si="3"/>
        <v>1762.4978000000003</v>
      </c>
      <c r="L16" s="276">
        <f t="shared" si="3"/>
        <v>184.06716</v>
      </c>
      <c r="M16" s="232">
        <f t="shared" si="3"/>
        <v>44490.223440000002</v>
      </c>
      <c r="N16" s="233">
        <f>SUM(N7:N15)</f>
        <v>9536.9491525423709</v>
      </c>
      <c r="O16" s="101">
        <f>SUM(O7:O15)</f>
        <v>270.13586296271188</v>
      </c>
      <c r="P16" s="113">
        <f>SUM(P7:P15)</f>
        <v>54297.308455505081</v>
      </c>
      <c r="Q16" s="128">
        <f>SUM(Q7:Q15)</f>
        <v>0</v>
      </c>
      <c r="R16" s="314">
        <v>14</v>
      </c>
      <c r="S16" s="318" t="str">
        <f>+'14'!A6:A6</f>
        <v>A Plus Store</v>
      </c>
      <c r="T16" s="301">
        <f>+'14'!P35</f>
        <v>3136.2115850847458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Store</v>
      </c>
      <c r="T17" s="301">
        <f>+'15'!P35</f>
        <v>1646.5110821694916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Irfan Store</v>
      </c>
      <c r="T18" s="301">
        <f>+'16'!P35</f>
        <v>5401.2631679237284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50357.08</v>
      </c>
      <c r="R19" s="299">
        <v>17</v>
      </c>
      <c r="S19" s="300" t="str">
        <f>+'17'!A6:A6</f>
        <v>Shope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3920.2916</v>
      </c>
      <c r="R20" s="299">
        <v>18</v>
      </c>
      <c r="S20" s="300" t="str">
        <f>+'18'!A6:A6</f>
        <v>Shope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1946.5649600000004</v>
      </c>
      <c r="R21" s="299">
        <v>19</v>
      </c>
      <c r="S21" s="300" t="str">
        <f>+'19'!A6:A6</f>
        <v>Shope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44490.223440000002</v>
      </c>
      <c r="R22" s="299">
        <v>20</v>
      </c>
      <c r="S22" s="300" t="str">
        <f>+'20'!A6:A6</f>
        <v>Shope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9536.9491525423709</v>
      </c>
      <c r="R23" s="299">
        <v>21</v>
      </c>
      <c r="S23" s="300" t="str">
        <f>+'21'!A6:A6</f>
        <v>Shope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54027.172592542374</v>
      </c>
      <c r="R24" s="299">
        <v>22</v>
      </c>
      <c r="S24" s="300" t="str">
        <f>+'22'!A6:A6</f>
        <v>Shope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270.13586296271188</v>
      </c>
      <c r="R25" s="299">
        <v>23</v>
      </c>
      <c r="S25" s="300" t="str">
        <f>+'23'!A6:A6</f>
        <v>Shope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54297.308455505088</v>
      </c>
      <c r="R26" s="299">
        <v>24</v>
      </c>
      <c r="S26" s="300" t="str">
        <f>+'24'!A6:A6</f>
        <v>Shope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Shope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Shope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Shope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Shope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Shope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Shope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54297.308455505095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1307.52</v>
      </c>
      <c r="J25" s="274">
        <f>SUM(J16:J24)</f>
        <v>104.60160000000002</v>
      </c>
      <c r="K25" s="275">
        <f t="shared" si="10"/>
        <v>45.763200000000005</v>
      </c>
      <c r="L25" s="276">
        <f t="shared" si="10"/>
        <v>0</v>
      </c>
      <c r="M25" s="232">
        <f t="shared" si="10"/>
        <v>1157.1552000000001</v>
      </c>
      <c r="N25" s="233">
        <f>SUM(N16:N24)</f>
        <v>247.11864406779662</v>
      </c>
      <c r="O25" s="101">
        <f>SUM(O16:O24)</f>
        <v>7.0213692203389835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1307.52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104.60160000000002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45.763200000000005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1157.1551999999999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1404.2738440677965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3" t="s">
        <v>88</v>
      </c>
      <c r="O35" s="374"/>
      <c r="P35" s="297">
        <f>+P33+P34</f>
        <v>1411.2952132881355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9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0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653.76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52.30080000000001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22.881600000000002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578.57759999999996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702.13692203389826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3" t="s">
        <v>88</v>
      </c>
      <c r="O35" s="374"/>
      <c r="P35" s="297">
        <f>+P33+P34</f>
        <v>705.64760664406776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3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52</v>
      </c>
      <c r="I25" s="114">
        <f t="shared" si="7"/>
        <v>3376.36</v>
      </c>
      <c r="J25" s="274">
        <f>SUM(J16:J24)</f>
        <v>255.98599999999999</v>
      </c>
      <c r="K25" s="275">
        <f t="shared" si="7"/>
        <v>118.1726</v>
      </c>
      <c r="L25" s="276">
        <f t="shared" si="7"/>
        <v>24.008760000000002</v>
      </c>
      <c r="M25" s="232">
        <f t="shared" si="7"/>
        <v>2978.1926399999998</v>
      </c>
      <c r="N25" s="233">
        <f>SUM(N16:N24)</f>
        <v>640.67796610169489</v>
      </c>
      <c r="O25" s="101">
        <f>SUM(O16:O24)</f>
        <v>18.094353030508476</v>
      </c>
      <c r="P25" s="113">
        <f>SUM(P16:P24)</f>
        <v>3636.9649591322036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3376.36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255.98599999999999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142.18136000000001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2978.1926400000002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640.67796610169489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3618.8706061016951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18.094353030508476</v>
      </c>
    </row>
    <row r="35" spans="2:16" ht="15.75" customHeight="1" thickBot="1" x14ac:dyDescent="0.4">
      <c r="N35" s="373" t="s">
        <v>88</v>
      </c>
      <c r="O35" s="374"/>
      <c r="P35" s="297">
        <f>+P33+P34</f>
        <v>3636.9649591322036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9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2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0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21</v>
      </c>
      <c r="I25" s="114">
        <f t="shared" si="7"/>
        <v>1525.44</v>
      </c>
      <c r="J25" s="274">
        <f>SUM(J16:J24)</f>
        <v>122.0352</v>
      </c>
      <c r="K25" s="275">
        <f t="shared" si="7"/>
        <v>53.3904</v>
      </c>
      <c r="L25" s="276">
        <f t="shared" si="7"/>
        <v>0</v>
      </c>
      <c r="M25" s="232">
        <f t="shared" si="7"/>
        <v>1350.0144</v>
      </c>
      <c r="N25" s="233">
        <f>SUM(N16:N24)</f>
        <v>288.30508474576271</v>
      </c>
      <c r="O25" s="101">
        <f>SUM(O16:O24)</f>
        <v>8.1915974237288136</v>
      </c>
      <c r="P25" s="113">
        <f>SUM(P16:P24)</f>
        <v>1646.5110821694918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1525.44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122.0352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53.3904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1350.0144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288.30508474576271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1638.3194847457628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8.1915974237288136</v>
      </c>
    </row>
    <row r="35" spans="2:16" ht="15.75" customHeight="1" thickBot="1" x14ac:dyDescent="0.4">
      <c r="N35" s="373" t="s">
        <v>88</v>
      </c>
      <c r="O35" s="374"/>
      <c r="P35" s="297">
        <f>+P33+P34</f>
        <v>1646.5110821694916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9" workbookViewId="0">
      <selection sqref="A1: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400.32800000000003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175.14350000000002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4428.6284999999998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5374.3912118644066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3" t="s">
        <v>88</v>
      </c>
      <c r="O35" s="374"/>
      <c r="P35" s="297">
        <f>+P33+P34</f>
        <v>5401.2631679237284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2026-09-05T03:57:25Z</dcterms:modified>
</cp:coreProperties>
</file>