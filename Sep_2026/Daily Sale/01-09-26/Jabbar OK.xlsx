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BD25913-6216-41D7-BE57-D00B9218995E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N4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4" i="69"/>
  <c r="N5" i="69" s="1"/>
  <c r="N4" i="43"/>
  <c r="N4" i="47"/>
  <c r="N4" i="55"/>
  <c r="N4" i="68"/>
  <c r="N4" i="45"/>
  <c r="N4" i="49"/>
  <c r="N4" i="53"/>
  <c r="N4" i="57"/>
  <c r="N4" i="61"/>
  <c r="N4" i="66"/>
  <c r="N4" i="70"/>
  <c r="N4" i="46"/>
  <c r="N4" i="50"/>
  <c r="N4" i="54"/>
  <c r="N4" i="58"/>
  <c r="N4" i="63"/>
  <c r="N4" i="67"/>
  <c r="N5" i="67" s="1"/>
  <c r="N4" i="7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43" l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<sst xmlns="http://schemas.openxmlformats.org/spreadsheetml/2006/main" count="3948" uniqueCount="522">
  <si>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</si>
  <si>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</si>
  <si>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</si>
  <si>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</si>
  <si>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</si>
  <si>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</si>
  <si>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</si>
  <si>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</si>
  <si>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</si>
  <si>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</si>
  <si>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</si>
  <si>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</si>
  <si>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</si>
  <si>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</si>
  <si>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</si>
  <si>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</si>
  <si>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</si>
  <si>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</si>
  <si>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</si>
  <si>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</si>
  <si>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</si>
  <si>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</si>
  <si>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</si>
  <si>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</si>
  <si>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</si>
  <si>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</si>
  <si>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</si>
  <si>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</si>
  <si>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</si>
  <si>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</si>
  <si>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</si>
  <si>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</si>
  <si>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</si>
  <si>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</si>
  <si>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</si>
  <si>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</si>
  <si>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</si>
  <si>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</si>
  <si>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</si>
  <si>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</si>
  <si>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</si>
  <si>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</si>
  <si>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</si>
  <si>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</si>
  <si>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</si>
  <si>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</si>
  <si>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</si>
  <si>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</si>
  <si>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</si>
  <si>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</si>
  <si>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</si>
  <si>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</si>
  <si>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</si>
  <si>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</si>
  <si>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</si>
  <si>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</si>
  <si>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</si>
  <si>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</si>
  <si>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</si>
  <si>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</si>
  <si>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</si>
  <si>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</si>
  <si>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</si>
  <si>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</si>
  <si>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</si>
  <si>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</si>
  <si>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</si>
  <si>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</si>
  <si>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</si>
  <si>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</si>
  <si>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</si>
  <si>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</si>
  <si>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</si>
  <si>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</si>
  <si>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</si>
  <si>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</si>
  <si>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</si>
  <si>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</si>
  <si>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</si>
  <si>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</si>
  <si>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</si>
  <si>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</si>
  <si>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</si>
  <si>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</si>
  <si>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</si>
  <si>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</si>
  <si>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</si>
  <si>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</si>
  <si>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</si>
  <si>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</si>
  <si>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</si>
  <si>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</si>
  <si>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</si>
  <si>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</si>
  <si>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</si>
  <si>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</si>
  <si>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</si>
  <si>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</si>
  <si>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</si>
  <si>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</si>
  <si>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</si>
  <si>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</si>
  <si>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</si>
  <si>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</si>
  <si>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</si>
  <si>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</si>
  <si>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</si>
  <si>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</si>
  <si>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</si>
  <si>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</si>
  <si>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</si>
  <si>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</si>
  <si>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</si>
  <si>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</si>
  <si>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</si>
  <si>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</si>
  <si>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</si>
  <si>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</si>
  <si>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</si>
  <si>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</si>
  <si>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</si>
  <si>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</si>
  <si>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</si>
  <si>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</si>
  <si>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</si>
  <si>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</si>
  <si>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</si>
  <si>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</si>
  <si>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</si>
  <si>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</si>
  <si>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</si>
  <si>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</si>
  <si>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</si>
  <si>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</si>
  <si>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</si>
  <si>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</si>
  <si>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</si>
  <si>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</si>
  <si>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</si>
  <si>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</si>
  <si>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</si>
  <si>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</si>
  <si>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</si>
  <si>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</si>
  <si>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</si>
  <si>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</si>
  <si>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</si>
  <si>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</si>
  <si>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</si>
  <si>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</si>
  <si>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</si>
  <si>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</si>
  <si>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</si>
  <si>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</si>
  <si>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</si>
  <si>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</si>
  <si>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</si>
  <si>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</si>
  <si>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</si>
  <si>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</si>
  <si>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</si>
  <si>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</si>
  <si>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</si>
  <si>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</si>
  <si>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</si>
  <si>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</si>
  <si>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</si>
  <si>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</si>
  <si>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</si>
  <si>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</si>
  <si>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</si>
  <si>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</si>
  <si>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</si>
  <si>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</si>
  <si>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</si>
  <si>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</si>
  <si>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</si>
  <si>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</si>
  <si>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</si>
  <si>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</si>
  <si>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</si>
  <si>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</si>
  <si>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</si>
  <si>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</si>
  <si>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</si>
  <si>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</si>
  <si>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</si>
  <si>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</si>
  <si>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</si>
  <si>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</si>
  <si>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</si>
  <si>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</si>
  <si>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</si>
  <si>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</si>
  <si>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</si>
  <si>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</si>
  <si>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</si>
  <si>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</si>
  <si>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</si>
  <si>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</si>
  <si>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</si>
  <si>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</si>
  <si>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</si>
  <si>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</si>
  <si>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</si>
  <si>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</si>
  <si>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</si>
  <si>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</si>
  <si>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</si>
  <si>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</si>
  <si>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</si>
  <si>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</si>
  <si>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</si>
  <si>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</si>
  <si>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</si>
  <si>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</si>
  <si>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</si>
  <si>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</si>
  <si>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</si>
  <si>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</si>
  <si>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</si>
  <si>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</si>
  <si>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</si>
  <si>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</si>
  <si>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</si>
  <si>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</si>
  <si>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</si>
  <si>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</si>
  <si>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</si>
  <si>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</si>
  <si>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</si>
  <si>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</si>
  <si>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</si>
  <si>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</si>
  <si>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</si>
  <si>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</si>
  <si>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</si>
  <si>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</si>
  <si>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</si>
  <si>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</si>
  <si>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</si>
  <si>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</si>
  <si>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</si>
  <si>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</si>
  <si>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</si>
  <si>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</si>
  <si>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</si>
  <si>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</si>
  <si>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</si>
  <si>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</si>
  <si>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</si>
  <si>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</si>
  <si>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</si>
  <si>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</si>
  <si>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</si>
  <si>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</si>
  <si>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</si>
  <si>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</si>
  <si>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</si>
  <si>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</si>
  <si>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</si>
  <si>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</si>
  <si>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</si>
  <si>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</si>
  <si>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</si>
  <si>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</si>
  <si>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</si>
  <si>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</si>
  <si>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</si>
  <si>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</si>
  <si>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</si>
  <si>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</si>
  <si>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</si>
  <si>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</si>
  <si>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</si>
  <si>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</si>
  <si>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</si>
  <si>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</si>
  <si>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</si>
  <si>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</si>
  <si>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</si>
  <si>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</si>
  <si>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</si>
  <si>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</si>
  <si>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</si>
  <si>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</si>
  <si>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</si>
  <si>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</si>
  <si>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</si>
  <si>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</si>
  <si>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</si>
  <si>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</si>
  <si>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</si>
  <si>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</si>
  <si>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</si>
  <si>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</si>
  <si>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</si>
  <si>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</si>
  <si>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</si>
  <si>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</si>
  <si>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</si>
  <si>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</si>
  <si>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</si>
  <si>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</si>
  <si>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</si>
  <si>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</si>
  <si>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</si>
  <si>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</si>
  <si>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</si>
  <si>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</si>
  <si>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</si>
  <si>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</si>
  <si>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</si>
  <si>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</si>
  <si>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</si>
  <si>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</si>
  <si>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</si>
  <si>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</si>
  <si>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</si>
  <si>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</si>
  <si>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</si>
  <si>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</si>
  <si>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</si>
  <si>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</si>
  <si>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</si>
  <si>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</si>
  <si>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</si>
  <si>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</si>
  <si>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</si>
  <si>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</si>
  <si>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</si>
  <si>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</si>
  <si>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</si>
  <si>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</si>
  <si>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</si>
  <si>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</si>
  <si>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</si>
  <si>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</si>
  <si>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</si>
  <si>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</si>
  <si>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</si>
  <si>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</si>
  <si>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</si>
  <si>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</si>
  <si>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</si>
  <si>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</si>
  <si>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</si>
  <si>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</si>
  <si>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</si>
  <si>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</si>
  <si>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</si>
  <si>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</si>
  <si>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</si>
  <si>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</si>
  <si>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</si>
  <si>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</si>
  <si>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</si>
  <si>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</si>
  <si>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</si>
  <si>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</si>
  <si>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</si>
  <si>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</si>
  <si>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</si>
  <si>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</si>
  <si>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</si>
  <si>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</si>
  <si>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</si>
  <si>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</si>
  <si>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</si>
  <si>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</si>
  <si>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</si>
  <si>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</si>
  <si>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</si>
  <si>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</si>
  <si>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</si>
  <si>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</si>
  <si>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</si>
  <si>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</si>
  <si>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</si>
  <si>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</si>
  <si>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</si>
  <si>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</si>
  <si>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</si>
  <si>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</si>
  <si>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</si>
  <si>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</si>
  <si>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</si>
  <si>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</si>
  <si>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</si>
  <si>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</si>
  <si>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</si>
  <si>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</si>
  <si>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</si>
  <si>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</si>
  <si>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</si>
  <si>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</si>
  <si>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</si>
  <si>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</si>
  <si>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</si>
  <si>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</si>
  <si>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</si>
  <si>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</si>
  <si>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</si>
  <si>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</si>
  <si>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</si>
  <si>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</si>
  <si>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</si>
  <si>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</si>
  <si>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</si>
  <si>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</si>
  <si>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</si>
  <si>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</si>
  <si>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</si>
  <si>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</si>
  <si>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</si>
  <si>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</si>
  <si>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</si>
  <si>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</si>
  <si>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</si>
  <si>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</si>
  <si>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</si>
  <si>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</si>
  <si>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</si>
  <si>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</si>
  <si>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</si>
  <si>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</si>
  <si>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</si>
  <si>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</si>
  <si>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</si>
  <si>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</si>
  <si>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</si>
  <si>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</si>
  <si>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</si>
  <si>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</si>
  <si>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</si>
  <si>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</si>
  <si>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</si>
  <si>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</si>
  <si>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</si>
  <si>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</si>
  <si>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</si>
  <si>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</si>
  <si>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</si>
  <si>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</si>
  <si>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</si>
  <si>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</si>
  <si>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</si>
  <si>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</si>
  <si>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</si>
  <si>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</si>
  <si>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</si>
  <si>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</si>
  <si>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</si>
  <si>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</si>
  <si>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</si>
  <si>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</si>
  <si>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</si>
  <si>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</si>
  <si>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</si>
  <si>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</si>
  <si>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</si>
  <si>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</si>
  <si>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</si>
  <si>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</si>
  <si>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</si>
  <si>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</si>
  <si>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</si>
  <si>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</si>
  <si>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</si>
  <si>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</si>
  <si>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</si>
  <si>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</si>
  <si>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</si>
  <si>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</si>
  <si>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</si>
  <si>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</si>
  <si>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</si>
  <si>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</si>
  <si>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</si>
  <si>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</si>
  <si>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</si>
  <si>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</si>
  <si>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</si>
  <si>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</si>
  <si>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</si>
  <si>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</si>
  <si>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</si>
  <si>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</si>
  <si>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</si>
  <si>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</si>
  <si>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</si>
  <si>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</si>
  <si>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</si>
  <si>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</si>
  <si>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</si>
  <si>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</si>
  <si>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</si>
  <si>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</si>
  <si>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</si>
  <si>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</si>
  <si>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</si>
  <si>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</si>
  <si>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</si>
  <si>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</si>
  <si>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</si>
  <si>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</si>
  <si>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</si>
  <si>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</si>
  <si>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</si>
  <si>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</si>
  <si>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</si>
  <si>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</si>
  <si>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</si>
  <si>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</si>
  <si>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</si>
  <si>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>Shakeel Store</t>
  </si>
  <si>
    <t>Address: Chungi Bazar</t>
  </si>
  <si>
    <t>Hikma Store</t>
  </si>
  <si>
    <t xml:space="preserve">Address: Paragon </t>
  </si>
  <si>
    <t xml:space="preserve">Hikma Shops </t>
  </si>
  <si>
    <t xml:space="preserve">Haji Mart </t>
  </si>
  <si>
    <t xml:space="preserve">Address: Green city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</si>
</sst>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H1" workbookViewId="0">
      <selection activeCell="U1" sqref="U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customWidth="1"/>
    <col min="12" max="12" width="9" customWidth="1"/>
    <col min="13" max="13" width="8" customWidth="1"/>
    <col min="14" max="14" width="9.1796875" style="61" customWidth="1"/>
    <col min="15" max="15" width="7.81640625" customWidth="1"/>
    <col min="16" max="16" width="6.6328125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514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v>46266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>Shakeel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Hikma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Hikma Shops </v>
      </c>
      <c r="T5" s="301">
        <f>+'3'!P35</f>
        <v>1881.7269510508474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Haji Mart </v>
      </c>
      <c r="T6" s="301">
        <f>+'4'!P35</f>
        <v>720.8084247864407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</v>
      </c>
      <c r="I10" s="236">
        <f t="shared" si="0"/>
        <v>871.68000000000006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69.734400000000008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30.508800000000004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771.43680000000006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164.74576271186442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4.6809128135593223</v>
      </c>
      <c r="P10" s="311">
        <f t="shared" si="2"/>
        <v>940.86347552542372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30</v>
      </c>
      <c r="R10" s="314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6</v>
      </c>
      <c r="I11" s="236">
        <f t="shared" si="0"/>
        <v>435.84000000000003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34.867200000000004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15.254400000000002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385.71840000000003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82.372881355932208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2.3404564067796612</v>
      </c>
      <c r="P11" s="311">
        <f t="shared" si="2"/>
        <v>470.43173776271186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20</v>
      </c>
      <c r="R11" s="314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</v>
      </c>
      <c r="I12" s="236">
        <f t="shared" si="0"/>
        <v>871.68000000000006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69.734400000000008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30.508800000000004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771.43680000000006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164.74576271186442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4.6809128135593223</v>
      </c>
      <c r="P12" s="311">
        <f t="shared" si="2"/>
        <v>940.86347552542372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30</v>
      </c>
      <c r="R12" s="314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6</v>
      </c>
      <c r="I13" s="236">
        <f t="shared" si="0"/>
        <v>235.38000000000002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11.769000000000002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8.2383000000000024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12.004380000000001</v>
      </c>
      <c r="M13" s="230">
        <f t="shared" si="1"/>
        <v>203.36832000000001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45.762711864406754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1.2456551593220337</v>
      </c>
      <c r="P13" s="311">
        <f t="shared" si="2"/>
        <v>250.37668702372881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80</v>
      </c>
      <c r="R13" s="314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0.9</v>
      </c>
      <c r="H16" s="113">
        <f t="shared" ref="H16:M16" si="3">SUM(H7:H15)</f>
        <v>36</v>
      </c>
      <c r="I16" s="114">
        <f t="shared" si="3"/>
        <v>2414.58</v>
      </c>
      <c r="J16" s="274">
        <f>SUM(J7:J15)</f>
        <v>186.10500000000002</v>
      </c>
      <c r="K16" s="275">
        <f t="shared" si="3"/>
        <v>84.510300000000001</v>
      </c>
      <c r="L16" s="276">
        <f t="shared" si="3"/>
        <v>12.004380000000001</v>
      </c>
      <c r="M16" s="232">
        <f t="shared" si="3"/>
        <v>2131.9603200000001</v>
      </c>
      <c r="N16" s="233">
        <f>SUM(N7:N15)</f>
        <v>457.62711864406782</v>
      </c>
      <c r="O16" s="101">
        <f>SUM(O7:O15)</f>
        <v>12.947937193220341</v>
      </c>
      <c r="P16" s="113">
        <f>SUM(P7:P15)</f>
        <v>2602.535375837288</v>
      </c>
      <c r="Q16" s="128">
        <f>SUM(Q7:Q15)</f>
        <v>160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2414.58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186.10500000000002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96.514679999999998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2131.9603200000001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457.62711864406782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2589.5874386440678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12.947937193220341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2602.535375837288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2602.535375837288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3" workbookViewId="0">
      <selection activeCell="H19" sqref="H19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Summary!H3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7.25" customHeight="1" x14ac:dyDescent="0.4">
      <c r="A6" s="398" t="s">
        <v>515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516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96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>
        <v>15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8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517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518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96">
        <v>15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96">
        <v>10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96">
        <v>15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96">
        <v>80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8.75" customHeight="1" x14ac:dyDescent="0.4">
      <c r="A6" s="398" t="s">
        <v>519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518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311">
        <f t="shared" si="5"/>
        <v>940.86347552542372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311">
        <f t="shared" si="5"/>
        <v>470.43173776271186</v>
      </c>
      <c r="Q20" s="156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311">
        <f t="shared" si="5"/>
        <v>470.43173776271186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24</v>
      </c>
      <c r="I25" s="114">
        <f t="shared" si="7"/>
        <v>1743.3600000000001</v>
      </c>
      <c r="J25" s="274">
        <f>SUM(J16:J24)</f>
        <v>139.46880000000002</v>
      </c>
      <c r="K25" s="275">
        <f t="shared" si="7"/>
        <v>61.017600000000009</v>
      </c>
      <c r="L25" s="276">
        <f t="shared" si="7"/>
        <v>0</v>
      </c>
      <c r="M25" s="232">
        <f t="shared" si="7"/>
        <v>1542.8736000000001</v>
      </c>
      <c r="N25" s="233">
        <f>SUM(N16:N24)</f>
        <v>329.49152542372883</v>
      </c>
      <c r="O25" s="101">
        <f>SUM(O16:O24)</f>
        <v>9.3618256271186446</v>
      </c>
      <c r="P25" s="113">
        <f>SUM(P16:P24)</f>
        <v>1881.7269510508474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1743.3600000000001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139.46880000000002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61.017600000000009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1542.8736000000001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329.49152542372883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1872.3651254237288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9.3618256271186446</v>
      </c>
    </row>
    <row r="35" spans="2:16" ht="15.75" customHeight="1" thickBot="1" x14ac:dyDescent="0.4">
      <c r="N35" s="344" t="s">
        <v>88</v>
      </c>
      <c r="O35" s="345"/>
      <c r="P35" s="297">
        <f>+P33+P34</f>
        <v>1881.7269510508474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sqref="A1:P3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520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521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311">
        <f t="shared" si="5"/>
        <v>470.43173776271186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6</v>
      </c>
      <c r="I22" s="236">
        <f t="shared" si="0"/>
        <v>235.38000000000002</v>
      </c>
      <c r="J22" s="272">
        <f t="shared" si="1"/>
        <v>11.769000000000002</v>
      </c>
      <c r="K22" s="128">
        <f t="shared" si="1"/>
        <v>8.2383000000000024</v>
      </c>
      <c r="L22" s="119">
        <f t="shared" si="1"/>
        <v>12.004380000000001</v>
      </c>
      <c r="M22" s="230">
        <f t="shared" si="2"/>
        <v>203.36832000000001</v>
      </c>
      <c r="N22" s="277">
        <f t="shared" si="3"/>
        <v>45.762711864406754</v>
      </c>
      <c r="O22" s="239">
        <f t="shared" si="4"/>
        <v>1.2456551593220337</v>
      </c>
      <c r="P22" s="311">
        <f t="shared" si="5"/>
        <v>250.37668702372881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12</v>
      </c>
      <c r="I25" s="114">
        <f t="shared" si="7"/>
        <v>671.22</v>
      </c>
      <c r="J25" s="274">
        <f>SUM(J16:J24)</f>
        <v>46.636200000000002</v>
      </c>
      <c r="K25" s="275">
        <f t="shared" si="7"/>
        <v>23.492700000000006</v>
      </c>
      <c r="L25" s="276">
        <f t="shared" si="7"/>
        <v>12.004380000000001</v>
      </c>
      <c r="M25" s="232">
        <f t="shared" si="7"/>
        <v>589.08672000000001</v>
      </c>
      <c r="N25" s="233">
        <f>SUM(N16:N24)</f>
        <v>128.13559322033896</v>
      </c>
      <c r="O25" s="101">
        <f>SUM(O16:O24)</f>
        <v>3.5861115661016951</v>
      </c>
      <c r="P25" s="113">
        <f>SUM(P16:P24)</f>
        <v>720.8084247864407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671.22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46.636200000000002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35.497080000000011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589.08672000000001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128.13559322033896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717.22231322033895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3.5861115661016947</v>
      </c>
    </row>
    <row r="35" spans="2:16" ht="15.75" customHeight="1" thickBot="1" x14ac:dyDescent="0.4">
      <c r="N35" s="344" t="s">
        <v>88</v>
      </c>
      <c r="O35" s="345"/>
      <c r="P35" s="297">
        <f>+P33+P34</f>
        <v>720.8084247864407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Jabbar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46269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46268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2026-09-03T04:34:47Z</dcterms:modified>
</cp:coreProperties>
</file>