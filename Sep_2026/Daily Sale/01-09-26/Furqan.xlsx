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D94B155-8FCA-4355-A431-BC3437580EEE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7" l="1"/>
  <c r="N6" i="43"/>
  <c r="N6" i="44"/>
  <c r="N6" i="45"/>
  <c r="N6" i="46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7"/>
  <c r="O21" i="47" s="1"/>
  <c r="P21" i="47" s="1"/>
  <c r="M16" i="44"/>
  <c r="M22" i="43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<sst xmlns="http://schemas.openxmlformats.org/spreadsheetml/2006/main" count="3948" uniqueCount="525">
  <si>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</si>
  <si>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</si>
  <si>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</si>
  <si>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</si>
  <si>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</si>
  <si>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</si>
  <si>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</si>
  <si>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</si>
  <si>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</si>
  <si>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</si>
  <si>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</si>
  <si>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</si>
  <si>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</si>
  <si>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</si>
  <si>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</si>
  <si>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</si>
  <si>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</si>
  <si>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</si>
  <si>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</si>
  <si>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</si>
  <si>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</si>
  <si>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</si>
  <si>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</si>
  <si>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</si>
  <si>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</si>
  <si>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</si>
  <si>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</si>
  <si>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</si>
  <si>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</si>
  <si>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</si>
  <si>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</si>
  <si>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</si>
  <si>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</si>
  <si>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</si>
  <si>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</si>
  <si>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</si>
  <si>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</si>
  <si>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</si>
  <si>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</si>
  <si>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</si>
  <si>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</si>
  <si>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</si>
  <si>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</si>
  <si>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</si>
  <si>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</si>
  <si>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</si>
  <si>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</si>
  <si>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</si>
  <si>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</si>
  <si>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</si>
  <si>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</si>
  <si>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</si>
  <si>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</si>
  <si>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</si>
  <si>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</si>
  <si>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</si>
  <si>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</si>
  <si>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</si>
  <si>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</si>
  <si>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</si>
  <si>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</si>
  <si>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</si>
  <si>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</si>
  <si>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</si>
  <si>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</si>
  <si>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</si>
  <si>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</si>
  <si>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</si>
  <si>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</si>
  <si>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</si>
  <si>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</si>
  <si>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</si>
  <si>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</si>
  <si>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</si>
  <si>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</si>
  <si>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</si>
  <si>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</si>
  <si>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</si>
  <si>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</si>
  <si>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</si>
  <si>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</si>
  <si>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</si>
  <si>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</si>
  <si>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</si>
  <si>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</si>
  <si>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</si>
  <si>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</si>
  <si>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</si>
  <si>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</si>
  <si>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</si>
  <si>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</si>
  <si>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</si>
  <si>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</si>
  <si>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</si>
  <si>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</si>
  <si>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</si>
  <si>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</si>
  <si>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</si>
  <si>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</si>
  <si>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</si>
  <si>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</si>
  <si>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</si>
  <si>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</si>
  <si>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</si>
  <si>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</si>
  <si>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</si>
  <si>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</si>
  <si>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</si>
  <si>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</si>
  <si>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</si>
  <si>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</si>
  <si>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</si>
  <si>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</si>
  <si>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</si>
  <si>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</si>
  <si>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</si>
  <si>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</si>
  <si>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</si>
  <si>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</si>
  <si>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</si>
  <si>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</si>
  <si>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</si>
  <si>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</si>
  <si>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</si>
  <si>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</si>
  <si>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</si>
  <si>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</si>
  <si>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</si>
  <si>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</si>
  <si>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</si>
  <si>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</si>
  <si>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</si>
  <si>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</si>
  <si>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</si>
  <si>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</si>
  <si>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</si>
  <si>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</si>
  <si>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</si>
  <si>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</si>
  <si>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</si>
  <si>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</si>
  <si>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</si>
  <si>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</si>
  <si>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</si>
  <si>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</si>
  <si>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</si>
  <si>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</si>
  <si>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</si>
  <si>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</si>
  <si>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</si>
  <si>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</si>
  <si>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</si>
  <si>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</si>
  <si>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</si>
  <si>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</si>
  <si>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</si>
  <si>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</si>
  <si>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</si>
  <si>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</si>
  <si>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</si>
  <si>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</si>
  <si>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</si>
  <si>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</si>
  <si>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</si>
  <si>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</si>
  <si>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</si>
  <si>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</si>
  <si>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</si>
  <si>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</si>
  <si>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</si>
  <si>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</si>
  <si>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</si>
  <si>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</si>
  <si>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</si>
  <si>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</si>
  <si>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</si>
  <si>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</si>
  <si>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</si>
  <si>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</si>
  <si>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</si>
  <si>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</si>
  <si>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</si>
  <si>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</si>
  <si>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</si>
  <si>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</si>
  <si>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</si>
  <si>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</si>
  <si>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</si>
  <si>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</si>
  <si>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</si>
  <si>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</si>
  <si>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</si>
  <si>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</si>
  <si>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</si>
  <si>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</si>
  <si>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</si>
  <si>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</si>
  <si>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</si>
  <si>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</si>
  <si>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</si>
  <si>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</si>
  <si>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</si>
  <si>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</si>
  <si>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</si>
  <si>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</si>
  <si>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</si>
  <si>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</si>
  <si>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</si>
  <si>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</si>
  <si>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</si>
  <si>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</si>
  <si>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</si>
  <si>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</si>
  <si>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</si>
  <si>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</si>
  <si>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</si>
  <si>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</si>
  <si>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</si>
  <si>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</si>
  <si>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</si>
  <si>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</si>
  <si>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</si>
  <si>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</si>
  <si>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</si>
  <si>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</si>
  <si>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</si>
  <si>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</si>
  <si>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</si>
  <si>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</si>
  <si>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</si>
  <si>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</si>
  <si>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</si>
  <si>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</si>
  <si>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</si>
  <si>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</si>
  <si>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</si>
  <si>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</si>
  <si>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</si>
  <si>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</si>
  <si>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</si>
  <si>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</si>
  <si>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</si>
  <si>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</si>
  <si>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</si>
  <si>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</si>
  <si>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</si>
  <si>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</si>
  <si>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</si>
  <si>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</si>
  <si>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</si>
  <si>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</si>
  <si>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</si>
  <si>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</si>
  <si>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</si>
  <si>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</si>
  <si>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</si>
  <si>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</si>
  <si>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</si>
  <si>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</si>
  <si>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</si>
  <si>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</si>
  <si>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</si>
  <si>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</si>
  <si>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</si>
  <si>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</si>
  <si>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</si>
  <si>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</si>
  <si>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</si>
  <si>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</si>
  <si>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</si>
  <si>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</si>
  <si>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</si>
  <si>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</si>
  <si>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</si>
  <si>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</si>
  <si>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</si>
  <si>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</si>
  <si>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</si>
  <si>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</si>
  <si>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</si>
  <si>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</si>
  <si>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</si>
  <si>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</si>
  <si>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</si>
  <si>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</si>
  <si>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</si>
  <si>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</si>
  <si>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</si>
  <si>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</si>
  <si>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</si>
  <si>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</si>
  <si>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</si>
  <si>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</si>
  <si>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</si>
  <si>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</si>
  <si>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</si>
  <si>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</si>
  <si>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</si>
  <si>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</si>
  <si>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</si>
  <si>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</si>
  <si>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</si>
  <si>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</si>
  <si>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</si>
  <si>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</si>
  <si>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</si>
  <si>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</si>
  <si>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</si>
  <si>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</si>
  <si>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</si>
  <si>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</si>
  <si>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</si>
  <si>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</si>
  <si>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</si>
  <si>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</si>
  <si>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</si>
  <si>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</si>
  <si>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</si>
  <si>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</si>
  <si>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</si>
  <si>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</si>
  <si>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</si>
  <si>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</si>
  <si>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</si>
  <si>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</si>
  <si>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</si>
  <si>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</si>
  <si>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</si>
  <si>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</si>
  <si>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</si>
  <si>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</si>
  <si>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</si>
  <si>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</si>
  <si>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</si>
  <si>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</si>
  <si>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</si>
  <si>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</si>
  <si>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</si>
  <si>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</si>
  <si>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</si>
  <si>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</si>
  <si>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</si>
  <si>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</si>
  <si>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</si>
  <si>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</si>
  <si>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</si>
  <si>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</si>
  <si>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</si>
  <si>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</si>
  <si>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</si>
  <si>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</si>
  <si>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</si>
  <si>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</si>
  <si>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</si>
  <si>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</si>
  <si>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</si>
  <si>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</si>
  <si>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</si>
  <si>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</si>
  <si>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</si>
  <si>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</si>
  <si>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</si>
  <si>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</si>
  <si>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</si>
  <si>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</si>
  <si>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</si>
  <si>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</si>
  <si>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</si>
  <si>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</si>
  <si>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</si>
  <si>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</si>
  <si>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</si>
  <si>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</si>
  <si>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</si>
  <si>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</si>
  <si>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</si>
  <si>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</si>
  <si>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</si>
  <si>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</si>
  <si>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</si>
  <si>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</si>
  <si>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</si>
  <si>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</si>
  <si>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</si>
  <si>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</si>
  <si>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</si>
  <si>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</si>
  <si>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</si>
  <si>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</si>
  <si>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</si>
  <si>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</si>
  <si>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</si>
  <si>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</si>
  <si>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</si>
  <si>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</si>
  <si>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</si>
  <si>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</si>
  <si>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</si>
  <si>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</si>
  <si>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</si>
  <si>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</si>
  <si>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</si>
  <si>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</si>
  <si>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</si>
  <si>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</si>
  <si>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</si>
  <si>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</si>
  <si>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</si>
  <si>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</si>
  <si>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</si>
  <si>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</si>
  <si>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</si>
  <si>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</si>
  <si>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</si>
  <si>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</si>
  <si>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</si>
  <si>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</si>
  <si>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</si>
  <si>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</si>
  <si>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</si>
  <si>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</si>
  <si>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</si>
  <si>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</si>
  <si>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</si>
  <si>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</si>
  <si>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</si>
  <si>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</si>
  <si>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</si>
  <si>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</si>
  <si>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</si>
  <si>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</si>
  <si>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</si>
  <si>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</si>
  <si>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</si>
  <si>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</si>
  <si>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</si>
  <si>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</si>
  <si>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</si>
  <si>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</si>
  <si>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</si>
  <si>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</si>
  <si>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</si>
  <si>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</si>
  <si>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</si>
  <si>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</si>
  <si>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</si>
  <si>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</si>
  <si>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</si>
  <si>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</si>
  <si>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</si>
  <si>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</si>
  <si>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</si>
  <si>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</si>
  <si>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</si>
  <si>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</si>
  <si>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</si>
  <si>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</si>
  <si>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</si>
  <si>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</si>
  <si>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</si>
  <si>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</si>
  <si>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</si>
  <si>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</si>
  <si>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</si>
  <si>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</si>
  <si>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</si>
  <si>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</si>
  <si>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</si>
  <si>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</si>
  <si>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</si>
  <si>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</si>
  <si>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</si>
  <si>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</si>
  <si>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</si>
  <si>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</si>
  <si>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</si>
  <si>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</si>
  <si>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</si>
  <si>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</si>
  <si>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</si>
  <si>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</si>
  <si>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</si>
  <si>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</si>
  <si>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</si>
  <si>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</si>
  <si>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</si>
  <si>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</si>
  <si>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</si>
  <si>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</si>
  <si>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</si>
  <si>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</si>
  <si>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</si>
  <si>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</si>
  <si>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</si>
  <si>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</si>
  <si>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</si>
  <si>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</si>
  <si>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</si>
  <si>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</si>
  <si>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</si>
  <si>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</si>
  <si>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</si>
  <si>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</si>
  <si>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</si>
  <si>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</si>
  <si>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</si>
  <si>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</si>
  <si>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</si>
  <si>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</si>
  <si>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</si>
  <si>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</si>
  <si>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</si>
  <si>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</si>
  <si>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</si>
  <si>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</si>
  <si>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Khan Store</t>
  </si>
  <si>
    <t>Address: A Block LDA Flats</t>
  </si>
  <si>
    <t xml:space="preserve">Prince Bakery </t>
  </si>
  <si>
    <t xml:space="preserve">Address: B block Oposite muhamdia </t>
  </si>
  <si>
    <t xml:space="preserve">Kashmir Bakery </t>
  </si>
  <si>
    <t xml:space="preserve">Address: B Block </t>
  </si>
  <si>
    <t>Mian Gs</t>
  </si>
  <si>
    <t>Noor Gs</t>
  </si>
  <si>
    <t xml:space="preserve">Address: LDA Quarter Sah Jamal Town B Block </t>
  </si>
  <si>
    <t>Umer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</si>
</sst>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Khan Store</v>
      </c>
      <c r="T3" s="301">
        <f>+'1'!P35</f>
        <v>853.74747530084755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Prince Bakery 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Kashmir Bakery </v>
      </c>
      <c r="T5" s="301">
        <f>+'3'!P35</f>
        <v>11802.688488991524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Mian Gs</v>
      </c>
      <c r="T6" s="301">
        <f>+'4'!P35</f>
        <v>1669.1779134915255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Noor Gs</v>
      </c>
      <c r="T7" s="301">
        <f>+'5'!P35</f>
        <v>707.04410814152538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48</v>
      </c>
      <c r="I8" s="236">
        <f t="shared" ref="I8:I14" si="0">(G8*D8)*F8+H8*F8</f>
        <v>2518.1999999999998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201.45600000000002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88.137000000000015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2228.607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475.93220338983031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13.522696016949151</v>
      </c>
      <c r="P8" s="311">
        <f t="shared" ref="P8:P15" si="2">M8+N8+O8</f>
        <v>2718.0618994067795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Umer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</v>
      </c>
      <c r="I10" s="236">
        <f t="shared" si="0"/>
        <v>581.12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46.489600000000003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20.339200000000002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514.2912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109.83050847457628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3.1206085423728815</v>
      </c>
      <c r="P10" s="311">
        <f t="shared" si="2"/>
        <v>627.24231701694919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</v>
      </c>
      <c r="I12" s="236">
        <f t="shared" si="0"/>
        <v>290.56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23.244800000000001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10.169600000000001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257.1456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54.915254237288138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1.5603042711864408</v>
      </c>
      <c r="P12" s="311">
        <f t="shared" si="2"/>
        <v>313.62115850847459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176</v>
      </c>
      <c r="I13" s="236">
        <f t="shared" si="0"/>
        <v>6904.4800000000005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345.22400000000005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241.65680000000006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352.12848000000002</v>
      </c>
      <c r="M13" s="230">
        <f t="shared" si="1"/>
        <v>5965.4707200000003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1342.3728813559314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36.539218006779663</v>
      </c>
      <c r="P13" s="311">
        <f t="shared" si="2"/>
        <v>7344.3828193627105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7.9</v>
      </c>
      <c r="H16" s="113">
        <f t="shared" ref="H16:M16" si="3">SUM(H7:H15)</f>
        <v>316</v>
      </c>
      <c r="I16" s="114">
        <f t="shared" si="3"/>
        <v>14491.36</v>
      </c>
      <c r="J16" s="274">
        <f>SUM(J7:J15)</f>
        <v>952.17440000000011</v>
      </c>
      <c r="K16" s="275">
        <f t="shared" si="3"/>
        <v>507.19760000000008</v>
      </c>
      <c r="L16" s="276">
        <f t="shared" si="3"/>
        <v>352.12848000000002</v>
      </c>
      <c r="M16" s="232">
        <f t="shared" si="3"/>
        <v>12679.85952</v>
      </c>
      <c r="N16" s="233">
        <f>SUM(N7:N15)</f>
        <v>2776.2711864406765</v>
      </c>
      <c r="O16" s="101">
        <f>SUM(O7:O15)</f>
        <v>77.280653532203388</v>
      </c>
      <c r="P16" s="113">
        <f>SUM(P7:P15)</f>
        <v>15533.411359972881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14491.36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952.17440000000011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859.32608000000005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12679.85952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2776.2711864406765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15456.130706440676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77.280653532203388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15533.411359972879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15533.411359972879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790.97</v>
      </c>
      <c r="J25" s="274">
        <f>SUM(J16:J24)</f>
        <v>63.277600000000007</v>
      </c>
      <c r="K25" s="275">
        <f t="shared" si="10"/>
        <v>27.683950000000003</v>
      </c>
      <c r="L25" s="276">
        <f t="shared" si="10"/>
        <v>0</v>
      </c>
      <c r="M25" s="232">
        <f t="shared" si="10"/>
        <v>700.00845000000004</v>
      </c>
      <c r="N25" s="233">
        <f>SUM(N16:N24)</f>
        <v>149.4915254237288</v>
      </c>
      <c r="O25" s="101">
        <f>SUM(O16:O24)</f>
        <v>4.2474998771186439</v>
      </c>
      <c r="P25" s="113">
        <f>SUM(P16:P24)</f>
        <v>853.74747530084733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790.97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63.277600000000007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27.683950000000003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700.00845000000004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149.4915254237288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849.49997542372887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4.2474998771186447</v>
      </c>
    </row>
    <row r="35" spans="2:16" ht="15.75" customHeight="1" thickBot="1" x14ac:dyDescent="0.4">
      <c r="N35" s="344" t="s">
        <v>88</v>
      </c>
      <c r="O35" s="345"/>
      <c r="P35" s="297">
        <f>+P33+P34</f>
        <v>853.74747530084755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11003.1</v>
      </c>
      <c r="J25" s="274">
        <f>SUM(J16:J24)</f>
        <v>739.02</v>
      </c>
      <c r="K25" s="275">
        <f t="shared" si="7"/>
        <v>385.10850000000005</v>
      </c>
      <c r="L25" s="276">
        <f t="shared" si="7"/>
        <v>240.08760000000001</v>
      </c>
      <c r="M25" s="232">
        <f t="shared" si="7"/>
        <v>9638.8839000000007</v>
      </c>
      <c r="N25" s="233">
        <f>SUM(N16:N24)</f>
        <v>2105.0847457627106</v>
      </c>
      <c r="O25" s="101">
        <f>SUM(O16:O24)</f>
        <v>58.719843228813559</v>
      </c>
      <c r="P25" s="113">
        <f>SUM(P16:P24)</f>
        <v>11802.688488991524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11003.1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739.02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625.19610000000011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9638.8839000000007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2105.0847457627106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11743.96864576271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58.719843228813552</v>
      </c>
    </row>
    <row r="35" spans="2:16" ht="15.75" customHeight="1" thickBot="1" x14ac:dyDescent="0.4">
      <c r="N35" s="344" t="s">
        <v>88</v>
      </c>
      <c r="O35" s="345"/>
      <c r="P35" s="297">
        <f>+P33+P34</f>
        <v>11802.688488991524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657.32999999999993</v>
      </c>
      <c r="J25" s="274">
        <f>SUM(J16:J24)</f>
        <v>47.878800000000005</v>
      </c>
      <c r="K25" s="275">
        <f t="shared" si="7"/>
        <v>23.006550000000001</v>
      </c>
      <c r="L25" s="276">
        <f t="shared" si="7"/>
        <v>8.0029199999999996</v>
      </c>
      <c r="M25" s="232">
        <f t="shared" si="7"/>
        <v>578.44173000000001</v>
      </c>
      <c r="N25" s="233">
        <f>SUM(N16:N24)</f>
        <v>125.08474576271183</v>
      </c>
      <c r="O25" s="101">
        <f>SUM(O16:O24)</f>
        <v>3.5176323788135591</v>
      </c>
      <c r="P25" s="113">
        <f>SUM(P16:P24)</f>
        <v>707.04410814152538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657.32999999999993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47.878800000000005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31.00947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578.44173000000001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125.08474576271183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703.52647576271181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3.5176323788135591</v>
      </c>
    </row>
    <row r="35" spans="2:16" ht="15.75" customHeight="1" thickBot="1" x14ac:dyDescent="0.4">
      <c r="N35" s="344" t="s">
        <v>88</v>
      </c>
      <c r="O35" s="345"/>
      <c r="P35" s="297">
        <f>+P33+P34</f>
        <v>707.04410814152538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2026-09-01T12:51:19Z</dcterms:modified>
</cp:coreProperties>
</file>