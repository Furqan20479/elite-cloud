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53ACDAC-B3B8-409C-962A-766A44F54B9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<sst xmlns="http://schemas.openxmlformats.org/spreadsheetml/2006/main" count="3948" uniqueCount="522">
  <si>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</si>
  <si>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</si>
  <si>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</si>
  <si>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</si>
  <si>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</si>
  <si>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</si>
  <si>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</si>
  <si>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</si>
  <si>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</si>
  <si>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</si>
  <si>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</si>
  <si>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</si>
  <si>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</si>
  <si>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</si>
  <si>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</si>
  <si>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</si>
  <si>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</si>
  <si>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</si>
  <si>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</si>
  <si>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</si>
  <si>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</si>
  <si>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</si>
  <si>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</si>
  <si>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</si>
  <si>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</si>
  <si>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</si>
  <si>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</si>
  <si>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</si>
  <si>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</si>
  <si>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</si>
  <si>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</si>
  <si>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</si>
  <si>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</si>
  <si>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</si>
  <si>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</si>
  <si>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</si>
  <si>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</si>
  <si>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</si>
  <si>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</si>
  <si>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</si>
  <si>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</si>
  <si>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</si>
  <si>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</si>
  <si>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</si>
  <si>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</si>
  <si>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</si>
  <si>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</si>
  <si>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</si>
  <si>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</si>
  <si>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</si>
  <si>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</si>
  <si>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</si>
  <si>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</si>
  <si>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</si>
  <si>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</si>
  <si>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</si>
  <si>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</si>
  <si>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</si>
  <si>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</si>
  <si>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</si>
  <si>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</si>
  <si>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</si>
  <si>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</si>
  <si>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</si>
  <si>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</si>
  <si>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</si>
  <si>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</si>
  <si>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</si>
  <si>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</si>
  <si>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</si>
  <si>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</si>
  <si>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</si>
  <si>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</si>
  <si>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</si>
  <si>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</si>
  <si>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</si>
  <si>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</si>
  <si>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</si>
  <si>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</si>
  <si>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</si>
  <si>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</si>
  <si>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</si>
  <si>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</si>
  <si>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</si>
  <si>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</si>
  <si>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</si>
  <si>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</si>
  <si>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</si>
  <si>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</si>
  <si>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</si>
  <si>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</si>
  <si>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</si>
  <si>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</si>
  <si>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</si>
  <si>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</si>
  <si>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</si>
  <si>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</si>
  <si>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</si>
  <si>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</si>
  <si>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</si>
  <si>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</si>
  <si>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</si>
  <si>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</si>
  <si>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</si>
  <si>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</si>
  <si>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</si>
  <si>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</si>
  <si>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</si>
  <si>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</si>
  <si>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</si>
  <si>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</si>
  <si>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</si>
  <si>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</si>
  <si>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</si>
  <si>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</si>
  <si>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</si>
  <si>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</si>
  <si>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</si>
  <si>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</si>
  <si>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</si>
  <si>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</si>
  <si>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</si>
  <si>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</si>
  <si>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</si>
  <si>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</si>
  <si>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</si>
  <si>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</si>
  <si>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</si>
  <si>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</si>
  <si>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</si>
  <si>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</si>
  <si>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</si>
  <si>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</si>
  <si>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</si>
  <si>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</si>
  <si>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</si>
  <si>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</si>
  <si>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</si>
  <si>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</si>
  <si>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</si>
  <si>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</si>
  <si>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</si>
  <si>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</si>
  <si>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</si>
  <si>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</si>
  <si>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</si>
  <si>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</si>
  <si>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</si>
  <si>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</si>
  <si>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</si>
  <si>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</si>
  <si>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</si>
  <si>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</si>
  <si>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</si>
  <si>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</si>
  <si>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</si>
  <si>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</si>
  <si>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</si>
  <si>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</si>
  <si>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</si>
  <si>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</si>
  <si>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</si>
  <si>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</si>
  <si>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</si>
  <si>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</si>
  <si>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</si>
  <si>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</si>
  <si>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</si>
  <si>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</si>
  <si>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</si>
  <si>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</si>
  <si>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</si>
  <si>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</si>
  <si>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</si>
  <si>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</si>
  <si>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</si>
  <si>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</si>
  <si>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</si>
  <si>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</si>
  <si>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</si>
  <si>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</si>
  <si>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</si>
  <si>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</si>
  <si>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</si>
  <si>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</si>
  <si>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</si>
  <si>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</si>
  <si>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</si>
  <si>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</si>
  <si>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</si>
  <si>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</si>
  <si>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</si>
  <si>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</si>
  <si>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</si>
  <si>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</si>
  <si>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</si>
  <si>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</si>
  <si>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</si>
  <si>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</si>
  <si>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</si>
  <si>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</si>
  <si>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</si>
  <si>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</si>
  <si>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</si>
  <si>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</si>
  <si>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</si>
  <si>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</si>
  <si>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</si>
  <si>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</si>
  <si>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</si>
  <si>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</si>
  <si>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</si>
  <si>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</si>
  <si>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</si>
  <si>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</si>
  <si>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</si>
  <si>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</si>
  <si>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</si>
  <si>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</si>
  <si>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</si>
  <si>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</si>
  <si>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</si>
  <si>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</si>
  <si>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</si>
  <si>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</si>
  <si>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</si>
  <si>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</si>
  <si>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</si>
  <si>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</si>
  <si>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</si>
  <si>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</si>
  <si>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</si>
  <si>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</si>
  <si>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</si>
  <si>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</si>
  <si>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</si>
  <si>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</si>
  <si>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</si>
  <si>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</si>
  <si>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</si>
  <si>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</si>
  <si>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</si>
  <si>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</si>
  <si>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</si>
  <si>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</si>
  <si>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</si>
  <si>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</si>
  <si>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</si>
  <si>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</si>
  <si>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</si>
  <si>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</si>
  <si>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</si>
  <si>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</si>
  <si>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</si>
  <si>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</si>
  <si>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</si>
  <si>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</si>
  <si>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</si>
  <si>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</si>
  <si>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</si>
  <si>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</si>
  <si>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</si>
  <si>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</si>
  <si>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</si>
  <si>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</si>
  <si>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</si>
  <si>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</si>
  <si>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</si>
  <si>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</si>
  <si>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</si>
  <si>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</si>
  <si>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</si>
  <si>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</si>
  <si>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</si>
  <si>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</si>
  <si>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</si>
  <si>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</si>
  <si>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</si>
  <si>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</si>
  <si>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</si>
  <si>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</si>
  <si>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</si>
  <si>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</si>
  <si>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</si>
  <si>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</si>
  <si>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</si>
  <si>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</si>
  <si>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</si>
  <si>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</si>
  <si>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</si>
  <si>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</si>
  <si>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</si>
  <si>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</si>
  <si>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</si>
  <si>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</si>
  <si>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</si>
  <si>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</si>
  <si>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</si>
  <si>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</si>
  <si>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</si>
  <si>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</si>
  <si>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</si>
  <si>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</si>
  <si>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</si>
  <si>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</si>
  <si>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</si>
  <si>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</si>
  <si>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</si>
  <si>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</si>
  <si>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</si>
  <si>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</si>
  <si>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</si>
  <si>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</si>
  <si>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</si>
  <si>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</si>
  <si>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</si>
  <si>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</si>
  <si>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</si>
  <si>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</si>
  <si>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</si>
  <si>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</si>
  <si>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</si>
  <si>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</si>
  <si>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</si>
  <si>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</si>
  <si>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</si>
  <si>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</si>
  <si>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</si>
  <si>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</si>
  <si>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</si>
  <si>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</si>
  <si>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</si>
  <si>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</si>
  <si>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</si>
  <si>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</si>
  <si>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</si>
  <si>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</si>
  <si>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</si>
  <si>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</si>
  <si>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</si>
  <si>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</si>
  <si>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</si>
  <si>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</si>
  <si>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</si>
  <si>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</si>
  <si>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</si>
  <si>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</si>
  <si>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</si>
  <si>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</si>
  <si>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</si>
  <si>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</si>
  <si>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</si>
  <si>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</si>
  <si>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</si>
  <si>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</si>
  <si>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</si>
  <si>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</si>
  <si>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</si>
  <si>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</si>
  <si>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</si>
  <si>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</si>
  <si>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</si>
  <si>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</si>
  <si>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</si>
  <si>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</si>
  <si>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</si>
  <si>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</si>
  <si>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</si>
  <si>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</si>
  <si>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</si>
  <si>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</si>
  <si>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</si>
  <si>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</si>
  <si>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</si>
  <si>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</si>
  <si>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</si>
  <si>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</si>
  <si>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</si>
  <si>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</si>
  <si>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</si>
  <si>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</si>
  <si>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</si>
  <si>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</si>
  <si>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</si>
  <si>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</si>
  <si>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</si>
  <si>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</si>
  <si>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</si>
  <si>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</si>
  <si>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</si>
  <si>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</si>
  <si>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</si>
  <si>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</si>
  <si>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</si>
  <si>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</si>
  <si>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</si>
  <si>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</si>
  <si>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</si>
  <si>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</si>
  <si>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</si>
  <si>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</si>
  <si>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</si>
  <si>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</si>
  <si>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</si>
  <si>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</si>
  <si>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</si>
  <si>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</si>
  <si>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</si>
  <si>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</si>
  <si>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</si>
  <si>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</si>
  <si>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</si>
  <si>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</si>
  <si>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</si>
  <si>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</si>
  <si>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</si>
  <si>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</si>
  <si>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</si>
  <si>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</si>
  <si>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</si>
  <si>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</si>
  <si>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</si>
  <si>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</si>
  <si>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</si>
  <si>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</si>
  <si>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</si>
  <si>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</si>
  <si>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</si>
  <si>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</si>
  <si>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</si>
  <si>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</si>
  <si>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</si>
  <si>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</si>
  <si>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</si>
  <si>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</si>
  <si>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</si>
  <si>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</si>
  <si>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</si>
  <si>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</si>
  <si>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</si>
  <si>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</si>
  <si>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</si>
  <si>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</si>
  <si>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</si>
  <si>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</si>
  <si>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</si>
  <si>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</si>
  <si>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</si>
  <si>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</si>
  <si>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</si>
  <si>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</si>
  <si>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</si>
  <si>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</si>
  <si>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</si>
  <si>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</si>
  <si>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</si>
  <si>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</si>
  <si>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</si>
  <si>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</si>
  <si>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</si>
  <si>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</si>
  <si>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</si>
  <si>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</si>
  <si>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</si>
  <si>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</si>
  <si>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</si>
  <si>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</si>
  <si>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</si>
  <si>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</si>
  <si>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</si>
  <si>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</si>
  <si>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</si>
  <si>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</si>
  <si>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</si>
  <si>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</si>
  <si>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</si>
  <si>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</si>
  <si>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</si>
  <si>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</si>
  <si>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</si>
  <si>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</si>
  <si>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</si>
  <si>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</si>
  <si>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</si>
  <si>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</si>
  <si>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</si>
  <si>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</si>
  <si>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</si>
  <si>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</si>
  <si>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</si>
  <si>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</si>
  <si>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</si>
  <si>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</si>
  <si>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</si>
  <si>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</si>
  <si>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</si>
  <si>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</si>
  <si>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</si>
  <si>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</si>
  <si>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</si>
  <si>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</si>
  <si>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</si>
  <si>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</si>
  <si>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</si>
  <si>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</si>
  <si>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</si>
  <si>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</si>
  <si>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</si>
  <si>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</si>
  <si>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</si>
  <si>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</si>
  <si>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</si>
  <si>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</si>
  <si>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</si>
  <si>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</si>
  <si>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Shakeel Store</t>
  </si>
  <si>
    <t>Address: Chungi Bazar</t>
  </si>
  <si>
    <t>Hikma Store</t>
  </si>
  <si>
    <t xml:space="preserve">Address: Paragon </t>
  </si>
  <si>
    <t xml:space="preserve">Hikma Shops </t>
  </si>
  <si>
    <t xml:space="preserve">Haji Mart </t>
  </si>
  <si>
    <t xml:space="preserve">Address: Green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</si>
</sst>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J39" sqref="J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46266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Shakeel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Hikma Store</v>
      </c>
      <c r="T4" s="301">
        <f>+'2'!P35</f>
        <v>6474.5674120677959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Hikma Shops </v>
      </c>
      <c r="T5" s="301">
        <f>+'3'!P35</f>
        <v>1881.7269510508474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Haji Mart </v>
      </c>
      <c r="T6" s="301">
        <f>+'4'!P35</f>
        <v>720.8084247864407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42</v>
      </c>
      <c r="I10" s="236">
        <f t="shared" si="0"/>
        <v>3050.88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244.07040000000001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106.78080000000001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2700.0288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576.61016949152554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16.383194847457627</v>
      </c>
      <c r="P10" s="311">
        <f t="shared" si="2"/>
        <v>3293.0221643389832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26</v>
      </c>
      <c r="I11" s="236">
        <f t="shared" si="0"/>
        <v>1888.64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151.09120000000001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66.102400000000003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1671.4464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356.94915254237287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10.141977762711864</v>
      </c>
      <c r="P11" s="311">
        <f t="shared" si="2"/>
        <v>2038.5375303050848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42</v>
      </c>
      <c r="I12" s="236">
        <f t="shared" si="0"/>
        <v>3050.88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244.07039999999998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106.78080000000001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2700.0288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576.61016949152554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16.383194847457627</v>
      </c>
      <c r="P12" s="311">
        <f t="shared" si="2"/>
        <v>3293.0221643389832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86</v>
      </c>
      <c r="I13" s="236">
        <f t="shared" si="0"/>
        <v>3373.78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168.68900000000005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118.08230000000003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172.06278</v>
      </c>
      <c r="M13" s="230">
        <f t="shared" si="1"/>
        <v>2914.9459200000001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655.93220338983019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17.854390616949154</v>
      </c>
      <c r="P13" s="311">
        <f t="shared" si="2"/>
        <v>3588.7325140067796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4.9000000000000004</v>
      </c>
      <c r="H16" s="113">
        <f t="shared" ref="H16:M16" si="3">SUM(H7:H15)</f>
        <v>196</v>
      </c>
      <c r="I16" s="114">
        <f t="shared" si="3"/>
        <v>11364.18</v>
      </c>
      <c r="J16" s="274">
        <f>SUM(J7:J15)</f>
        <v>807.92100000000005</v>
      </c>
      <c r="K16" s="275">
        <f t="shared" si="3"/>
        <v>397.74630000000008</v>
      </c>
      <c r="L16" s="276">
        <f t="shared" si="3"/>
        <v>172.06278</v>
      </c>
      <c r="M16" s="232">
        <f t="shared" si="3"/>
        <v>9986.4499199999991</v>
      </c>
      <c r="N16" s="233">
        <f>SUM(N7:N15)</f>
        <v>2166.101694915254</v>
      </c>
      <c r="O16" s="101">
        <f>SUM(O7:O15)</f>
        <v>60.762758074576276</v>
      </c>
      <c r="P16" s="113">
        <f>SUM(P7:P15)</f>
        <v>12213.314372989833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11364.18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807.92100000000005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569.80908000000011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9986.4499199999991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2166.101694915254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12152.551614915254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60.762758074576276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12213.314372989829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12213.314372989829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6044</v>
      </c>
      <c r="J25" s="274">
        <f>SUM(J16:J24)</f>
        <v>389.36800000000005</v>
      </c>
      <c r="K25" s="275">
        <f t="shared" si="7"/>
        <v>211.54000000000002</v>
      </c>
      <c r="L25" s="276">
        <f t="shared" si="7"/>
        <v>160.05840000000001</v>
      </c>
      <c r="M25" s="232">
        <f t="shared" si="7"/>
        <v>5283.0336000000007</v>
      </c>
      <c r="N25" s="233">
        <f>SUM(N16:N24)</f>
        <v>1159.3220338983047</v>
      </c>
      <c r="O25" s="101">
        <f>SUM(O16:O24)</f>
        <v>32.211778169491524</v>
      </c>
      <c r="P25" s="113">
        <f>SUM(P16:P24)</f>
        <v>6474.5674120677968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6044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389.36800000000005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371.59840000000003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5283.0335999999998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1159.3220338983047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6442.3556338983044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32.211778169491524</v>
      </c>
    </row>
    <row r="35" spans="2:16" ht="15.75" customHeight="1" thickBot="1" x14ac:dyDescent="0.4">
      <c r="N35" s="373" t="s">
        <v>88</v>
      </c>
      <c r="O35" s="374"/>
      <c r="P35" s="297">
        <f>+P33+P34</f>
        <v>6474.5674120677959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1743.3600000000001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139.46880000000002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61.017600000000009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1542.8736000000001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1872.3651254237288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3" t="s">
        <v>88</v>
      </c>
      <c r="O35" s="374"/>
      <c r="P35" s="297">
        <f>+P33+P34</f>
        <v>1881.7269510508474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521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671.22</v>
      </c>
      <c r="J25" s="274">
        <f>SUM(J16:J24)</f>
        <v>46.636200000000002</v>
      </c>
      <c r="K25" s="275">
        <f t="shared" si="7"/>
        <v>23.492700000000006</v>
      </c>
      <c r="L25" s="276">
        <f t="shared" si="7"/>
        <v>12.004380000000001</v>
      </c>
      <c r="M25" s="232">
        <f t="shared" si="7"/>
        <v>589.08672000000001</v>
      </c>
      <c r="N25" s="233">
        <f>SUM(N16:N24)</f>
        <v>128.13559322033896</v>
      </c>
      <c r="O25" s="101">
        <f>SUM(O16:O24)</f>
        <v>3.5861115661016951</v>
      </c>
      <c r="P25" s="113">
        <f>SUM(P16:P24)</f>
        <v>720.8084247864407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671.22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46.636200000000002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35.497080000000011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589.08672000000001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128.13559322033896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717.22231322033895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3.5861115661016947</v>
      </c>
    </row>
    <row r="35" spans="2:16" ht="15.75" customHeight="1" thickBot="1" x14ac:dyDescent="0.4">
      <c r="N35" s="373" t="s">
        <v>88</v>
      </c>
      <c r="O35" s="374"/>
      <c r="P35" s="297">
        <f>+P33+P34</f>
        <v>720.8084247864407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46267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46266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2026-09-01T13:01:26Z</dcterms:modified>
</cp:coreProperties>
</file>