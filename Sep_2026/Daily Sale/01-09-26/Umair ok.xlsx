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17F970-910D-4247-91DE-E823FAF8653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<sst xmlns="http://schemas.openxmlformats.org/spreadsheetml/2006/main" count="3948" uniqueCount="522">
  <si>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</si>
  <si>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</si>
  <si>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</si>
  <si>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</si>
  <si>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</si>
  <si>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</si>
  <si>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</si>
  <si>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</si>
  <si>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</si>
  <si>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</si>
  <si>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</si>
  <si>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</si>
  <si>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</si>
  <si>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</si>
  <si>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</si>
  <si>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</si>
  <si>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</si>
  <si>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</si>
  <si>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</si>
  <si>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</si>
  <si>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</si>
  <si>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</si>
  <si>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</si>
  <si>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</si>
  <si>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</si>
  <si>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</si>
  <si>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</si>
  <si>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</si>
  <si>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</si>
  <si>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</si>
  <si>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</si>
  <si>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</si>
  <si>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</si>
  <si>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</si>
  <si>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</si>
  <si>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</si>
  <si>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</si>
  <si>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</si>
  <si>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</si>
  <si>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</si>
  <si>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</si>
  <si>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</si>
  <si>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</si>
  <si>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</si>
  <si>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</si>
  <si>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</si>
  <si>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</si>
  <si>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</si>
  <si>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</si>
  <si>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</si>
  <si>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</si>
  <si>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</si>
  <si>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</si>
  <si>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</si>
  <si>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</si>
  <si>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</si>
  <si>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</si>
  <si>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</si>
  <si>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</si>
  <si>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</si>
  <si>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</si>
  <si>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</si>
  <si>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</si>
  <si>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</si>
  <si>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</si>
  <si>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</si>
  <si>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</si>
  <si>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</si>
  <si>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</si>
  <si>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</si>
  <si>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</si>
  <si>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</si>
  <si>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</si>
  <si>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</si>
  <si>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</si>
  <si>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</si>
  <si>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</si>
  <si>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</si>
  <si>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</si>
  <si>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</si>
  <si>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</si>
  <si>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</si>
  <si>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</si>
  <si>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</si>
  <si>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</si>
  <si>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</si>
  <si>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</si>
  <si>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</si>
  <si>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</si>
  <si>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</si>
  <si>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</si>
  <si>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</si>
  <si>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</si>
  <si>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</si>
  <si>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</si>
  <si>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</si>
  <si>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</si>
  <si>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</si>
  <si>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</si>
  <si>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</si>
  <si>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</si>
  <si>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</si>
  <si>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</si>
  <si>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</si>
  <si>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</si>
  <si>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</si>
  <si>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</si>
  <si>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</si>
  <si>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</si>
  <si>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</si>
  <si>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</si>
  <si>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</si>
  <si>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</si>
  <si>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</si>
  <si>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</si>
  <si>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</si>
  <si>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</si>
  <si>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</si>
  <si>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</si>
  <si>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</si>
  <si>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</si>
  <si>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</si>
  <si>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</si>
  <si>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</si>
  <si>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</si>
  <si>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</si>
  <si>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</si>
  <si>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</si>
  <si>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</si>
  <si>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</si>
  <si>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</si>
  <si>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</si>
  <si>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</si>
  <si>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</si>
  <si>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</si>
  <si>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</si>
  <si>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</si>
  <si>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</si>
  <si>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</si>
  <si>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</si>
  <si>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</si>
  <si>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</si>
  <si>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</si>
  <si>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</si>
  <si>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</si>
  <si>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</si>
  <si>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</si>
  <si>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</si>
  <si>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</si>
  <si>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</si>
  <si>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</si>
  <si>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</si>
  <si>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</si>
  <si>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</si>
  <si>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</si>
  <si>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</si>
  <si>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</si>
  <si>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</si>
  <si>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</si>
  <si>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</si>
  <si>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</si>
  <si>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</si>
  <si>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</si>
  <si>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</si>
  <si>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</si>
  <si>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</si>
  <si>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</si>
  <si>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</si>
  <si>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</si>
  <si>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</si>
  <si>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</si>
  <si>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</si>
  <si>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</si>
  <si>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</si>
  <si>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</si>
  <si>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</si>
  <si>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</si>
  <si>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</si>
  <si>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</si>
  <si>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</si>
  <si>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</si>
  <si>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</si>
  <si>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</si>
  <si>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</si>
  <si>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</si>
  <si>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</si>
  <si>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</si>
  <si>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</si>
  <si>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</si>
  <si>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</si>
  <si>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</si>
  <si>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</si>
  <si>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</si>
  <si>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</si>
  <si>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</si>
  <si>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</si>
  <si>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</si>
  <si>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</si>
  <si>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</si>
  <si>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</si>
  <si>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</si>
  <si>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</si>
  <si>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</si>
  <si>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</si>
  <si>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</si>
  <si>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</si>
  <si>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</si>
  <si>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</si>
  <si>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</si>
  <si>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</si>
  <si>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</si>
  <si>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</si>
  <si>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</si>
  <si>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</si>
  <si>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</si>
  <si>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</si>
  <si>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</si>
  <si>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</si>
  <si>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</si>
  <si>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</si>
  <si>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</si>
  <si>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</si>
  <si>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</si>
  <si>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</si>
  <si>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</si>
  <si>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</si>
  <si>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</si>
  <si>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</si>
  <si>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</si>
  <si>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</si>
  <si>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</si>
  <si>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</si>
  <si>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</si>
  <si>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</si>
  <si>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</si>
  <si>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</si>
  <si>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</si>
  <si>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</si>
  <si>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</si>
  <si>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</si>
  <si>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</si>
  <si>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</si>
  <si>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</si>
  <si>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</si>
  <si>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</si>
  <si>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</si>
  <si>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</si>
  <si>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</si>
  <si>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</si>
  <si>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</si>
  <si>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</si>
  <si>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</si>
  <si>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</si>
  <si>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</si>
  <si>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</si>
  <si>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</si>
  <si>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</si>
  <si>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</si>
  <si>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</si>
  <si>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</si>
  <si>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</si>
  <si>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</si>
  <si>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</si>
  <si>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</si>
  <si>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</si>
  <si>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</si>
  <si>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</si>
  <si>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</si>
  <si>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</si>
  <si>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</si>
  <si>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</si>
  <si>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</si>
  <si>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</si>
  <si>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</si>
  <si>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</si>
  <si>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</si>
  <si>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</si>
  <si>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</si>
  <si>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</si>
  <si>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</si>
  <si>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</si>
  <si>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</si>
  <si>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</si>
  <si>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</si>
  <si>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</si>
  <si>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</si>
  <si>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</si>
  <si>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</si>
  <si>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</si>
  <si>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</si>
  <si>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</si>
  <si>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</si>
  <si>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</si>
  <si>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</si>
  <si>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</si>
  <si>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</si>
  <si>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</si>
  <si>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</si>
  <si>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</si>
  <si>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</si>
  <si>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</si>
  <si>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</si>
  <si>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</si>
  <si>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</si>
  <si>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</si>
  <si>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</si>
  <si>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</si>
  <si>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</si>
  <si>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</si>
  <si>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</si>
  <si>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</si>
  <si>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</si>
  <si>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</si>
  <si>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</si>
  <si>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</si>
  <si>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</si>
  <si>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</si>
  <si>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</si>
  <si>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</si>
  <si>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</si>
  <si>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</si>
  <si>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</si>
  <si>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</si>
  <si>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</si>
  <si>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</si>
  <si>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</si>
  <si>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</si>
  <si>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</si>
  <si>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</si>
  <si>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</si>
  <si>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</si>
  <si>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</si>
  <si>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</si>
  <si>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</si>
  <si>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</si>
  <si>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</si>
  <si>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</si>
  <si>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</si>
  <si>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</si>
  <si>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</si>
  <si>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</si>
  <si>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</si>
  <si>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</si>
  <si>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</si>
  <si>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</si>
  <si>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</si>
  <si>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</si>
  <si>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</si>
  <si>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</si>
  <si>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</si>
  <si>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</si>
  <si>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</si>
  <si>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</si>
  <si>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</si>
  <si>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</si>
  <si>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</si>
  <si>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</si>
  <si>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</si>
  <si>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</si>
  <si>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</si>
  <si>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</si>
  <si>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</si>
  <si>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</si>
  <si>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</si>
  <si>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</si>
  <si>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</si>
  <si>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</si>
  <si>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</si>
  <si>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</si>
  <si>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</si>
  <si>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</si>
  <si>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</si>
  <si>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</si>
  <si>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</si>
  <si>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</si>
  <si>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</si>
  <si>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</si>
  <si>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</si>
  <si>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</si>
  <si>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</si>
  <si>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</si>
  <si>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</si>
  <si>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</si>
  <si>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</si>
  <si>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</si>
  <si>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</si>
  <si>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</si>
  <si>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</si>
  <si>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</si>
  <si>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</si>
  <si>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</si>
  <si>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</si>
  <si>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</si>
  <si>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</si>
  <si>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</si>
  <si>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</si>
  <si>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</si>
  <si>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</si>
  <si>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</si>
  <si>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</si>
  <si>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</si>
  <si>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</si>
  <si>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</si>
  <si>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</si>
  <si>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</si>
  <si>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</si>
  <si>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</si>
  <si>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</si>
  <si>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</si>
  <si>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</si>
  <si>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</si>
  <si>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</si>
  <si>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</si>
  <si>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</si>
  <si>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</si>
  <si>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</si>
  <si>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</si>
  <si>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</si>
  <si>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</si>
  <si>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</si>
  <si>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</si>
  <si>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</si>
  <si>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</si>
  <si>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</si>
  <si>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</si>
  <si>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</si>
  <si>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</si>
  <si>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</si>
  <si>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</si>
  <si>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</si>
  <si>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</si>
  <si>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</si>
  <si>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</si>
  <si>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</si>
  <si>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</si>
  <si>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</si>
  <si>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</si>
  <si>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</si>
  <si>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</si>
  <si>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</si>
  <si>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</si>
  <si>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</si>
  <si>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</si>
  <si>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</si>
  <si>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</si>
  <si>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</si>
  <si>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</si>
  <si>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</si>
  <si>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</si>
  <si>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</si>
  <si>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</si>
  <si>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</si>
  <si>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</si>
  <si>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</si>
  <si>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</si>
  <si>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</si>
  <si>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</si>
  <si>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</si>
  <si>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</si>
  <si>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</si>
  <si>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</si>
  <si>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</si>
  <si>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</si>
  <si>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</si>
  <si>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</si>
  <si>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</si>
  <si>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</si>
  <si>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</si>
  <si>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</si>
  <si>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</si>
  <si>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</si>
  <si>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</si>
  <si>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</si>
  <si>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</si>
  <si>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</si>
  <si>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</si>
  <si>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</si>
  <si>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</si>
  <si>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</si>
  <si>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</si>
  <si>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</si>
  <si>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</si>
  <si>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</si>
  <si>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</si>
  <si>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</si>
  <si>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</si>
  <si>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</si>
  <si>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</si>
  <si>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</si>
  <si>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</si>
  <si>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</si>
  <si>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</si>
  <si>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</si>
  <si>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</si>
  <si>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</si>
  <si>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</si>
  <si>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</si>
  <si>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</si>
  <si>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</si>
  <si>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</si>
  <si>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</si>
  <si>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</si>
  <si>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</si>
  <si>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</si>
  <si>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</si>
  <si>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</si>
  <si>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</si>
  <si>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</si>
  <si>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</si>
  <si>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</si>
  <si>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</si>
  <si>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</si>
  <si>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</si>
  <si>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</si>
  <si>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 Awan Market</t>
  </si>
  <si>
    <t xml:space="preserve">Gulshan Bakery </t>
  </si>
  <si>
    <t>Rizwan GS</t>
  </si>
  <si>
    <t xml:space="preserve">Address:  Bank Stop </t>
  </si>
  <si>
    <t xml:space="preserve">New Ideal Bakery </t>
  </si>
  <si>
    <t>AB GS</t>
  </si>
  <si>
    <t xml:space="preserve">Hafiz Bakery </t>
  </si>
  <si>
    <t>Al Makkah Kereyana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</si>
</sst>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Gulshan Bakery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Rizwan GS</v>
      </c>
      <c r="T4" s="301">
        <f>+'2'!P35</f>
        <v>2688.4511257690679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New Ideal Bakery 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AB GS</v>
      </c>
      <c r="T6" s="301">
        <f>+'4'!P35</f>
        <v>1669.1779134915255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18</v>
      </c>
      <c r="I7" s="235">
        <f>(G7*D7)*F7+H7*F7</f>
        <v>944.32499999999993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75.545999999999992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33.051375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835.72762499999999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178.47457627118638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5.0710110063559313</v>
      </c>
      <c r="P7" s="310">
        <f>M7+N7+O7</f>
        <v>1019.2732122775423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Hafiz Bakery 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Al Makkah Kereyana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22</v>
      </c>
      <c r="I9" s="236">
        <f t="shared" si="0"/>
        <v>1154.175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92.334000000000003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40.396124999999998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1021.4448749999999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218.13559322033888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6.1979023411016936</v>
      </c>
      <c r="P9" s="311">
        <f t="shared" si="2"/>
        <v>1245.7783705614406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138</v>
      </c>
      <c r="I13" s="236">
        <f t="shared" si="0"/>
        <v>5413.7400000000007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270.68700000000007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189.48090000000002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276.10073999999997</v>
      </c>
      <c r="M13" s="230">
        <f t="shared" si="1"/>
        <v>4677.4713600000005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1052.5423728813553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28.650068664406781</v>
      </c>
      <c r="P13" s="311">
        <f t="shared" si="2"/>
        <v>5758.6638015457629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4.9000000000000004</v>
      </c>
      <c r="H16" s="113">
        <f t="shared" ref="H16:M16" si="3">SUM(H7:H15)</f>
        <v>196</v>
      </c>
      <c r="I16" s="114">
        <f t="shared" si="3"/>
        <v>8456.5650000000005</v>
      </c>
      <c r="J16" s="274">
        <f>SUM(J7:J15)</f>
        <v>514.11300000000006</v>
      </c>
      <c r="K16" s="275">
        <f t="shared" si="3"/>
        <v>295.97977500000002</v>
      </c>
      <c r="L16" s="276">
        <f t="shared" si="3"/>
        <v>276.10073999999997</v>
      </c>
      <c r="M16" s="232">
        <f t="shared" si="3"/>
        <v>7370.3714850000006</v>
      </c>
      <c r="N16" s="233">
        <f>SUM(N7:N15)</f>
        <v>1627.627118644067</v>
      </c>
      <c r="O16" s="101">
        <f>SUM(O7:O15)</f>
        <v>44.989993018220339</v>
      </c>
      <c r="P16" s="113">
        <f>SUM(P7:P15)</f>
        <v>9042.9885966622878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8456.5650000000005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514.11300000000006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572.08051499999999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7370.3714850000006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1627.627118644067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8997.9986036440678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44.989993018220339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9042.9885966622878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9042.9885966622878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</v>
      </c>
      <c r="I18" s="236">
        <f t="shared" ref="I18:I21" si="7">(G18*D18)*F18+H18*F18</f>
        <v>839.4</v>
      </c>
      <c r="J18" s="272">
        <f t="shared" si="1"/>
        <v>67.152000000000001</v>
      </c>
      <c r="K18" s="128">
        <f t="shared" si="1"/>
        <v>29.379000000000001</v>
      </c>
      <c r="L18" s="119">
        <f t="shared" si="1"/>
        <v>0</v>
      </c>
      <c r="M18" s="230">
        <f t="shared" si="2"/>
        <v>742.86899999999991</v>
      </c>
      <c r="N18" s="277">
        <f t="shared" si="3"/>
        <v>158.6440677966101</v>
      </c>
      <c r="O18" s="239">
        <f t="shared" si="4"/>
        <v>4.5075653389830501</v>
      </c>
      <c r="P18" s="311">
        <f t="shared" si="5"/>
        <v>906.02063313559302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58</v>
      </c>
      <c r="I25" s="114">
        <f t="shared" si="7"/>
        <v>2513.5250000000001</v>
      </c>
      <c r="J25" s="274">
        <f>SUM(J16:J24)</f>
        <v>154.00600000000003</v>
      </c>
      <c r="K25" s="275">
        <f t="shared" si="7"/>
        <v>87.973375000000004</v>
      </c>
      <c r="L25" s="276">
        <f t="shared" si="7"/>
        <v>80.029200000000003</v>
      </c>
      <c r="M25" s="232">
        <f t="shared" si="7"/>
        <v>2191.5164250000003</v>
      </c>
      <c r="N25" s="233">
        <f>SUM(N16:N24)</f>
        <v>483.55932203389807</v>
      </c>
      <c r="O25" s="101">
        <f>SUM(O16:O24)</f>
        <v>13.375378735169491</v>
      </c>
      <c r="P25" s="113">
        <f>SUM(P16:P24)</f>
        <v>2688.4511257690679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2513.5250000000001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154.00600000000003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168.00257500000001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2191.5164250000003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483.55932203389807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2675.0757470338986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13.375378735169493</v>
      </c>
    </row>
    <row r="35" spans="2:16" ht="15.75" customHeight="1" thickBot="1" x14ac:dyDescent="0.4">
      <c r="N35" s="373" t="s">
        <v>88</v>
      </c>
      <c r="O35" s="374"/>
      <c r="P35" s="297">
        <f>+P33+P34</f>
        <v>2688.4511257690679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235.38000000000002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11.769000000000002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20.242680000000004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203.36832000000001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249.13103186440676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3" t="s">
        <v>88</v>
      </c>
      <c r="O35" s="374"/>
      <c r="P35" s="297">
        <f>+P33+P34</f>
        <v>250.37668702372881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2026-09-02T05:02:12Z</dcterms:modified>
</cp:coreProperties>
</file>