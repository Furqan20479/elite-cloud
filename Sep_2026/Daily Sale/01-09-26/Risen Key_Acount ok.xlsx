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13686D5-FA4A-4E4B-8861-9CB7EFFD7CC1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44" l="1"/>
  <c r="O23" i="44" s="1"/>
  <c r="P23" i="44" s="1"/>
  <c r="K12" i="62"/>
  <c r="M17" i="44"/>
  <c r="O17" i="44" s="1"/>
  <c r="P17" i="44" s="1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<sst xmlns="http://schemas.openxmlformats.org/spreadsheetml/2006/main" count="3974" uniqueCount="530">
  <si>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</si>
  <si>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</si>
  <si>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</si>
  <si>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</si>
  <si>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</si>
  <si>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</si>
  <si>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</si>
  <si>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</si>
  <si>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</si>
  <si>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</si>
  <si>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</si>
  <si>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</si>
  <si>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</si>
  <si>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</si>
  <si>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</si>
  <si>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</si>
  <si>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</si>
  <si>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</si>
  <si>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</si>
  <si>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</si>
  <si>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</si>
  <si>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</si>
  <si>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</si>
  <si>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</si>
  <si>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</si>
  <si>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</si>
  <si>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</si>
  <si>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</si>
  <si>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</si>
  <si>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</si>
  <si>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</si>
  <si>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</si>
  <si>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</si>
  <si>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</si>
  <si>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</si>
  <si>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</si>
  <si>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</si>
  <si>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</si>
  <si>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</si>
  <si>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</si>
  <si>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</si>
  <si>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</si>
  <si>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</si>
  <si>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</si>
  <si>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</si>
  <si>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</si>
  <si>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</si>
  <si>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</si>
  <si>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</si>
  <si>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</si>
  <si>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</si>
  <si>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</si>
  <si>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</si>
  <si>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</si>
  <si>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</si>
  <si>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</si>
  <si>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</si>
  <si>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</si>
  <si>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</si>
  <si>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</si>
  <si>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</si>
  <si>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</si>
  <si>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</si>
  <si>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</si>
  <si>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</si>
  <si>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</si>
  <si>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</si>
  <si>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</si>
  <si>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</si>
  <si>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</si>
  <si>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</si>
  <si>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</si>
  <si>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</si>
  <si>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</si>
  <si>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</si>
  <si>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</si>
  <si>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</si>
  <si>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</si>
  <si>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</si>
  <si>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</si>
  <si>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</si>
  <si>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</si>
  <si>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</si>
  <si>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</si>
  <si>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</si>
  <si>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</si>
  <si>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</si>
  <si>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</si>
  <si>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</si>
  <si>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</si>
  <si>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</si>
  <si>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</si>
  <si>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</si>
  <si>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</si>
  <si>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</si>
  <si>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</si>
  <si>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</si>
  <si>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</si>
  <si>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</si>
  <si>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</si>
  <si>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</si>
  <si>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</si>
  <si>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</si>
  <si>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</si>
  <si>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</si>
  <si>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</si>
  <si>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</si>
  <si>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</si>
  <si>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</si>
  <si>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</si>
  <si>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</si>
  <si>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</si>
  <si>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</si>
  <si>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</si>
  <si>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</si>
  <si>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</si>
  <si>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</si>
  <si>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</si>
  <si>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</si>
  <si>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</si>
  <si>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</si>
  <si>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</si>
  <si>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</si>
  <si>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</si>
  <si>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</si>
  <si>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</si>
  <si>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</si>
  <si>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</si>
  <si>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</si>
  <si>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</si>
  <si>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</si>
  <si>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</si>
  <si>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</si>
  <si>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</si>
  <si>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</si>
  <si>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</si>
  <si>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</si>
  <si>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</si>
  <si>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</si>
  <si>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</si>
  <si>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</si>
  <si>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</si>
  <si>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</si>
  <si>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</si>
  <si>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</si>
  <si>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</si>
  <si>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</si>
  <si>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</si>
  <si>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</si>
  <si>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</si>
  <si>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</si>
  <si>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</si>
  <si>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</si>
  <si>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</si>
  <si>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</si>
  <si>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</si>
  <si>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</si>
  <si>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</si>
  <si>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</si>
  <si>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</si>
  <si>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</si>
  <si>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</si>
  <si>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</si>
  <si>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</si>
  <si>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</si>
  <si>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</si>
  <si>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</si>
  <si>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</si>
  <si>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</si>
  <si>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</si>
  <si>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</si>
  <si>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</si>
  <si>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</si>
  <si>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</si>
  <si>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</si>
  <si>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</si>
  <si>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</si>
  <si>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</si>
  <si>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</si>
  <si>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</si>
  <si>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</si>
  <si>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</si>
  <si>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</si>
  <si>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</si>
  <si>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</si>
  <si>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</si>
  <si>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</si>
  <si>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</si>
  <si>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</si>
  <si>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</si>
  <si>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</si>
  <si>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</si>
  <si>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</si>
  <si>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</si>
  <si>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</si>
  <si>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</si>
  <si>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</si>
  <si>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</si>
  <si>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</si>
  <si>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</si>
  <si>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</si>
  <si>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</si>
  <si>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</si>
  <si>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</si>
  <si>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</si>
  <si>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</si>
  <si>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</si>
  <si>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</si>
  <si>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</si>
  <si>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</si>
  <si>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</si>
  <si>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</si>
  <si>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</si>
  <si>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</si>
  <si>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</si>
  <si>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</si>
  <si>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</si>
  <si>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</si>
  <si>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</si>
  <si>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</si>
  <si>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</si>
  <si>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</si>
  <si>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</si>
  <si>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</si>
  <si>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</si>
  <si>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</si>
  <si>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</si>
  <si>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</si>
  <si>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</si>
  <si>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</si>
  <si>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</si>
  <si>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</si>
  <si>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</si>
  <si>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</si>
  <si>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</si>
  <si>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</si>
  <si>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</si>
  <si>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</si>
  <si>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</si>
  <si>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</si>
  <si>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</si>
  <si>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</si>
  <si>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</si>
  <si>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</si>
  <si>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</si>
  <si>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</si>
  <si>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</si>
  <si>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</si>
  <si>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</si>
  <si>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</si>
  <si>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</si>
  <si>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</si>
  <si>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</si>
  <si>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</si>
  <si>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</si>
  <si>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</si>
  <si>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</si>
  <si>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</si>
  <si>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</si>
  <si>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</si>
  <si>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</si>
  <si>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</si>
  <si>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</si>
  <si>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</si>
  <si>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</si>
  <si>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</si>
  <si>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</si>
  <si>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</si>
  <si>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</si>
  <si>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</si>
  <si>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</si>
  <si>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</si>
  <si>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</si>
  <si>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</si>
  <si>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</si>
  <si>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</si>
  <si>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</si>
  <si>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</si>
  <si>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</si>
  <si>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</si>
  <si>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</si>
  <si>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</si>
  <si>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</si>
  <si>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</si>
  <si>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</si>
  <si>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</si>
  <si>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</si>
  <si>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</si>
  <si>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</si>
  <si>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</si>
  <si>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</si>
  <si>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</si>
  <si>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</si>
  <si>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</si>
  <si>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</si>
  <si>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</si>
  <si>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</si>
  <si>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</si>
  <si>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</si>
  <si>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</si>
  <si>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</si>
  <si>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</si>
  <si>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</si>
  <si>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</si>
  <si>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</si>
  <si>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</si>
  <si>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</si>
  <si>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</si>
  <si>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</si>
  <si>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</si>
  <si>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</si>
  <si>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</si>
  <si>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</si>
  <si>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</si>
  <si>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</si>
  <si>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</si>
  <si>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</si>
  <si>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</si>
  <si>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</si>
  <si>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</si>
  <si>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</si>
  <si>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</si>
  <si>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</si>
  <si>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</si>
  <si>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</si>
  <si>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</si>
  <si>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</si>
  <si>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</si>
  <si>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</si>
  <si>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</si>
  <si>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</si>
  <si>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</si>
  <si>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</si>
  <si>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</si>
  <si>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</si>
  <si>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</si>
  <si>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</si>
  <si>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</si>
  <si>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</si>
  <si>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</si>
  <si>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</si>
  <si>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</si>
  <si>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</si>
  <si>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</si>
  <si>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</si>
  <si>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</si>
  <si>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</si>
  <si>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</si>
  <si>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</si>
  <si>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</si>
  <si>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</si>
  <si>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</si>
  <si>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</si>
  <si>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</si>
  <si>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</si>
  <si>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</si>
  <si>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</si>
  <si>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</si>
  <si>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</si>
  <si>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</si>
  <si>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</si>
  <si>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</si>
  <si>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</si>
  <si>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</si>
  <si>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</si>
  <si>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</si>
  <si>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</si>
  <si>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</si>
  <si>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</si>
  <si>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</si>
  <si>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</si>
  <si>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</si>
  <si>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</si>
  <si>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</si>
  <si>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</si>
  <si>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</si>
  <si>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</si>
  <si>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</si>
  <si>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</si>
  <si>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</si>
  <si>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</si>
  <si>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</si>
  <si>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</si>
  <si>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</si>
  <si>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</si>
  <si>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</si>
  <si>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</si>
  <si>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</si>
  <si>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</si>
  <si>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</si>
  <si>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</si>
  <si>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</si>
  <si>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</si>
  <si>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</si>
  <si>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</si>
  <si>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</si>
  <si>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</si>
  <si>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</si>
  <si>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</si>
  <si>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</si>
  <si>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</si>
  <si>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</si>
  <si>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</si>
  <si>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</si>
  <si>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</si>
  <si>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</si>
  <si>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</si>
  <si>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</si>
  <si>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</si>
  <si>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</si>
  <si>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</si>
  <si>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</si>
  <si>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</si>
  <si>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</si>
  <si>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</si>
  <si>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</si>
  <si>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</si>
  <si>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</si>
  <si>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</si>
  <si>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</si>
  <si>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</si>
  <si>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</si>
  <si>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</si>
  <si>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</si>
  <si>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</si>
  <si>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</si>
  <si>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</si>
  <si>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</si>
  <si>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</si>
  <si>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</si>
  <si>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</si>
  <si>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</si>
  <si>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</si>
  <si>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</si>
  <si>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</si>
  <si>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</si>
  <si>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</si>
  <si>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</si>
  <si>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</si>
  <si>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</si>
  <si>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</si>
  <si>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</si>
  <si>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</si>
  <si>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</si>
  <si>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</si>
  <si>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</si>
  <si>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</si>
  <si>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</si>
  <si>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</si>
  <si>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</si>
  <si>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</si>
  <si>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</si>
  <si>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</si>
  <si>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</si>
  <si>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</si>
  <si>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</si>
  <si>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</si>
  <si>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</si>
  <si>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</si>
  <si>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</si>
  <si>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</si>
  <si>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</si>
  <si>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</si>
  <si>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</si>
  <si>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</si>
  <si>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</si>
  <si>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</si>
  <si>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</si>
  <si>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</si>
  <si>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</si>
  <si>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</si>
  <si>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</si>
  <si>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</si>
  <si>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</si>
  <si>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</si>
  <si>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</si>
  <si>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</si>
  <si>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</si>
  <si>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</si>
  <si>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</si>
  <si>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</si>
  <si>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</si>
  <si>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</si>
  <si>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</si>
  <si>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</si>
  <si>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</si>
  <si>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</si>
  <si>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</si>
  <si>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</si>
  <si>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</si>
  <si>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</si>
  <si>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</si>
  <si>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</si>
  <si>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</si>
  <si>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</si>
  <si>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</si>
  <si>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</si>
  <si>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</si>
  <si>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</si>
  <si>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</si>
  <si>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</si>
  <si>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</si>
  <si>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</si>
  <si>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</si>
  <si>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</si>
  <si>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</si>
  <si>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</si>
  <si>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</si>
  <si>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</si>
  <si>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</si>
  <si>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</si>
  <si>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</si>
  <si>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</si>
  <si>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</si>
  <si>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</si>
  <si>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</si>
  <si>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</si>
  <si>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Address: Sabzazaar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</si>
  <si>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</si>
  <si>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</si>
  <si>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</si>
  <si>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</si>
  <si>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</si>
  <si>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</si>
  <si>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</si>
  <si>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156156</t>
  </si>
  <si>
    <t>Invoice No # : 61163</t>
  </si>
  <si>
    <t>Risen</t>
  </si>
  <si>
    <t xml:space="preserve">MS Rafaqat Sons </t>
  </si>
  <si>
    <t>Invoice No # : 159523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</si>
</sst>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6" sqref="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527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46268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MS Rafaqat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9376.5400036016945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311">
        <f t="shared" si="2"/>
        <v>6415.5360985169482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4</v>
      </c>
      <c r="H16" s="113">
        <f t="shared" ref="H16:M16" si="3">SUM(H7:H15)</f>
        <v>160</v>
      </c>
      <c r="I16" s="114">
        <f t="shared" si="3"/>
        <v>9201.1</v>
      </c>
      <c r="J16" s="274">
        <f>SUM(J7:J15)</f>
        <v>1288.1540000000002</v>
      </c>
      <c r="K16" s="275">
        <f t="shared" si="3"/>
        <v>322.03850000000006</v>
      </c>
      <c r="L16" s="276">
        <f t="shared" si="3"/>
        <v>0</v>
      </c>
      <c r="M16" s="232">
        <f t="shared" si="3"/>
        <v>7590.9075000000003</v>
      </c>
      <c r="N16" s="233">
        <f>SUM(N7:N15)</f>
        <v>1738.983050847457</v>
      </c>
      <c r="O16" s="101">
        <f>SUM(O7:O15)</f>
        <v>46.649452754237288</v>
      </c>
      <c r="P16" s="113">
        <f>SUM(P7:P15)</f>
        <v>9376.5400036016945</v>
      </c>
      <c r="Q16" s="128">
        <f>SUM(Q7:Q15)</f>
        <v>1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9201.1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1288.1540000000002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322.03850000000006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7590.9075000000003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1738.983050847457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9329.8905508474563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46.649452754237288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9376.5400036016945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9376.5400036016945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526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46260</v>
      </c>
      <c r="O5" s="369"/>
      <c r="P5" s="369"/>
      <c r="R5" s="85"/>
      <c r="S5" s="266"/>
    </row>
    <row r="6" spans="1:22 16383:16384" ht="18.7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520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529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46266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524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518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311">
        <f t="shared" si="5"/>
        <v>6415.5360985169482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9201.1</v>
      </c>
      <c r="J25" s="274">
        <f>SUM(J16:J24)</f>
        <v>1288.1540000000002</v>
      </c>
      <c r="K25" s="275">
        <f t="shared" si="7"/>
        <v>322.03850000000006</v>
      </c>
      <c r="L25" s="276">
        <f t="shared" si="7"/>
        <v>0</v>
      </c>
      <c r="M25" s="232">
        <f t="shared" si="7"/>
        <v>7590.9075000000003</v>
      </c>
      <c r="N25" s="233">
        <f>SUM(N16:N24)</f>
        <v>1738.983050847457</v>
      </c>
      <c r="O25" s="101">
        <f>SUM(O16:O24)</f>
        <v>46.649452754237288</v>
      </c>
      <c r="P25" s="113">
        <f>SUM(P16:P24)</f>
        <v>9376.5400036016945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9201.1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1288.1540000000002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322.03850000000006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7590.9075000000003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1738.983050847457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9329.8905508474563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46.649452754237281</v>
      </c>
    </row>
    <row r="35" spans="2:16" ht="15.75" customHeight="1" thickBot="1" x14ac:dyDescent="0.4">
      <c r="N35" s="344" t="s">
        <v>88</v>
      </c>
      <c r="O35" s="345"/>
      <c r="P35" s="297">
        <f>+P33+P34</f>
        <v>9376.5400036016945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46252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46269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46268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2026-09-03T04:41:00Z</dcterms:modified>
</cp:coreProperties>
</file>