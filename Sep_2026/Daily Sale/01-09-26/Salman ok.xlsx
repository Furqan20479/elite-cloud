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6AE9792-0E8E-4592-A29D-6BD365ABC34A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3" l="1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5" i="68" s="1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65" l="1"/>
  <c r="M21" i="53"/>
  <c r="O21" i="53" s="1"/>
  <c r="P21" i="53" s="1"/>
  <c r="M21" i="51"/>
  <c r="M20" i="47"/>
  <c r="O20" i="47" s="1"/>
  <c r="P20" i="47" s="1"/>
  <c r="R20" i="47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<sst xmlns="http://schemas.openxmlformats.org/spreadsheetml/2006/main" count="3948" uniqueCount="538">
  <si>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</si>
  <si>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</si>
  <si>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</si>
  <si>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</si>
  <si>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</si>
  <si>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</si>
  <si>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</si>
  <si>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</si>
  <si>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</si>
  <si>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</si>
  <si>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</si>
  <si>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</si>
  <si>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</si>
  <si>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</si>
  <si>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</si>
  <si>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</si>
  <si>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</si>
  <si>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</si>
  <si>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</si>
  <si>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</si>
  <si>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</si>
  <si>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</si>
  <si>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</si>
  <si>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</si>
  <si>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</si>
  <si>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</si>
  <si>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</si>
  <si>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</si>
  <si>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</si>
  <si>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</si>
  <si>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</si>
  <si>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</si>
  <si>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</si>
  <si>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</si>
  <si>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</si>
  <si>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</si>
  <si>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</si>
  <si>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</si>
  <si>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</si>
  <si>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</si>
  <si>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</si>
  <si>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</si>
  <si>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</si>
  <si>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</si>
  <si>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</si>
  <si>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</si>
  <si>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</si>
  <si>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</si>
  <si>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</si>
  <si>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</si>
  <si>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</si>
  <si>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</si>
  <si>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</si>
  <si>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</si>
  <si>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</si>
  <si>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</si>
  <si>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</si>
  <si>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</si>
  <si>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</si>
  <si>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</si>
  <si>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</si>
  <si>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</si>
  <si>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</si>
  <si>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</si>
  <si>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</si>
  <si>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</si>
  <si>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</si>
  <si>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</si>
  <si>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</si>
  <si>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</si>
  <si>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</si>
  <si>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</si>
  <si>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</si>
  <si>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</si>
  <si>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</si>
  <si>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</si>
  <si>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</si>
  <si>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</si>
  <si>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</si>
  <si>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</si>
  <si>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</si>
  <si>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</si>
  <si>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</si>
  <si>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</si>
  <si>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</si>
  <si>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</si>
  <si>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</si>
  <si>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</si>
  <si>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</si>
  <si>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</si>
  <si>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</si>
  <si>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</si>
  <si>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</si>
  <si>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</si>
  <si>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</si>
  <si>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</si>
  <si>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</si>
  <si>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</si>
  <si>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</si>
  <si>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</si>
  <si>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</si>
  <si>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</si>
  <si>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</si>
  <si>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</si>
  <si>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</si>
  <si>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</si>
  <si>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</si>
  <si>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</si>
  <si>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</si>
  <si>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</si>
  <si>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</si>
  <si>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</si>
  <si>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</si>
  <si>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</si>
  <si>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</si>
  <si>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</si>
  <si>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</si>
  <si>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</si>
  <si>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</si>
  <si>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</si>
  <si>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</si>
  <si>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</si>
  <si>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</si>
  <si>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</si>
  <si>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</si>
  <si>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</si>
  <si>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</si>
  <si>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</si>
  <si>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</si>
  <si>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</si>
  <si>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</si>
  <si>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</si>
  <si>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</si>
  <si>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</si>
  <si>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</si>
  <si>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</si>
  <si>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</si>
  <si>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</si>
  <si>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</si>
  <si>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</si>
  <si>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</si>
  <si>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</si>
  <si>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</si>
  <si>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</si>
  <si>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</si>
  <si>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</si>
  <si>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</si>
  <si>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</si>
  <si>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</si>
  <si>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</si>
  <si>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</si>
  <si>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</si>
  <si>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</si>
  <si>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</si>
  <si>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</si>
  <si>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</si>
  <si>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</si>
  <si>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</si>
  <si>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</si>
  <si>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</si>
  <si>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</si>
  <si>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</si>
  <si>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</si>
  <si>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</si>
  <si>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</si>
  <si>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</si>
  <si>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</si>
  <si>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</si>
  <si>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</si>
  <si>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</si>
  <si>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</si>
  <si>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</si>
  <si>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</si>
  <si>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</si>
  <si>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</si>
  <si>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</si>
  <si>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</si>
  <si>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</si>
  <si>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</si>
  <si>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</si>
  <si>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</si>
  <si>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</si>
  <si>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</si>
  <si>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</si>
  <si>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</si>
  <si>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</si>
  <si>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</si>
  <si>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</si>
  <si>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</si>
  <si>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</si>
  <si>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</si>
  <si>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</si>
  <si>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</si>
  <si>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</si>
  <si>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</si>
  <si>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</si>
  <si>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</si>
  <si>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</si>
  <si>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</si>
  <si>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</si>
  <si>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</si>
  <si>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</si>
  <si>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</si>
  <si>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</si>
  <si>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</si>
  <si>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</si>
  <si>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</si>
  <si>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</si>
  <si>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</si>
  <si>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</si>
  <si>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</si>
  <si>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</si>
  <si>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</si>
  <si>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</si>
  <si>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</si>
  <si>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</si>
  <si>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</si>
  <si>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</si>
  <si>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</si>
  <si>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</si>
  <si>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</si>
  <si>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</si>
  <si>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</si>
  <si>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</si>
  <si>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</si>
  <si>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</si>
  <si>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</si>
  <si>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</si>
  <si>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</si>
  <si>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</si>
  <si>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</si>
  <si>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</si>
  <si>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</si>
  <si>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</si>
  <si>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</si>
  <si>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</si>
  <si>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</si>
  <si>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</si>
  <si>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</si>
  <si>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</si>
  <si>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</si>
  <si>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</si>
  <si>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</si>
  <si>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</si>
  <si>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</si>
  <si>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</si>
  <si>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</si>
  <si>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</si>
  <si>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</si>
  <si>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</si>
  <si>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</si>
  <si>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</si>
  <si>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</si>
  <si>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</si>
  <si>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</si>
  <si>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</si>
  <si>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</si>
  <si>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</si>
  <si>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</si>
  <si>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</si>
  <si>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</si>
  <si>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</si>
  <si>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</si>
  <si>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</si>
  <si>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</si>
  <si>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</si>
  <si>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</si>
  <si>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</si>
  <si>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</si>
  <si>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</si>
  <si>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</si>
  <si>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</si>
  <si>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</si>
  <si>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</si>
  <si>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</si>
  <si>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</si>
  <si>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</si>
  <si>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</si>
  <si>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</si>
  <si>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</si>
  <si>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</si>
  <si>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</si>
  <si>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</si>
  <si>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</si>
  <si>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</si>
  <si>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</si>
  <si>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</si>
  <si>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</si>
  <si>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</si>
  <si>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</si>
  <si>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</si>
  <si>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</si>
  <si>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</si>
  <si>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</si>
  <si>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</si>
  <si>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</si>
  <si>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</si>
  <si>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</si>
  <si>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</si>
  <si>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</si>
  <si>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</si>
  <si>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</si>
  <si>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</si>
  <si>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</si>
  <si>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</si>
  <si>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</si>
  <si>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</si>
  <si>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</si>
  <si>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</si>
  <si>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</si>
  <si>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</si>
  <si>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</si>
  <si>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</si>
  <si>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</si>
  <si>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</si>
  <si>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</si>
  <si>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</si>
  <si>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</si>
  <si>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</si>
  <si>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</si>
  <si>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</si>
  <si>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</si>
  <si>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</si>
  <si>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</si>
  <si>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</si>
  <si>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</si>
  <si>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</si>
  <si>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</si>
  <si>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</si>
  <si>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</si>
  <si>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</si>
  <si>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</si>
  <si>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</si>
  <si>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</si>
  <si>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</si>
  <si>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</si>
  <si>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</si>
  <si>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</si>
  <si>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</si>
  <si>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</si>
  <si>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</si>
  <si>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</si>
  <si>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</si>
  <si>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</si>
  <si>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</si>
  <si>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</si>
  <si>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</si>
  <si>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</si>
  <si>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</si>
  <si>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</si>
  <si>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</si>
  <si>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</si>
  <si>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</si>
  <si>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</si>
  <si>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</si>
  <si>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</si>
  <si>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</si>
  <si>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</si>
  <si>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</si>
  <si>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</si>
  <si>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</si>
  <si>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</si>
  <si>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</si>
  <si>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</si>
  <si>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</si>
  <si>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</si>
  <si>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</si>
  <si>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</si>
  <si>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</si>
  <si>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</si>
  <si>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</si>
  <si>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</si>
  <si>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</si>
  <si>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</si>
  <si>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</si>
  <si>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</si>
  <si>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</si>
  <si>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</si>
  <si>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</si>
  <si>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</si>
  <si>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</si>
  <si>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</si>
  <si>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</si>
  <si>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</si>
  <si>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</si>
  <si>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</si>
  <si>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</si>
  <si>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</si>
  <si>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</si>
  <si>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</si>
  <si>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</si>
  <si>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</si>
  <si>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</si>
  <si>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</si>
  <si>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</si>
  <si>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</si>
  <si>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</si>
  <si>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</si>
  <si>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</si>
  <si>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</si>
  <si>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</si>
  <si>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</si>
  <si>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</si>
  <si>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</si>
  <si>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</si>
  <si>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</si>
  <si>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</si>
  <si>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</si>
  <si>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</si>
  <si>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</si>
  <si>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</si>
  <si>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</si>
  <si>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</si>
  <si>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</si>
  <si>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</si>
  <si>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</si>
  <si>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</si>
  <si>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</si>
  <si>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</si>
  <si>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</si>
  <si>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</si>
  <si>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</si>
  <si>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</si>
  <si>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</si>
  <si>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</si>
  <si>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</si>
  <si>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</si>
  <si>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</si>
  <si>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</si>
  <si>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</si>
  <si>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</si>
  <si>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</si>
  <si>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</si>
  <si>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</si>
  <si>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</si>
  <si>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</si>
  <si>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</si>
  <si>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</si>
  <si>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</si>
  <si>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</si>
  <si>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</si>
  <si>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</si>
  <si>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</si>
  <si>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</si>
  <si>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</si>
  <si>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</si>
  <si>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</si>
  <si>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</si>
  <si>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</si>
  <si>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</si>
  <si>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</si>
  <si>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</si>
  <si>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</si>
  <si>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</si>
  <si>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</si>
  <si>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</si>
  <si>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</si>
  <si>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</si>
  <si>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</si>
  <si>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</si>
  <si>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</si>
  <si>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</si>
  <si>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</si>
  <si>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</si>
  <si>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</si>
  <si>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</si>
  <si>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</si>
  <si>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</si>
  <si>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</si>
  <si>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</si>
  <si>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</si>
  <si>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</si>
  <si>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</si>
  <si>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</si>
  <si>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</si>
  <si>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</si>
  <si>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</si>
  <si>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</si>
  <si>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</si>
  <si>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</si>
  <si>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</si>
  <si>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</si>
  <si>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</si>
  <si>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</si>
  <si>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</si>
  <si>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</si>
  <si>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</si>
  <si>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</si>
  <si>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</si>
  <si>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</si>
  <si>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</si>
  <si>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</si>
  <si>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</si>
  <si>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</si>
  <si>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</si>
  <si>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</si>
  <si>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</si>
  <si>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</si>
  <si>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</si>
  <si>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</si>
  <si>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</si>
  <si>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</si>
  <si>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</si>
  <si>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</si>
  <si>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</si>
  <si>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</si>
  <si>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</si>
  <si>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</si>
  <si>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</si>
  <si>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</si>
  <si>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</si>
  <si>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</si>
  <si>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</si>
  <si>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Salman</t>
  </si>
  <si>
    <t>Address: Askari Market</t>
  </si>
  <si>
    <t xml:space="preserve">Al Fatah Bakers </t>
  </si>
  <si>
    <t>Aneel Store</t>
  </si>
  <si>
    <t>Sanwal Store</t>
  </si>
  <si>
    <t>Khan Store</t>
  </si>
  <si>
    <t>Dil Shat Store</t>
  </si>
  <si>
    <t>Tofeeq Store</t>
  </si>
  <si>
    <t>Rehan Store</t>
  </si>
  <si>
    <t>Yousaf Store</t>
  </si>
  <si>
    <t>Khan Zada Store</t>
  </si>
  <si>
    <t>Mahmood Store</t>
  </si>
  <si>
    <t>Ali Store</t>
  </si>
  <si>
    <t>Al Rehan Store</t>
  </si>
  <si>
    <t>Qazi Store</t>
  </si>
  <si>
    <t>Gujjar Store</t>
  </si>
  <si>
    <t>Kashmir Store</t>
  </si>
  <si>
    <t>Waleed Store</t>
  </si>
  <si>
    <t>Qasim Store</t>
  </si>
  <si>
    <t>Bilal Store</t>
  </si>
  <si>
    <t>Ali GS</t>
  </si>
  <si>
    <t xml:space="preserve">Shah Nawaz </t>
  </si>
  <si>
    <t xml:space="preserve">Bilawal Bakers </t>
  </si>
  <si>
    <t>Wali GS</t>
  </si>
  <si>
    <t>Kashif Super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</si>
</sst>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9" workbookViewId="0">
      <selection activeCell="J39" sqref="J3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513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v>46266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 xml:space="preserve">Al Fatah Bakers </v>
      </c>
      <c r="T3" s="301">
        <f>+'1'!P35</f>
        <v>640.3106064756355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Aneel Store</v>
      </c>
      <c r="T4" s="301">
        <f>+'2'!P35</f>
        <v>470.43173776271186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Sanwal Store</v>
      </c>
      <c r="T5" s="301">
        <f>+'3'!P35</f>
        <v>470.43173776271186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Khan Store</v>
      </c>
      <c r="T6" s="301">
        <f>+'4'!P35</f>
        <v>470.43173776271186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79</v>
      </c>
      <c r="I7" s="235">
        <f>(G7*D7)*F7+H7*F7</f>
        <v>4144.5374999999995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331.56299999999999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145.05881249999999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3667.9156874999994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783.30508474576243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22.256103861228809</v>
      </c>
      <c r="P7" s="310">
        <f>M7+N7+O7</f>
        <v>4473.4768761069899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3</v>
      </c>
      <c r="R7" s="314">
        <v>5</v>
      </c>
      <c r="S7" s="300" t="str">
        <f>+'5'!A6:A6</f>
        <v>Dil Shat Store</v>
      </c>
      <c r="T7" s="301">
        <f>+'5'!P35</f>
        <v>470.43173776271186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Tofeeq Store</v>
      </c>
      <c r="T8" s="301">
        <f>+'6'!P35</f>
        <v>470.43173776271186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41</v>
      </c>
      <c r="I9" s="236">
        <f t="shared" si="0"/>
        <v>2150.9625000000001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172.077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75.283687499999999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1903.6018125000001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406.52542372881339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11.550636181144068</v>
      </c>
      <c r="P9" s="311">
        <f t="shared" si="2"/>
        <v>2321.6778724099577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Rehan Store</v>
      </c>
      <c r="T9" s="301">
        <f>+'7'!P35</f>
        <v>470.43173776271186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39</v>
      </c>
      <c r="I10" s="236">
        <f t="shared" si="0"/>
        <v>2832.96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226.63680000000008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99.153600000000012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2507.1696000000002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535.42372881355925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15.212966644067793</v>
      </c>
      <c r="P10" s="311">
        <f t="shared" si="2"/>
        <v>3057.8062954576271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</v>
      </c>
      <c r="R10" s="314">
        <v>8</v>
      </c>
      <c r="S10" s="300" t="str">
        <f>+'8'!A6:A6</f>
        <v>Yousaf Store</v>
      </c>
      <c r="T10" s="301">
        <f>+'8'!P35</f>
        <v>470.43173776271186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232.44800000000006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2571.4559999999997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549.15254237288127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15.603042711864402</v>
      </c>
      <c r="P11" s="311">
        <f t="shared" si="2"/>
        <v>3136.2115850847454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Khan Zada Store</v>
      </c>
      <c r="T11" s="301">
        <f>+'9'!P35</f>
        <v>470.43173776271186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232.44800000000006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2571.4559999999997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549.15254237288127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15.603042711864402</v>
      </c>
      <c r="P12" s="311">
        <f t="shared" si="2"/>
        <v>3136.2115850847454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Mahmood Store</v>
      </c>
      <c r="T12" s="301">
        <f>+'10'!P35</f>
        <v>470.43173776271186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Ali Store</v>
      </c>
      <c r="T13" s="301">
        <f>+'11'!P35</f>
        <v>470.43173776271186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Al Rehan Store</v>
      </c>
      <c r="T14" s="301">
        <f>+'12'!P35</f>
        <v>470.43173776271186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Qazi Store</v>
      </c>
      <c r="T15" s="301">
        <f>+'13'!P35</f>
        <v>470.43173776271186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5.9749999999999996</v>
      </c>
      <c r="H16" s="113">
        <f t="shared" ref="H16:M16" si="3">SUM(H7:H15)</f>
        <v>239</v>
      </c>
      <c r="I16" s="114">
        <f t="shared" si="3"/>
        <v>14939.66</v>
      </c>
      <c r="J16" s="274">
        <f>SUM(J7:J15)</f>
        <v>1195.1728000000003</v>
      </c>
      <c r="K16" s="275">
        <f t="shared" si="3"/>
        <v>522.88810000000001</v>
      </c>
      <c r="L16" s="276">
        <f t="shared" si="3"/>
        <v>0</v>
      </c>
      <c r="M16" s="232">
        <f t="shared" si="3"/>
        <v>13221.599099999999</v>
      </c>
      <c r="N16" s="233">
        <f>SUM(N7:N15)</f>
        <v>2823.5593220338974</v>
      </c>
      <c r="O16" s="101">
        <f>SUM(O7:O15)</f>
        <v>80.225792110169479</v>
      </c>
      <c r="P16" s="113">
        <f>SUM(P7:P15)</f>
        <v>16125.384214144065</v>
      </c>
      <c r="Q16" s="128">
        <f>SUM(Q7:Q15)</f>
        <v>4</v>
      </c>
      <c r="R16" s="314">
        <v>14</v>
      </c>
      <c r="S16" s="318" t="str">
        <f>+'14'!A6:A6</f>
        <v>Gujjar Store</v>
      </c>
      <c r="T16" s="301">
        <f>+'14'!P35</f>
        <v>392.02644813559328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Kashmir Store</v>
      </c>
      <c r="T17" s="301">
        <f>+'15'!P35</f>
        <v>470.43173776271186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Waleed Store</v>
      </c>
      <c r="T18" s="301">
        <f>+'16'!P35</f>
        <v>470.43173776271186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14939.66</v>
      </c>
      <c r="R19" s="299">
        <v>17</v>
      </c>
      <c r="S19" s="300" t="str">
        <f>+'17'!A6:A6</f>
        <v>Qasim Store</v>
      </c>
      <c r="T19" s="301">
        <f>+'17'!P35</f>
        <v>470.43173776271186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1195.1728000000003</v>
      </c>
      <c r="R20" s="299">
        <v>18</v>
      </c>
      <c r="S20" s="300" t="str">
        <f>+'18'!A6:A6</f>
        <v>Bilal Store</v>
      </c>
      <c r="T20" s="301">
        <f>+'18'!P35</f>
        <v>705.64760664406776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522.88810000000001</v>
      </c>
      <c r="R21" s="299">
        <v>19</v>
      </c>
      <c r="S21" s="300" t="str">
        <f>+'19'!A6:A6</f>
        <v>Ali GS</v>
      </c>
      <c r="T21" s="301">
        <f>+'19'!P35</f>
        <v>235.21586888135593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13221.599099999999</v>
      </c>
      <c r="R22" s="299">
        <v>20</v>
      </c>
      <c r="S22" s="300" t="str">
        <f>+'20'!A6:A6</f>
        <v xml:space="preserve">Shah Nawaz </v>
      </c>
      <c r="T22" s="301">
        <f>+'20'!P35</f>
        <v>235.21586888135593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2823.5593220338974</v>
      </c>
      <c r="R23" s="299">
        <v>21</v>
      </c>
      <c r="S23" s="300" t="str">
        <f>+'21'!A6:A6</f>
        <v xml:space="preserve">Bilawal Bakers </v>
      </c>
      <c r="T23" s="301">
        <f>+'21'!P35</f>
        <v>235.21586888135593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16045.158422033897</v>
      </c>
      <c r="R24" s="299">
        <v>22</v>
      </c>
      <c r="S24" s="300" t="str">
        <f>+'22'!A6:A6</f>
        <v>Wali GS</v>
      </c>
      <c r="T24" s="301">
        <f>+'22'!P35</f>
        <v>2265.051582838983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80.225792110169479</v>
      </c>
      <c r="R25" s="299">
        <v>23</v>
      </c>
      <c r="S25" s="300" t="str">
        <f>+'23'!A6:A6</f>
        <v>Kashif Super Store</v>
      </c>
      <c r="T25" s="301">
        <f>+'23'!P35</f>
        <v>4360.2242969650424</v>
      </c>
    </row>
    <row r="26" spans="1:20" ht="21.75" customHeight="1" thickBot="1" x14ac:dyDescent="0.4">
      <c r="N26" s="344" t="s">
        <v>88</v>
      </c>
      <c r="O26" s="345"/>
      <c r="P26" s="297">
        <f>+P24+P25</f>
        <v>16125.384214144067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16125.384214144069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7.2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</v>
      </c>
      <c r="I16" s="235">
        <f>(G16*D16)*F16+H16*F16</f>
        <v>104.925</v>
      </c>
      <c r="J16" s="271">
        <f>$I16*S16</f>
        <v>8.3940000000000001</v>
      </c>
      <c r="K16" s="127">
        <f>$I16*T16</f>
        <v>3.6723750000000002</v>
      </c>
      <c r="L16" s="118">
        <f>$I16*U16</f>
        <v>0</v>
      </c>
      <c r="M16" s="229">
        <f>I16-SUM(J16:L16)</f>
        <v>92.858624999999989</v>
      </c>
      <c r="N16" s="248">
        <f>+(G16*D16+H16)*V16</f>
        <v>19.830508474576263</v>
      </c>
      <c r="O16" s="238">
        <f>(N16+M16)*$O$15</f>
        <v>0.56344566737288126</v>
      </c>
      <c r="P16" s="310">
        <f>M16+N16+O16</f>
        <v>113.25257914194913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</v>
      </c>
      <c r="I18" s="236">
        <f t="shared" ref="I18:I21" si="7">(G18*D18)*F18+H18*F18</f>
        <v>52.462499999999999</v>
      </c>
      <c r="J18" s="272">
        <f t="shared" si="1"/>
        <v>4.1970000000000001</v>
      </c>
      <c r="K18" s="128">
        <f t="shared" si="1"/>
        <v>1.8361875000000001</v>
      </c>
      <c r="L18" s="119">
        <f t="shared" si="1"/>
        <v>0</v>
      </c>
      <c r="M18" s="230">
        <f t="shared" si="2"/>
        <v>46.429312499999995</v>
      </c>
      <c r="N18" s="277">
        <f t="shared" si="3"/>
        <v>9.9152542372881314</v>
      </c>
      <c r="O18" s="239">
        <f t="shared" si="4"/>
        <v>0.28172283368644063</v>
      </c>
      <c r="P18" s="311">
        <f t="shared" si="5"/>
        <v>56.626289570974564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7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311">
        <f t="shared" si="5"/>
        <v>156.8105792542373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7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311">
        <f t="shared" si="5"/>
        <v>156.8105792542373</v>
      </c>
      <c r="Q20" s="156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7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311">
        <f t="shared" si="5"/>
        <v>156.8105792542373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9</v>
      </c>
      <c r="I25" s="114">
        <f t="shared" ref="I25:M25" si="10">SUM(I16:I24)</f>
        <v>593.22749999999996</v>
      </c>
      <c r="J25" s="274">
        <f>SUM(J16:J24)</f>
        <v>47.458199999999998</v>
      </c>
      <c r="K25" s="275">
        <f t="shared" si="10"/>
        <v>20.762962500000004</v>
      </c>
      <c r="L25" s="276">
        <f t="shared" si="10"/>
        <v>0</v>
      </c>
      <c r="M25" s="232">
        <f t="shared" si="10"/>
        <v>525.00633750000009</v>
      </c>
      <c r="N25" s="233">
        <f>SUM(N16:N24)</f>
        <v>112.11864406779659</v>
      </c>
      <c r="O25" s="101">
        <f>SUM(O16:O24)</f>
        <v>3.1856249078389833</v>
      </c>
      <c r="P25" s="113">
        <f>SUM(P16:P24)</f>
        <v>640.3106064756355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593.22749999999996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47.458199999999998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20.762962500000004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525.00633749999997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112.11864406779659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637.12498156779657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3.1856249078389829</v>
      </c>
    </row>
    <row r="35" spans="2:16" ht="15.75" customHeight="1" thickBot="1" x14ac:dyDescent="0.4">
      <c r="N35" s="344" t="s">
        <v>88</v>
      </c>
      <c r="O35" s="345"/>
      <c r="P35" s="297">
        <f>+P33+P34</f>
        <v>640.3106064756355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311">
        <f t="shared" si="5"/>
        <v>156.8105792542373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311">
        <f t="shared" si="5"/>
        <v>156.8105792542373</v>
      </c>
      <c r="Q20" s="156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311">
        <f t="shared" si="5"/>
        <v>156.8105792542373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</v>
      </c>
      <c r="L25" s="276">
        <f t="shared" si="7"/>
        <v>0</v>
      </c>
      <c r="M25" s="232">
        <f t="shared" si="7"/>
        <v>385.71839999999997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470.43173776271192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435.84000000000003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34.867200000000004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15.2544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385.71840000000003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468.09128135593221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4" t="s">
        <v>88</v>
      </c>
      <c r="O35" s="345"/>
      <c r="P35" s="297">
        <f>+P33+P34</f>
        <v>470.43173776271186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8.75" customHeight="1" x14ac:dyDescent="0.4">
      <c r="A6" s="398" t="s">
        <v>517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311">
        <f t="shared" si="5"/>
        <v>156.8105792542373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311">
        <f t="shared" si="5"/>
        <v>156.8105792542373</v>
      </c>
      <c r="Q20" s="156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311">
        <f t="shared" si="5"/>
        <v>156.8105792542373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</v>
      </c>
      <c r="L25" s="276">
        <f t="shared" si="7"/>
        <v>0</v>
      </c>
      <c r="M25" s="232">
        <f t="shared" si="7"/>
        <v>385.71839999999997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470.43173776271192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435.84000000000003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34.867200000000004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15.2544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385.71840000000003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468.09128135593221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4" t="s">
        <v>88</v>
      </c>
      <c r="O35" s="345"/>
      <c r="P35" s="297">
        <f>+P33+P34</f>
        <v>470.43173776271186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311">
        <f t="shared" si="5"/>
        <v>156.8105792542373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311">
        <f t="shared" si="5"/>
        <v>156.8105792542373</v>
      </c>
      <c r="Q20" s="156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311">
        <f t="shared" si="5"/>
        <v>156.8105792542373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</v>
      </c>
      <c r="L25" s="276">
        <f t="shared" si="7"/>
        <v>0</v>
      </c>
      <c r="M25" s="232">
        <f t="shared" si="7"/>
        <v>385.71839999999997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470.43173776271192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435.84000000000003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34.867200000000004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15.2544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385.71840000000003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468.09128135593221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4" t="s">
        <v>88</v>
      </c>
      <c r="O35" s="345"/>
      <c r="P35" s="297">
        <f>+P33+P34</f>
        <v>470.43173776271186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workbookViewId="0">
      <selection activeCell="G20" sqref="G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519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311">
        <f t="shared" si="5"/>
        <v>156.8105792542373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311">
        <f t="shared" si="5"/>
        <v>156.8105792542373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311">
        <f t="shared" si="5"/>
        <v>156.8105792542373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</v>
      </c>
      <c r="L25" s="276">
        <f t="shared" si="7"/>
        <v>0</v>
      </c>
      <c r="M25" s="232">
        <f t="shared" si="7"/>
        <v>385.71839999999997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470.43173776271192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435.84000000000003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34.867200000000004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15.2544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385.71840000000003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468.09128135593221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4" t="s">
        <v>88</v>
      </c>
      <c r="O35" s="345"/>
      <c r="P35" s="297">
        <f>+P33+P34</f>
        <v>470.43173776271186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311">
        <f t="shared" si="5"/>
        <v>156.8105792542373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311">
        <f t="shared" si="5"/>
        <v>156.8105792542373</v>
      </c>
      <c r="Q20" s="156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311">
        <f t="shared" si="5"/>
        <v>156.8105792542373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</v>
      </c>
      <c r="L25" s="276">
        <f t="shared" si="7"/>
        <v>0</v>
      </c>
      <c r="M25" s="232">
        <f t="shared" si="7"/>
        <v>385.71839999999997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470.43173776271192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435.84000000000003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34.867200000000004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15.2544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385.71840000000003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468.09128135593221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4" t="s">
        <v>88</v>
      </c>
      <c r="O35" s="345"/>
      <c r="P35" s="297">
        <f>+P33+P34</f>
        <v>470.43173776271186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521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311">
        <f t="shared" si="5"/>
        <v>156.8105792542373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311">
        <f t="shared" si="5"/>
        <v>156.8105792542373</v>
      </c>
      <c r="Q20" s="156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311">
        <f t="shared" si="5"/>
        <v>156.8105792542373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</v>
      </c>
      <c r="L25" s="276">
        <f t="shared" si="7"/>
        <v>0</v>
      </c>
      <c r="M25" s="232">
        <f t="shared" si="7"/>
        <v>385.71839999999997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470.43173776271192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435.84000000000003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34.867200000000004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15.2544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385.71840000000003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468.09128135593221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4" t="s">
        <v>88</v>
      </c>
      <c r="O35" s="345"/>
      <c r="P35" s="297">
        <f>+P33+P34</f>
        <v>470.43173776271186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522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311">
        <f t="shared" si="5"/>
        <v>156.8105792542373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311">
        <f t="shared" si="5"/>
        <v>156.8105792542373</v>
      </c>
      <c r="Q20" s="156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311">
        <f t="shared" si="5"/>
        <v>156.8105792542373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</v>
      </c>
      <c r="L25" s="276">
        <f t="shared" si="7"/>
        <v>0</v>
      </c>
      <c r="M25" s="232">
        <f t="shared" si="7"/>
        <v>385.71839999999997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470.43173776271192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435.84000000000003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34.867200000000004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15.2544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385.71840000000003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468.09128135593221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4" t="s">
        <v>88</v>
      </c>
      <c r="O35" s="345"/>
      <c r="P35" s="297">
        <f>+P33+P34</f>
        <v>470.43173776271186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523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311">
        <f t="shared" si="5"/>
        <v>156.8105792542373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311">
        <f t="shared" si="5"/>
        <v>156.8105792542373</v>
      </c>
      <c r="Q20" s="156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311">
        <f t="shared" si="5"/>
        <v>156.8105792542373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</v>
      </c>
      <c r="L25" s="276">
        <f t="shared" si="7"/>
        <v>0</v>
      </c>
      <c r="M25" s="232">
        <f t="shared" si="7"/>
        <v>385.71839999999997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470.43173776271192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435.84000000000003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34.867200000000004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15.2544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385.71840000000003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468.09128135593221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4" t="s">
        <v>88</v>
      </c>
      <c r="O35" s="345"/>
      <c r="P35" s="297">
        <f>+P33+P34</f>
        <v>470.43173776271186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524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311">
        <f t="shared" si="5"/>
        <v>156.8105792542373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311">
        <f t="shared" si="5"/>
        <v>156.8105792542373</v>
      </c>
      <c r="Q20" s="156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311">
        <f t="shared" si="5"/>
        <v>156.8105792542373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</v>
      </c>
      <c r="L25" s="276">
        <f t="shared" si="7"/>
        <v>0</v>
      </c>
      <c r="M25" s="232">
        <f t="shared" si="7"/>
        <v>385.71839999999997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470.43173776271192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435.84000000000003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34.867200000000004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15.2544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385.71840000000003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468.09128135593221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4" t="s">
        <v>88</v>
      </c>
      <c r="O35" s="345"/>
      <c r="P35" s="297">
        <f>+P33+P34</f>
        <v>470.43173776271186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1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525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311">
        <f t="shared" si="5"/>
        <v>156.8105792542373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311">
        <f t="shared" si="5"/>
        <v>156.8105792542373</v>
      </c>
      <c r="Q20" s="156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311">
        <f t="shared" si="5"/>
        <v>156.8105792542373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</v>
      </c>
      <c r="L25" s="276">
        <f t="shared" si="7"/>
        <v>0</v>
      </c>
      <c r="M25" s="232">
        <f t="shared" si="7"/>
        <v>385.71839999999997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470.43173776271192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435.84000000000003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34.867200000000004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15.2544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385.71840000000003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468.09128135593221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4" t="s">
        <v>88</v>
      </c>
      <c r="O35" s="345"/>
      <c r="P35" s="297">
        <f>+P33+P34</f>
        <v>470.43173776271186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526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311">
        <f t="shared" si="5"/>
        <v>156.8105792542373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311">
        <f t="shared" si="5"/>
        <v>156.8105792542373</v>
      </c>
      <c r="Q20" s="156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311">
        <f t="shared" si="5"/>
        <v>156.8105792542373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</v>
      </c>
      <c r="L25" s="276">
        <f t="shared" si="7"/>
        <v>0</v>
      </c>
      <c r="M25" s="232">
        <f t="shared" si="7"/>
        <v>385.71839999999997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470.43173776271192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435.84000000000003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34.867200000000004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15.2544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385.71840000000003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468.09128135593221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4" t="s">
        <v>88</v>
      </c>
      <c r="O35" s="345"/>
      <c r="P35" s="297">
        <f>+P33+P34</f>
        <v>470.43173776271186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527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311">
        <f t="shared" si="5"/>
        <v>156.8105792542373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311">
        <f t="shared" si="5"/>
        <v>156.8105792542373</v>
      </c>
      <c r="Q20" s="156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311">
        <f t="shared" si="5"/>
        <v>156.8105792542373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</v>
      </c>
      <c r="L25" s="276">
        <f t="shared" si="7"/>
        <v>0</v>
      </c>
      <c r="M25" s="232">
        <f t="shared" si="7"/>
        <v>385.71839999999997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470.43173776271192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435.84000000000003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34.867200000000004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15.2544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385.71840000000003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468.09128135593221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4" t="s">
        <v>88</v>
      </c>
      <c r="O35" s="345"/>
      <c r="P35" s="297">
        <f>+P33+P34</f>
        <v>470.43173776271186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6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528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</v>
      </c>
      <c r="I19" s="236">
        <f t="shared" si="0"/>
        <v>72.64</v>
      </c>
      <c r="J19" s="272">
        <f t="shared" si="1"/>
        <v>5.8112000000000004</v>
      </c>
      <c r="K19" s="128">
        <f t="shared" si="1"/>
        <v>2.5424000000000002</v>
      </c>
      <c r="L19" s="119">
        <f t="shared" si="1"/>
        <v>0</v>
      </c>
      <c r="M19" s="230">
        <f t="shared" si="2"/>
        <v>64.2864</v>
      </c>
      <c r="N19" s="277">
        <f t="shared" si="3"/>
        <v>13.728813559322035</v>
      </c>
      <c r="O19" s="239">
        <f t="shared" si="4"/>
        <v>0.39007606779661019</v>
      </c>
      <c r="P19" s="311">
        <f t="shared" si="5"/>
        <v>78.405289627118648</v>
      </c>
      <c r="Q19" s="156">
        <v>1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311">
        <f t="shared" si="5"/>
        <v>156.8105792542373</v>
      </c>
      <c r="Q20" s="156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311">
        <f t="shared" si="5"/>
        <v>156.8105792542373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5</v>
      </c>
      <c r="I25" s="114">
        <f t="shared" si="7"/>
        <v>363.20000000000005</v>
      </c>
      <c r="J25" s="274">
        <f>SUM(J16:J24)</f>
        <v>29.056000000000004</v>
      </c>
      <c r="K25" s="275">
        <f t="shared" si="7"/>
        <v>12.712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363.20000000000005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29.056000000000004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12.712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321.43200000000007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390.07606779661023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1.9503803389830512</v>
      </c>
    </row>
    <row r="35" spans="2:16" ht="15.75" customHeight="1" thickBot="1" x14ac:dyDescent="0.4">
      <c r="N35" s="344" t="s">
        <v>88</v>
      </c>
      <c r="O35" s="345"/>
      <c r="P35" s="297">
        <f>+P33+P34</f>
        <v>392.02644813559328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529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311">
        <f t="shared" si="5"/>
        <v>156.8105792542373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311">
        <f t="shared" si="5"/>
        <v>156.8105792542373</v>
      </c>
      <c r="Q20" s="156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311">
        <f t="shared" si="5"/>
        <v>156.8105792542373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</v>
      </c>
      <c r="L25" s="276">
        <f t="shared" si="7"/>
        <v>0</v>
      </c>
      <c r="M25" s="232">
        <f t="shared" si="7"/>
        <v>385.71839999999997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470.43173776271192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435.84000000000003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34.867200000000004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15.2544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385.71840000000003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468.09128135593221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4" t="s">
        <v>88</v>
      </c>
      <c r="O35" s="345"/>
      <c r="P35" s="297">
        <f>+P33+P34</f>
        <v>470.43173776271186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530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311">
        <f t="shared" si="5"/>
        <v>156.8105792542373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311">
        <f t="shared" si="5"/>
        <v>156.8105792542373</v>
      </c>
      <c r="Q20" s="156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311">
        <f t="shared" si="5"/>
        <v>156.8105792542373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</v>
      </c>
      <c r="L25" s="276">
        <f t="shared" si="7"/>
        <v>0</v>
      </c>
      <c r="M25" s="232">
        <f t="shared" si="7"/>
        <v>385.71839999999997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470.43173776271192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435.84000000000003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34.867200000000004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15.2544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385.71840000000003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468.09128135593221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4" t="s">
        <v>88</v>
      </c>
      <c r="O35" s="345"/>
      <c r="P35" s="297">
        <f>+P33+P34</f>
        <v>470.43173776271186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531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311">
        <f t="shared" si="5"/>
        <v>156.8105792542373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311">
        <f t="shared" si="5"/>
        <v>156.8105792542373</v>
      </c>
      <c r="Q20" s="156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311">
        <f t="shared" si="5"/>
        <v>156.8105792542373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</v>
      </c>
      <c r="L25" s="276">
        <f t="shared" si="7"/>
        <v>0</v>
      </c>
      <c r="M25" s="232">
        <f t="shared" si="7"/>
        <v>385.71839999999997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470.43173776271192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435.84000000000003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34.867200000000004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15.2544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385.71840000000003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468.09128135593221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4" t="s">
        <v>88</v>
      </c>
      <c r="O35" s="345"/>
      <c r="P35" s="297">
        <f>+P33+P34</f>
        <v>470.43173776271186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532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311">
        <f t="shared" si="5"/>
        <v>235.21586888135593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311">
        <f t="shared" si="5"/>
        <v>235.21586888135593</v>
      </c>
      <c r="Q20" s="156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311">
        <f t="shared" si="5"/>
        <v>235.21586888135593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9</v>
      </c>
      <c r="I25" s="114">
        <f t="shared" si="7"/>
        <v>653.76</v>
      </c>
      <c r="J25" s="274">
        <f>SUM(J16:J24)</f>
        <v>52.30080000000001</v>
      </c>
      <c r="K25" s="275">
        <f t="shared" si="7"/>
        <v>22.881600000000002</v>
      </c>
      <c r="L25" s="276">
        <f t="shared" si="7"/>
        <v>0</v>
      </c>
      <c r="M25" s="232">
        <f t="shared" si="7"/>
        <v>578.57760000000007</v>
      </c>
      <c r="N25" s="233">
        <f>SUM(N16:N24)</f>
        <v>123.55932203389831</v>
      </c>
      <c r="O25" s="101">
        <f>SUM(O16:O24)</f>
        <v>3.5106846101694917</v>
      </c>
      <c r="P25" s="113">
        <f>SUM(P16:P24)</f>
        <v>705.64760664406776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653.76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52.30080000000001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22.881600000000002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578.57759999999996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123.55932203389831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702.13692203389826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3.5106846101694913</v>
      </c>
    </row>
    <row r="35" spans="2:16" ht="15.75" customHeight="1" thickBot="1" x14ac:dyDescent="0.4">
      <c r="N35" s="344" t="s">
        <v>88</v>
      </c>
      <c r="O35" s="345"/>
      <c r="P35" s="297">
        <f>+P33+P34</f>
        <v>705.64760664406776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533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</v>
      </c>
      <c r="I19" s="236">
        <f t="shared" si="0"/>
        <v>72.64</v>
      </c>
      <c r="J19" s="272">
        <f t="shared" si="1"/>
        <v>5.8112000000000004</v>
      </c>
      <c r="K19" s="128">
        <f t="shared" si="1"/>
        <v>2.5424000000000002</v>
      </c>
      <c r="L19" s="119">
        <f t="shared" si="1"/>
        <v>0</v>
      </c>
      <c r="M19" s="230">
        <f t="shared" si="2"/>
        <v>64.2864</v>
      </c>
      <c r="N19" s="277">
        <f t="shared" si="3"/>
        <v>13.728813559322035</v>
      </c>
      <c r="O19" s="239">
        <f t="shared" si="4"/>
        <v>0.39007606779661019</v>
      </c>
      <c r="P19" s="311">
        <f t="shared" si="5"/>
        <v>78.405289627118648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</v>
      </c>
      <c r="I20" s="236">
        <f t="shared" si="0"/>
        <v>72.64</v>
      </c>
      <c r="J20" s="272">
        <f t="shared" si="1"/>
        <v>5.8112000000000004</v>
      </c>
      <c r="K20" s="128">
        <f t="shared" si="1"/>
        <v>2.5424000000000002</v>
      </c>
      <c r="L20" s="119">
        <f t="shared" si="1"/>
        <v>0</v>
      </c>
      <c r="M20" s="230">
        <f t="shared" si="2"/>
        <v>64.2864</v>
      </c>
      <c r="N20" s="277">
        <f t="shared" si="3"/>
        <v>13.728813559322035</v>
      </c>
      <c r="O20" s="239">
        <f t="shared" si="4"/>
        <v>0.39007606779661019</v>
      </c>
      <c r="P20" s="311">
        <f t="shared" si="5"/>
        <v>78.405289627118648</v>
      </c>
      <c r="Q20" s="156"/>
      <c r="R20">
        <f>P20/21</f>
        <v>3.7335852203389832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</v>
      </c>
      <c r="I21" s="236">
        <f t="shared" si="0"/>
        <v>72.64</v>
      </c>
      <c r="J21" s="272">
        <f t="shared" si="1"/>
        <v>5.8112000000000004</v>
      </c>
      <c r="K21" s="128">
        <f t="shared" si="1"/>
        <v>2.5424000000000002</v>
      </c>
      <c r="L21" s="119">
        <f t="shared" si="1"/>
        <v>0</v>
      </c>
      <c r="M21" s="230">
        <f t="shared" si="2"/>
        <v>64.2864</v>
      </c>
      <c r="N21" s="277">
        <f t="shared" si="3"/>
        <v>13.728813559322035</v>
      </c>
      <c r="O21" s="239">
        <f t="shared" si="4"/>
        <v>0.39007606779661019</v>
      </c>
      <c r="P21" s="311">
        <f t="shared" si="5"/>
        <v>78.405289627118648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3</v>
      </c>
      <c r="I25" s="114">
        <f t="shared" si="7"/>
        <v>217.92000000000002</v>
      </c>
      <c r="J25" s="274">
        <f>SUM(J16:J24)</f>
        <v>17.433600000000002</v>
      </c>
      <c r="K25" s="275">
        <f t="shared" si="7"/>
        <v>7.6272000000000002</v>
      </c>
      <c r="L25" s="276">
        <f t="shared" si="7"/>
        <v>0</v>
      </c>
      <c r="M25" s="232">
        <f t="shared" si="7"/>
        <v>192.85919999999999</v>
      </c>
      <c r="N25" s="233">
        <f>SUM(N16:N24)</f>
        <v>41.186440677966104</v>
      </c>
      <c r="O25" s="101">
        <f>SUM(O16:O24)</f>
        <v>1.1702282033898306</v>
      </c>
      <c r="P25" s="113">
        <f>SUM(P16:P24)</f>
        <v>235.21586888135596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217.92000000000002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17.433600000000002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7.6272000000000002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192.85920000000002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41.186440677966104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234.04564067796611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1.1702282033898306</v>
      </c>
    </row>
    <row r="35" spans="2:16" ht="15.75" customHeight="1" thickBot="1" x14ac:dyDescent="0.4">
      <c r="N35" s="344" t="s">
        <v>88</v>
      </c>
      <c r="O35" s="345"/>
      <c r="P35" s="297">
        <f>+P33+P34</f>
        <v>235.21586888135593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8.75" customHeight="1" x14ac:dyDescent="0.4">
      <c r="A6" s="398" t="s">
        <v>534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</v>
      </c>
      <c r="I19" s="236">
        <f t="shared" si="0"/>
        <v>72.64</v>
      </c>
      <c r="J19" s="272">
        <f t="shared" si="1"/>
        <v>5.8112000000000004</v>
      </c>
      <c r="K19" s="128">
        <f t="shared" si="1"/>
        <v>2.5424000000000002</v>
      </c>
      <c r="L19" s="119">
        <f t="shared" si="1"/>
        <v>0</v>
      </c>
      <c r="M19" s="230">
        <f t="shared" si="2"/>
        <v>64.2864</v>
      </c>
      <c r="N19" s="277">
        <f t="shared" si="3"/>
        <v>13.728813559322035</v>
      </c>
      <c r="O19" s="239">
        <f t="shared" si="4"/>
        <v>0.39007606779661019</v>
      </c>
      <c r="P19" s="311">
        <f t="shared" si="5"/>
        <v>78.405289627118648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</v>
      </c>
      <c r="I20" s="236">
        <f t="shared" si="0"/>
        <v>72.64</v>
      </c>
      <c r="J20" s="272">
        <f t="shared" si="1"/>
        <v>5.8112000000000004</v>
      </c>
      <c r="K20" s="128">
        <f t="shared" si="1"/>
        <v>2.5424000000000002</v>
      </c>
      <c r="L20" s="119">
        <f t="shared" si="1"/>
        <v>0</v>
      </c>
      <c r="M20" s="230">
        <f t="shared" si="2"/>
        <v>64.2864</v>
      </c>
      <c r="N20" s="277">
        <f t="shared" si="3"/>
        <v>13.728813559322035</v>
      </c>
      <c r="O20" s="239">
        <f t="shared" si="4"/>
        <v>0.39007606779661019</v>
      </c>
      <c r="P20" s="311">
        <f t="shared" si="5"/>
        <v>78.405289627118648</v>
      </c>
      <c r="Q20" s="156"/>
      <c r="R20">
        <f>P20/21</f>
        <v>3.7335852203389832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</v>
      </c>
      <c r="I21" s="236">
        <f t="shared" si="0"/>
        <v>72.64</v>
      </c>
      <c r="J21" s="272">
        <f t="shared" si="1"/>
        <v>5.8112000000000004</v>
      </c>
      <c r="K21" s="128">
        <f t="shared" si="1"/>
        <v>2.5424000000000002</v>
      </c>
      <c r="L21" s="119">
        <f t="shared" si="1"/>
        <v>0</v>
      </c>
      <c r="M21" s="230">
        <f t="shared" si="2"/>
        <v>64.2864</v>
      </c>
      <c r="N21" s="277">
        <f t="shared" si="3"/>
        <v>13.728813559322035</v>
      </c>
      <c r="O21" s="239">
        <f t="shared" si="4"/>
        <v>0.39007606779661019</v>
      </c>
      <c r="P21" s="311">
        <f t="shared" si="5"/>
        <v>78.405289627118648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3</v>
      </c>
      <c r="I25" s="114">
        <f t="shared" si="7"/>
        <v>217.92000000000002</v>
      </c>
      <c r="J25" s="274">
        <f>SUM(J16:J24)</f>
        <v>17.433600000000002</v>
      </c>
      <c r="K25" s="275">
        <f t="shared" si="7"/>
        <v>7.6272000000000002</v>
      </c>
      <c r="L25" s="276">
        <f t="shared" si="7"/>
        <v>0</v>
      </c>
      <c r="M25" s="232">
        <f t="shared" si="7"/>
        <v>192.85919999999999</v>
      </c>
      <c r="N25" s="233">
        <f>SUM(N16:N24)</f>
        <v>41.186440677966104</v>
      </c>
      <c r="O25" s="101">
        <f>SUM(O16:O24)</f>
        <v>1.1702282033898306</v>
      </c>
      <c r="P25" s="113">
        <f>SUM(P16:P24)</f>
        <v>235.21586888135596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217.92000000000002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17.433600000000002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7.6272000000000002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192.85920000000002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41.186440677966104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234.04564067796611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1.1702282033898306</v>
      </c>
    </row>
    <row r="35" spans="2:16" ht="15.75" customHeight="1" thickBot="1" x14ac:dyDescent="0.4">
      <c r="N35" s="344" t="s">
        <v>88</v>
      </c>
      <c r="O35" s="345"/>
      <c r="P35" s="297">
        <f>+P33+P34</f>
        <v>235.21586888135593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535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</v>
      </c>
      <c r="I19" s="236">
        <f t="shared" si="0"/>
        <v>72.64</v>
      </c>
      <c r="J19" s="272">
        <f t="shared" si="1"/>
        <v>5.8112000000000004</v>
      </c>
      <c r="K19" s="128">
        <f t="shared" si="1"/>
        <v>2.5424000000000002</v>
      </c>
      <c r="L19" s="119">
        <f t="shared" si="1"/>
        <v>0</v>
      </c>
      <c r="M19" s="230">
        <f t="shared" si="2"/>
        <v>64.2864</v>
      </c>
      <c r="N19" s="277">
        <f t="shared" si="3"/>
        <v>13.728813559322035</v>
      </c>
      <c r="O19" s="239">
        <f t="shared" si="4"/>
        <v>0.39007606779661019</v>
      </c>
      <c r="P19" s="311">
        <f t="shared" si="5"/>
        <v>78.405289627118648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</v>
      </c>
      <c r="I20" s="236">
        <f t="shared" si="0"/>
        <v>72.64</v>
      </c>
      <c r="J20" s="272">
        <f t="shared" si="1"/>
        <v>5.8112000000000004</v>
      </c>
      <c r="K20" s="128">
        <f t="shared" si="1"/>
        <v>2.5424000000000002</v>
      </c>
      <c r="L20" s="119">
        <f t="shared" si="1"/>
        <v>0</v>
      </c>
      <c r="M20" s="230">
        <f t="shared" si="2"/>
        <v>64.2864</v>
      </c>
      <c r="N20" s="277">
        <f t="shared" si="3"/>
        <v>13.728813559322035</v>
      </c>
      <c r="O20" s="239">
        <f t="shared" si="4"/>
        <v>0.39007606779661019</v>
      </c>
      <c r="P20" s="311">
        <f t="shared" si="5"/>
        <v>78.405289627118648</v>
      </c>
      <c r="Q20" s="156"/>
      <c r="R20">
        <f>P20/21</f>
        <v>3.7335852203389832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</v>
      </c>
      <c r="I21" s="236">
        <f t="shared" si="0"/>
        <v>72.64</v>
      </c>
      <c r="J21" s="272">
        <f t="shared" si="1"/>
        <v>5.8112000000000004</v>
      </c>
      <c r="K21" s="128">
        <f t="shared" si="1"/>
        <v>2.5424000000000002</v>
      </c>
      <c r="L21" s="119">
        <f t="shared" si="1"/>
        <v>0</v>
      </c>
      <c r="M21" s="230">
        <f t="shared" si="2"/>
        <v>64.2864</v>
      </c>
      <c r="N21" s="277">
        <f t="shared" si="3"/>
        <v>13.728813559322035</v>
      </c>
      <c r="O21" s="239">
        <f t="shared" si="4"/>
        <v>0.39007606779661019</v>
      </c>
      <c r="P21" s="311">
        <f t="shared" si="5"/>
        <v>78.405289627118648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3</v>
      </c>
      <c r="I25" s="114">
        <f t="shared" si="7"/>
        <v>217.92000000000002</v>
      </c>
      <c r="J25" s="274">
        <f>SUM(J16:J24)</f>
        <v>17.433600000000002</v>
      </c>
      <c r="K25" s="275">
        <f t="shared" si="7"/>
        <v>7.6272000000000002</v>
      </c>
      <c r="L25" s="276">
        <f t="shared" si="7"/>
        <v>0</v>
      </c>
      <c r="M25" s="232">
        <f t="shared" si="7"/>
        <v>192.85919999999999</v>
      </c>
      <c r="N25" s="233">
        <f>SUM(N16:N24)</f>
        <v>41.186440677966104</v>
      </c>
      <c r="O25" s="101">
        <f>SUM(O16:O24)</f>
        <v>1.1702282033898306</v>
      </c>
      <c r="P25" s="113">
        <f>SUM(P16:P24)</f>
        <v>235.21586888135596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217.92000000000002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17.433600000000002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7.6272000000000002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192.85920000000002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41.186440677966104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234.04564067796611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1.1702282033898306</v>
      </c>
    </row>
    <row r="35" spans="2:16" ht="15.75" customHeight="1" thickBot="1" x14ac:dyDescent="0.4">
      <c r="N35" s="344" t="s">
        <v>88</v>
      </c>
      <c r="O35" s="345"/>
      <c r="P35" s="297">
        <f>+P33+P34</f>
        <v>235.21586888135593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536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311">
        <f t="shared" si="5"/>
        <v>2265.051582838983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113">
        <f>SUM(P16:P24)</f>
        <v>2265.051582838983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2098.5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167.88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73.447500000000005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1857.1724999999999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2253.7826694915252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4" t="s">
        <v>88</v>
      </c>
      <c r="O35" s="345"/>
      <c r="P35" s="297">
        <f>+P33+P34</f>
        <v>2265.051582838983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opLeftCell="A10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537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77</v>
      </c>
      <c r="I16" s="235">
        <f>(G16*D16)*F16+H16*F16</f>
        <v>4039.6124999999997</v>
      </c>
      <c r="J16" s="271">
        <f>$I16*S16</f>
        <v>323.16899999999998</v>
      </c>
      <c r="K16" s="127">
        <f>$I16*T16</f>
        <v>141.3864375</v>
      </c>
      <c r="L16" s="118">
        <f>$I16*U16</f>
        <v>0</v>
      </c>
      <c r="M16" s="229">
        <f>I16-SUM(J16:L16)</f>
        <v>3575.0570624999996</v>
      </c>
      <c r="N16" s="248">
        <f>+(G16*D16+H16)*V16</f>
        <v>763.47457627118615</v>
      </c>
      <c r="O16" s="238">
        <f>(N16+M16)*$O$15</f>
        <v>21.692658193855927</v>
      </c>
      <c r="P16" s="310">
        <f>M16+N16+O16</f>
        <v>4360.2242969650415</v>
      </c>
      <c r="Q16" s="313">
        <v>3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77</v>
      </c>
      <c r="I25" s="114">
        <f t="shared" si="7"/>
        <v>4039.6124999999997</v>
      </c>
      <c r="J25" s="274">
        <f>SUM(J16:J24)</f>
        <v>323.16899999999998</v>
      </c>
      <c r="K25" s="275">
        <f t="shared" si="7"/>
        <v>141.3864375</v>
      </c>
      <c r="L25" s="276">
        <f t="shared" si="7"/>
        <v>0</v>
      </c>
      <c r="M25" s="232">
        <f t="shared" si="7"/>
        <v>3575.0570624999996</v>
      </c>
      <c r="N25" s="233">
        <f>SUM(N16:N24)</f>
        <v>763.47457627118615</v>
      </c>
      <c r="O25" s="101">
        <f>SUM(O16:O24)</f>
        <v>21.692658193855927</v>
      </c>
      <c r="P25" s="113">
        <f>SUM(P16:P24)</f>
        <v>4360.2242969650415</v>
      </c>
      <c r="Q25" s="128">
        <f>SUM(Q16:Q24)</f>
        <v>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4039.6124999999997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323.16899999999998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141.3864375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3575.0570625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763.47457627118615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4338.5316387711864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21.692658193855934</v>
      </c>
    </row>
    <row r="35" spans="2:16" ht="15.75" customHeight="1" thickBot="1" x14ac:dyDescent="0.4">
      <c r="N35" s="344" t="s">
        <v>88</v>
      </c>
      <c r="O35" s="345"/>
      <c r="P35" s="297">
        <f>+P33+P34</f>
        <v>4360.2242969650424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46268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46267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2026-09-02T12:38:07Z</dcterms:modified>
</cp:coreProperties>
</file>