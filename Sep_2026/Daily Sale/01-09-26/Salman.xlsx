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9815C77-28F4-47DF-A75B-234D0BE4E3B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5" l="1"/>
  <c r="M21" i="53"/>
  <c r="O21" i="53" s="1"/>
  <c r="P21" i="53" s="1"/>
  <c r="M21" i="5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<sst xmlns="http://schemas.openxmlformats.org/spreadsheetml/2006/main" count="3948" uniqueCount="538">
  <si>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</si>
  <si>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</si>
  <si>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</si>
  <si>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</si>
  <si>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</si>
  <si>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</si>
  <si>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</si>
  <si>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</si>
  <si>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</si>
  <si>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</si>
  <si>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</si>
  <si>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</si>
  <si>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</si>
  <si>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</si>
  <si>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</si>
  <si>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</si>
  <si>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</si>
  <si>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</si>
  <si>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</si>
  <si>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</si>
  <si>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</si>
  <si>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</si>
  <si>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</si>
  <si>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</si>
  <si>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</si>
  <si>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</si>
  <si>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</si>
  <si>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</si>
  <si>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</si>
  <si>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</si>
  <si>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</si>
  <si>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</si>
  <si>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</si>
  <si>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</si>
  <si>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</si>
  <si>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</si>
  <si>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</si>
  <si>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</si>
  <si>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</si>
  <si>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</si>
  <si>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</si>
  <si>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</si>
  <si>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</si>
  <si>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</si>
  <si>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</si>
  <si>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</si>
  <si>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</si>
  <si>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</si>
  <si>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</si>
  <si>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</si>
  <si>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</si>
  <si>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</si>
  <si>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</si>
  <si>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</si>
  <si>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</si>
  <si>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</si>
  <si>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</si>
  <si>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</si>
  <si>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</si>
  <si>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</si>
  <si>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</si>
  <si>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</si>
  <si>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</si>
  <si>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</si>
  <si>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</si>
  <si>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</si>
  <si>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</si>
  <si>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</si>
  <si>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</si>
  <si>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</si>
  <si>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</si>
  <si>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</si>
  <si>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</si>
  <si>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</si>
  <si>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</si>
  <si>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</si>
  <si>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</si>
  <si>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</si>
  <si>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</si>
  <si>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</si>
  <si>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</si>
  <si>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</si>
  <si>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</si>
  <si>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</si>
  <si>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</si>
  <si>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</si>
  <si>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</si>
  <si>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</si>
  <si>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</si>
  <si>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</si>
  <si>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</si>
  <si>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</si>
  <si>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</si>
  <si>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</si>
  <si>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</si>
  <si>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</si>
  <si>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</si>
  <si>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</si>
  <si>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</si>
  <si>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</si>
  <si>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</si>
  <si>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</si>
  <si>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</si>
  <si>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</si>
  <si>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</si>
  <si>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</si>
  <si>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</si>
  <si>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</si>
  <si>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</si>
  <si>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</si>
  <si>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</si>
  <si>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</si>
  <si>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</si>
  <si>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</si>
  <si>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</si>
  <si>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</si>
  <si>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</si>
  <si>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</si>
  <si>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</si>
  <si>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</si>
  <si>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</si>
  <si>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</si>
  <si>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</si>
  <si>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</si>
  <si>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</si>
  <si>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</si>
  <si>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</si>
  <si>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</si>
  <si>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</si>
  <si>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</si>
  <si>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</si>
  <si>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</si>
  <si>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</si>
  <si>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</si>
  <si>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</si>
  <si>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</si>
  <si>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</si>
  <si>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</si>
  <si>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</si>
  <si>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</si>
  <si>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</si>
  <si>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</si>
  <si>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</si>
  <si>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</si>
  <si>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</si>
  <si>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</si>
  <si>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</si>
  <si>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</si>
  <si>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</si>
  <si>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</si>
  <si>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</si>
  <si>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</si>
  <si>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</si>
  <si>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</si>
  <si>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</si>
  <si>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</si>
  <si>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</si>
  <si>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</si>
  <si>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</si>
  <si>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</si>
  <si>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</si>
  <si>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</si>
  <si>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</si>
  <si>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</si>
  <si>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</si>
  <si>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</si>
  <si>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</si>
  <si>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</si>
  <si>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</si>
  <si>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</si>
  <si>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</si>
  <si>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</si>
  <si>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</si>
  <si>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</si>
  <si>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</si>
  <si>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</si>
  <si>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</si>
  <si>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</si>
  <si>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</si>
  <si>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</si>
  <si>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</si>
  <si>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</si>
  <si>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</si>
  <si>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</si>
  <si>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</si>
  <si>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</si>
  <si>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</si>
  <si>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</si>
  <si>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</si>
  <si>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</si>
  <si>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</si>
  <si>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</si>
  <si>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</si>
  <si>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</si>
  <si>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</si>
  <si>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</si>
  <si>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</si>
  <si>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</si>
  <si>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</si>
  <si>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</si>
  <si>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</si>
  <si>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</si>
  <si>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</si>
  <si>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</si>
  <si>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</si>
  <si>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</si>
  <si>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</si>
  <si>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</si>
  <si>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</si>
  <si>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</si>
  <si>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</si>
  <si>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</si>
  <si>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</si>
  <si>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</si>
  <si>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</si>
  <si>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</si>
  <si>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</si>
  <si>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</si>
  <si>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</si>
  <si>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</si>
  <si>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</si>
  <si>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</si>
  <si>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</si>
  <si>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</si>
  <si>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</si>
  <si>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</si>
  <si>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</si>
  <si>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</si>
  <si>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</si>
  <si>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</si>
  <si>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</si>
  <si>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</si>
  <si>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</si>
  <si>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</si>
  <si>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</si>
  <si>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</si>
  <si>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</si>
  <si>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</si>
  <si>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</si>
  <si>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</si>
  <si>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</si>
  <si>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</si>
  <si>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</si>
  <si>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</si>
  <si>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</si>
  <si>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</si>
  <si>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</si>
  <si>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</si>
  <si>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</si>
  <si>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</si>
  <si>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</si>
  <si>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</si>
  <si>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</si>
  <si>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</si>
  <si>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</si>
  <si>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</si>
  <si>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</si>
  <si>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</si>
  <si>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</si>
  <si>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</si>
  <si>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</si>
  <si>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</si>
  <si>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</si>
  <si>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</si>
  <si>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</si>
  <si>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</si>
  <si>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</si>
  <si>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</si>
  <si>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</si>
  <si>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</si>
  <si>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</si>
  <si>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</si>
  <si>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</si>
  <si>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</si>
  <si>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</si>
  <si>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</si>
  <si>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</si>
  <si>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</si>
  <si>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</si>
  <si>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</si>
  <si>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</si>
  <si>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</si>
  <si>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</si>
  <si>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</si>
  <si>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</si>
  <si>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</si>
  <si>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</si>
  <si>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</si>
  <si>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</si>
  <si>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</si>
  <si>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</si>
  <si>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</si>
  <si>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</si>
  <si>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</si>
  <si>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</si>
  <si>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</si>
  <si>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</si>
  <si>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</si>
  <si>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</si>
  <si>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</si>
  <si>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</si>
  <si>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</si>
  <si>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</si>
  <si>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</si>
  <si>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</si>
  <si>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</si>
  <si>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</si>
  <si>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</si>
  <si>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</si>
  <si>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</si>
  <si>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</si>
  <si>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</si>
  <si>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</si>
  <si>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</si>
  <si>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</si>
  <si>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</si>
  <si>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</si>
  <si>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</si>
  <si>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</si>
  <si>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</si>
  <si>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</si>
  <si>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</si>
  <si>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</si>
  <si>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</si>
  <si>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</si>
  <si>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</si>
  <si>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</si>
  <si>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</si>
  <si>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</si>
  <si>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</si>
  <si>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</si>
  <si>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</si>
  <si>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</si>
  <si>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</si>
  <si>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</si>
  <si>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</si>
  <si>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</si>
  <si>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</si>
  <si>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</si>
  <si>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</si>
  <si>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</si>
  <si>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</si>
  <si>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</si>
  <si>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</si>
  <si>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</si>
  <si>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</si>
  <si>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</si>
  <si>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</si>
  <si>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</si>
  <si>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</si>
  <si>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</si>
  <si>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</si>
  <si>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</si>
  <si>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</si>
  <si>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</si>
  <si>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</si>
  <si>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</si>
  <si>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</si>
  <si>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</si>
  <si>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</si>
  <si>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</si>
  <si>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</si>
  <si>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</si>
  <si>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</si>
  <si>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</si>
  <si>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</si>
  <si>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</si>
  <si>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</si>
  <si>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</si>
  <si>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</si>
  <si>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</si>
  <si>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</si>
  <si>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</si>
  <si>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</si>
  <si>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</si>
  <si>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</si>
  <si>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</si>
  <si>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</si>
  <si>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</si>
  <si>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</si>
  <si>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</si>
  <si>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</si>
  <si>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</si>
  <si>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</si>
  <si>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</si>
  <si>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</si>
  <si>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</si>
  <si>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</si>
  <si>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</si>
  <si>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</si>
  <si>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</si>
  <si>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</si>
  <si>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</si>
  <si>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</si>
  <si>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</si>
  <si>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</si>
  <si>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</si>
  <si>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</si>
  <si>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</si>
  <si>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</si>
  <si>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</si>
  <si>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</si>
  <si>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</si>
  <si>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</si>
  <si>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</si>
  <si>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</si>
  <si>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</si>
  <si>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</si>
  <si>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</si>
  <si>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</si>
  <si>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</si>
  <si>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</si>
  <si>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</si>
  <si>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</si>
  <si>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</si>
  <si>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</si>
  <si>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</si>
  <si>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</si>
  <si>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</si>
  <si>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</si>
  <si>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</si>
  <si>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</si>
  <si>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</si>
  <si>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</si>
  <si>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</si>
  <si>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</si>
  <si>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</si>
  <si>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</si>
  <si>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</si>
  <si>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</si>
  <si>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</si>
  <si>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</si>
  <si>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</si>
  <si>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</si>
  <si>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</si>
  <si>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</si>
  <si>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</si>
  <si>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</si>
  <si>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</si>
  <si>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</si>
  <si>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</si>
  <si>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</si>
  <si>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</si>
  <si>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</si>
  <si>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</si>
  <si>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</si>
  <si>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</si>
  <si>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</si>
  <si>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</si>
  <si>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</si>
  <si>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</si>
  <si>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</si>
  <si>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</si>
  <si>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</si>
  <si>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</si>
  <si>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</si>
  <si>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</si>
  <si>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</si>
  <si>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</si>
  <si>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</si>
  <si>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</si>
  <si>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</si>
  <si>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</si>
  <si>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</si>
  <si>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</si>
  <si>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</si>
  <si>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</si>
  <si>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</si>
  <si>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</si>
  <si>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</si>
  <si>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</si>
  <si>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</si>
  <si>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</si>
  <si>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</si>
  <si>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</si>
  <si>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</si>
  <si>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</si>
  <si>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</si>
  <si>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</si>
  <si>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</si>
  <si>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</si>
  <si>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</si>
  <si>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</si>
  <si>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</si>
  <si>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</si>
  <si>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</si>
  <si>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</si>
  <si>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</si>
  <si>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</si>
  <si>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</si>
  <si>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</si>
  <si>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</si>
  <si>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</si>
  <si>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</si>
  <si>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</si>
  <si>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</si>
  <si>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</si>
  <si>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</si>
  <si>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</si>
  <si>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</si>
  <si>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</si>
  <si>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</si>
  <si>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</si>
  <si>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</si>
  <si>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</si>
  <si>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</si>
  <si>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</si>
  <si>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</si>
  <si>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</si>
  <si>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</si>
  <si>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</si>
  <si>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</si>
  <si>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</si>
  <si>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</si>
  <si>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Askari Market</t>
  </si>
  <si>
    <t xml:space="preserve">Al Fatah Bakers </t>
  </si>
  <si>
    <t>Aneel Store</t>
  </si>
  <si>
    <t>Sanwal Store</t>
  </si>
  <si>
    <t>Khan Store</t>
  </si>
  <si>
    <t>Dil Shat Store</t>
  </si>
  <si>
    <t>Tofeeq Store</t>
  </si>
  <si>
    <t>Rehan Store</t>
  </si>
  <si>
    <t>Yousaf Store</t>
  </si>
  <si>
    <t>Khan Zada Store</t>
  </si>
  <si>
    <t>Mahmood Store</t>
  </si>
  <si>
    <t>Ali Store</t>
  </si>
  <si>
    <t>Al Rehan Store</t>
  </si>
  <si>
    <t>Qazi Store</t>
  </si>
  <si>
    <t>Gujjar Store</t>
  </si>
  <si>
    <t>Kashmir Store</t>
  </si>
  <si>
    <t>Waleed Store</t>
  </si>
  <si>
    <t>Qasim Store</t>
  </si>
  <si>
    <t>Bilal Store</t>
  </si>
  <si>
    <t>Ali GS</t>
  </si>
  <si>
    <t xml:space="preserve">Shah Nawaz </t>
  </si>
  <si>
    <t xml:space="preserve">Bilawal Bakers </t>
  </si>
  <si>
    <t>Wali GS</t>
  </si>
  <si>
    <t>Kashif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</si>
</sst>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J4" sqref="J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Al Fatah Bakers </v>
      </c>
      <c r="T3" s="301">
        <f>+'1'!P35</f>
        <v>640.3106064756355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Aneel Store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Sanwal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Khan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82</v>
      </c>
      <c r="I7" s="235">
        <f>(G7*D7)*F7+H7*F7</f>
        <v>4301.9250000000002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344.154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150.567375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3807.2036250000001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813.05084745762679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23.101272362288135</v>
      </c>
      <c r="P7" s="310">
        <f>M7+N7+O7</f>
        <v>4643.3557448199153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Dil Shat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Tofeeq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Rehan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2571.4559999999997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15.603042711864402</v>
      </c>
      <c r="P10" s="311">
        <f t="shared" si="2"/>
        <v>3136.2115850847454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Yousaf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15.603042711864402</v>
      </c>
      <c r="P11" s="311">
        <f t="shared" si="2"/>
        <v>3136.2115850847454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Khan Zada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2571.4559999999997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15.603042711864402</v>
      </c>
      <c r="P12" s="311">
        <f t="shared" si="2"/>
        <v>3136.2115850847454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Mahmood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Ali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Al Rehan Store</v>
      </c>
      <c r="T14" s="301">
        <f>+'12'!P35</f>
        <v>470.43173776271186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Qazi Store</v>
      </c>
      <c r="T15" s="301">
        <f>+'13'!P35</f>
        <v>470.43173776271186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6.0750000000000002</v>
      </c>
      <c r="H16" s="113">
        <f t="shared" ref="H16:M16" si="3">SUM(H7:H15)</f>
        <v>243</v>
      </c>
      <c r="I16" s="114">
        <f t="shared" si="3"/>
        <v>15169.687500000002</v>
      </c>
      <c r="J16" s="274">
        <f>SUM(J7:J15)</f>
        <v>1213.5750000000003</v>
      </c>
      <c r="K16" s="275">
        <f t="shared" si="3"/>
        <v>530.93906250000009</v>
      </c>
      <c r="L16" s="276">
        <f t="shared" si="3"/>
        <v>0</v>
      </c>
      <c r="M16" s="232">
        <f t="shared" si="3"/>
        <v>13425.1734375</v>
      </c>
      <c r="N16" s="233">
        <f>SUM(N7:N15)</f>
        <v>2867.0338983050838</v>
      </c>
      <c r="O16" s="101">
        <f>SUM(O7:O15)</f>
        <v>81.461036679025412</v>
      </c>
      <c r="P16" s="113">
        <f>SUM(P7:P15)</f>
        <v>16373.66837248411</v>
      </c>
      <c r="Q16" s="128">
        <f>SUM(Q7:Q15)</f>
        <v>0</v>
      </c>
      <c r="R16" s="314">
        <v>14</v>
      </c>
      <c r="S16" s="318" t="str">
        <f>+'14'!A6:A6</f>
        <v>Gujjar Store</v>
      </c>
      <c r="T16" s="301">
        <f>+'14'!P35</f>
        <v>470.43173776271186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Kashmir Store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Waleed Store</v>
      </c>
      <c r="T18" s="301">
        <f>+'16'!P35</f>
        <v>470.43173776271186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15169.687500000002</v>
      </c>
      <c r="R19" s="299">
        <v>17</v>
      </c>
      <c r="S19" s="300" t="str">
        <f>+'17'!A6:A6</f>
        <v>Qasim Store</v>
      </c>
      <c r="T19" s="301">
        <f>+'17'!P35</f>
        <v>470.43173776271186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1213.5750000000003</v>
      </c>
      <c r="R20" s="299">
        <v>18</v>
      </c>
      <c r="S20" s="300" t="str">
        <f>+'18'!A6:A6</f>
        <v>Bilal Store</v>
      </c>
      <c r="T20" s="301">
        <f>+'18'!P35</f>
        <v>705.64760664406776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530.93906250000009</v>
      </c>
      <c r="R21" s="299">
        <v>19</v>
      </c>
      <c r="S21" s="300" t="str">
        <f>+'19'!A6:A6</f>
        <v>Ali GS</v>
      </c>
      <c r="T21" s="301">
        <f>+'19'!P35</f>
        <v>235.21586888135593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13425.173437500001</v>
      </c>
      <c r="R22" s="299">
        <v>20</v>
      </c>
      <c r="S22" s="300" t="str">
        <f>+'20'!A6:A6</f>
        <v xml:space="preserve">Shah Nawaz </v>
      </c>
      <c r="T22" s="301">
        <f>+'20'!P35</f>
        <v>235.21586888135593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2867.0338983050838</v>
      </c>
      <c r="R23" s="299">
        <v>21</v>
      </c>
      <c r="S23" s="300" t="str">
        <f>+'21'!A6:A6</f>
        <v xml:space="preserve">Bilawal Bakers </v>
      </c>
      <c r="T23" s="301">
        <f>+'21'!P35</f>
        <v>235.21586888135593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16292.207335805086</v>
      </c>
      <c r="R24" s="299">
        <v>22</v>
      </c>
      <c r="S24" s="300" t="str">
        <f>+'22'!A6:A6</f>
        <v>Wali GS</v>
      </c>
      <c r="T24" s="301">
        <f>+'22'!P35</f>
        <v>2265.051582838983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81.461036679025412</v>
      </c>
      <c r="R25" s="299">
        <v>23</v>
      </c>
      <c r="S25" s="300" t="str">
        <f>+'23'!A6:A6</f>
        <v>Kashif Super Store</v>
      </c>
      <c r="T25" s="301">
        <f>+'23'!P35</f>
        <v>4530.103165677966</v>
      </c>
    </row>
    <row r="26" spans="1:20" ht="21.75" customHeight="1" thickBot="1" x14ac:dyDescent="0.4">
      <c r="N26" s="373" t="s">
        <v>88</v>
      </c>
      <c r="O26" s="374"/>
      <c r="P26" s="297">
        <f>+P24+P25</f>
        <v>16373.668372484111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16373.668372484113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310">
        <f>M16+N16+O16</f>
        <v>113.25257914194913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ref="I18:I21" si="7">(G18*D18)*F18+H18*F18</f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7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7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7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593.22749999999996</v>
      </c>
      <c r="J25" s="274">
        <f>SUM(J16:J24)</f>
        <v>47.458199999999998</v>
      </c>
      <c r="K25" s="275">
        <f t="shared" si="10"/>
        <v>20.762962500000004</v>
      </c>
      <c r="L25" s="276">
        <f t="shared" si="10"/>
        <v>0</v>
      </c>
      <c r="M25" s="232">
        <f t="shared" si="10"/>
        <v>525.00633750000009</v>
      </c>
      <c r="N25" s="233">
        <f>SUM(N16:N24)</f>
        <v>112.11864406779659</v>
      </c>
      <c r="O25" s="101">
        <f>SUM(O16:O24)</f>
        <v>3.1856249078389833</v>
      </c>
      <c r="P25" s="113">
        <f>SUM(P16:P24)</f>
        <v>640.3106064756355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593.22749999999996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47.458199999999998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20.762962500000004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525.00633749999997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112.11864406779659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637.12498156779657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3.1856249078389829</v>
      </c>
    </row>
    <row r="35" spans="2:16" ht="15.75" customHeight="1" thickBot="1" x14ac:dyDescent="0.4">
      <c r="N35" s="373" t="s">
        <v>88</v>
      </c>
      <c r="O35" s="374"/>
      <c r="P35" s="297">
        <f>+P33+P34</f>
        <v>640.3106064756355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435.84000000000003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34.867200000000004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15.2544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385.71840000000003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468.09128135593221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3" t="s">
        <v>88</v>
      </c>
      <c r="O35" s="374"/>
      <c r="P35" s="297">
        <f>+P33+P34</f>
        <v>470.43173776271186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9</v>
      </c>
      <c r="I25" s="114">
        <f t="shared" si="7"/>
        <v>653.76</v>
      </c>
      <c r="J25" s="274">
        <f>SUM(J16:J24)</f>
        <v>52.30080000000001</v>
      </c>
      <c r="K25" s="275">
        <f t="shared" si="7"/>
        <v>22.881600000000002</v>
      </c>
      <c r="L25" s="276">
        <f t="shared" si="7"/>
        <v>0</v>
      </c>
      <c r="M25" s="232">
        <f t="shared" si="7"/>
        <v>578.57760000000007</v>
      </c>
      <c r="N25" s="233">
        <f>SUM(N16:N24)</f>
        <v>123.55932203389831</v>
      </c>
      <c r="O25" s="101">
        <f>SUM(O16:O24)</f>
        <v>3.5106846101694917</v>
      </c>
      <c r="P25" s="113">
        <f>SUM(P16:P24)</f>
        <v>705.64760664406776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653.76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52.30080000000001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22.881600000000002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578.57759999999996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123.55932203389831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702.13692203389826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3.5106846101694913</v>
      </c>
    </row>
    <row r="35" spans="2:16" ht="15.75" customHeight="1" thickBot="1" x14ac:dyDescent="0.4">
      <c r="N35" s="373" t="s">
        <v>88</v>
      </c>
      <c r="O35" s="374"/>
      <c r="P35" s="297">
        <f>+P33+P34</f>
        <v>705.64760664406776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217.92000000000002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17.433600000000002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7.6272000000000002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192.85920000000002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234.04564067796611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3" t="s">
        <v>88</v>
      </c>
      <c r="O35" s="374"/>
      <c r="P35" s="297">
        <f>+P33+P34</f>
        <v>235.21586888135593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2098.5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167.88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73.447500000000005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1857.1724999999999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2253.7826694915252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3" t="s">
        <v>88</v>
      </c>
      <c r="O35" s="374"/>
      <c r="P35" s="297">
        <f>+P33+P34</f>
        <v>2265.051582838983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310">
        <f>M16+N16+O16</f>
        <v>4530.103165677966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113">
        <f>SUM(P16:P24)</f>
        <v>4530.103165677966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335.76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146.89500000000001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3714.3449999999998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4507.5653389830504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3" t="s">
        <v>88</v>
      </c>
      <c r="O35" s="374"/>
      <c r="P35" s="297">
        <f>+P33+P34</f>
        <v>4530.103165677966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2026-09-01T12:41:04Z</dcterms:modified>
</cp:coreProperties>
</file>