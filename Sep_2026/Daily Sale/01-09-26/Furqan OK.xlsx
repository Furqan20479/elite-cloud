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B8B4FF-2649-4D49-9574-E4FA0F0621E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7" l="1"/>
  <c r="N6" i="43"/>
  <c r="N6" i="44"/>
  <c r="N6" i="45"/>
  <c r="N6" i="46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K12" i="62"/>
  <c r="M21" i="47"/>
  <c r="O21" i="47" s="1"/>
  <c r="P21" i="47" s="1"/>
  <c r="M16" i="44"/>
  <c r="M22" i="43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<sst xmlns="http://schemas.openxmlformats.org/spreadsheetml/2006/main" count="3948" uniqueCount="525">
  <si>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</si>
  <si>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</si>
  <si>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</si>
  <si>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</si>
  <si>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</si>
  <si>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</si>
  <si>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</si>
  <si>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</si>
  <si>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</si>
  <si>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</si>
  <si>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</si>
  <si>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</si>
  <si>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</si>
  <si>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</si>
  <si>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</si>
  <si>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</si>
  <si>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</si>
  <si>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</si>
  <si>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</si>
  <si>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</si>
  <si>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</si>
  <si>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</si>
  <si>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</si>
  <si>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</si>
  <si>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</si>
  <si>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</si>
  <si>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</si>
  <si>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</si>
  <si>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</si>
  <si>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</si>
  <si>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</si>
  <si>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</si>
  <si>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</si>
  <si>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</si>
  <si>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</si>
  <si>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</si>
  <si>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</si>
  <si>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</si>
  <si>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</si>
  <si>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</si>
  <si>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</si>
  <si>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</si>
  <si>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</si>
  <si>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</si>
  <si>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</si>
  <si>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</si>
  <si>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</si>
  <si>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</si>
  <si>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</si>
  <si>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</si>
  <si>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</si>
  <si>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</si>
  <si>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</si>
  <si>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</si>
  <si>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</si>
  <si>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</si>
  <si>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</si>
  <si>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</si>
  <si>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</si>
  <si>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</si>
  <si>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</si>
  <si>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</si>
  <si>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</si>
  <si>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</si>
  <si>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</si>
  <si>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</si>
  <si>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</si>
  <si>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</si>
  <si>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</si>
  <si>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</si>
  <si>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</si>
  <si>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</si>
  <si>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</si>
  <si>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</si>
  <si>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</si>
  <si>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</si>
  <si>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</si>
  <si>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</si>
  <si>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</si>
  <si>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</si>
  <si>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</si>
  <si>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</si>
  <si>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</si>
  <si>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</si>
  <si>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</si>
  <si>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</si>
  <si>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</si>
  <si>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</si>
  <si>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</si>
  <si>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</si>
  <si>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</si>
  <si>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</si>
  <si>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</si>
  <si>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</si>
  <si>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</si>
  <si>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</si>
  <si>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</si>
  <si>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</si>
  <si>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</si>
  <si>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</si>
  <si>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</si>
  <si>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</si>
  <si>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</si>
  <si>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</si>
  <si>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</si>
  <si>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</si>
  <si>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</si>
  <si>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</si>
  <si>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</si>
  <si>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</si>
  <si>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</si>
  <si>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</si>
  <si>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</si>
  <si>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</si>
  <si>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</si>
  <si>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</si>
  <si>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</si>
  <si>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</si>
  <si>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</si>
  <si>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</si>
  <si>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</si>
  <si>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</si>
  <si>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</si>
  <si>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</si>
  <si>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</si>
  <si>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</si>
  <si>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</si>
  <si>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</si>
  <si>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</si>
  <si>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</si>
  <si>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</si>
  <si>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</si>
  <si>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</si>
  <si>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</si>
  <si>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</si>
  <si>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</si>
  <si>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</si>
  <si>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</si>
  <si>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</si>
  <si>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</si>
  <si>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</si>
  <si>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</si>
  <si>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</si>
  <si>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</si>
  <si>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</si>
  <si>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</si>
  <si>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</si>
  <si>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</si>
  <si>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</si>
  <si>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</si>
  <si>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</si>
  <si>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</si>
  <si>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</si>
  <si>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</si>
  <si>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</si>
  <si>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</si>
  <si>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</si>
  <si>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</si>
  <si>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</si>
  <si>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</si>
  <si>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</si>
  <si>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</si>
  <si>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</si>
  <si>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</si>
  <si>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</si>
  <si>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</si>
  <si>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</si>
  <si>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</si>
  <si>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</si>
  <si>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</si>
  <si>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</si>
  <si>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</si>
  <si>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</si>
  <si>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</si>
  <si>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</si>
  <si>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</si>
  <si>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</si>
  <si>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</si>
  <si>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</si>
  <si>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</si>
  <si>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</si>
  <si>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</si>
  <si>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</si>
  <si>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</si>
  <si>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</si>
  <si>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</si>
  <si>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</si>
  <si>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</si>
  <si>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</si>
  <si>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</si>
  <si>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</si>
  <si>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</si>
  <si>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</si>
  <si>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</si>
  <si>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</si>
  <si>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</si>
  <si>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</si>
  <si>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</si>
  <si>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</si>
  <si>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</si>
  <si>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</si>
  <si>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</si>
  <si>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</si>
  <si>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</si>
  <si>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</si>
  <si>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</si>
  <si>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</si>
  <si>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</si>
  <si>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</si>
  <si>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</si>
  <si>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</si>
  <si>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</si>
  <si>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</si>
  <si>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</si>
  <si>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</si>
  <si>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</si>
  <si>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</si>
  <si>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</si>
  <si>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</si>
  <si>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</si>
  <si>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</si>
  <si>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</si>
  <si>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</si>
  <si>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</si>
  <si>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</si>
  <si>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</si>
  <si>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</si>
  <si>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</si>
  <si>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</si>
  <si>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</si>
  <si>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</si>
  <si>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</si>
  <si>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</si>
  <si>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</si>
  <si>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</si>
  <si>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</si>
  <si>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</si>
  <si>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</si>
  <si>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</si>
  <si>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</si>
  <si>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</si>
  <si>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</si>
  <si>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</si>
  <si>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</si>
  <si>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</si>
  <si>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</si>
  <si>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</si>
  <si>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</si>
  <si>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</si>
  <si>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</si>
  <si>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</si>
  <si>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</si>
  <si>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</si>
  <si>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</si>
  <si>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</si>
  <si>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</si>
  <si>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</si>
  <si>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</si>
  <si>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</si>
  <si>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</si>
  <si>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</si>
  <si>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</si>
  <si>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</si>
  <si>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</si>
  <si>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</si>
  <si>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</si>
  <si>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</si>
  <si>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</si>
  <si>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</si>
  <si>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</si>
  <si>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</si>
  <si>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</si>
  <si>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</si>
  <si>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</si>
  <si>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</si>
  <si>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</si>
  <si>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</si>
  <si>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</si>
  <si>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</si>
  <si>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</si>
  <si>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</si>
  <si>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</si>
  <si>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</si>
  <si>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</si>
  <si>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</si>
  <si>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</si>
  <si>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</si>
  <si>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</si>
  <si>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</si>
  <si>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</si>
  <si>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</si>
  <si>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</si>
  <si>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</si>
  <si>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</si>
  <si>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</si>
  <si>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</si>
  <si>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</si>
  <si>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</si>
  <si>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</si>
  <si>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</si>
  <si>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</si>
  <si>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</si>
  <si>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</si>
  <si>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</si>
  <si>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</si>
  <si>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</si>
  <si>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</si>
  <si>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</si>
  <si>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</si>
  <si>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</si>
  <si>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</si>
  <si>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</si>
  <si>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</si>
  <si>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</si>
  <si>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</si>
  <si>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</si>
  <si>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</si>
  <si>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</si>
  <si>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</si>
  <si>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</si>
  <si>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</si>
  <si>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</si>
  <si>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</si>
  <si>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</si>
  <si>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</si>
  <si>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</si>
  <si>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</si>
  <si>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</si>
  <si>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</si>
  <si>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</si>
  <si>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</si>
  <si>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</si>
  <si>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</si>
  <si>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</si>
  <si>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</si>
  <si>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</si>
  <si>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</si>
  <si>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</si>
  <si>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</si>
  <si>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</si>
  <si>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</si>
  <si>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</si>
  <si>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</si>
  <si>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</si>
  <si>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</si>
  <si>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</si>
  <si>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</si>
  <si>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</si>
  <si>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</si>
  <si>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</si>
  <si>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</si>
  <si>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</si>
  <si>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</si>
  <si>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</si>
  <si>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</si>
  <si>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</si>
  <si>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</si>
  <si>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</si>
  <si>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</si>
  <si>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</si>
  <si>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</si>
  <si>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</si>
  <si>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</si>
  <si>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</si>
  <si>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</si>
  <si>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</si>
  <si>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</si>
  <si>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</si>
  <si>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</si>
  <si>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</si>
  <si>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</si>
  <si>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</si>
  <si>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</si>
  <si>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</si>
  <si>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</si>
  <si>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</si>
  <si>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</si>
  <si>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</si>
  <si>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</si>
  <si>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</si>
  <si>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</si>
  <si>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</si>
  <si>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</si>
  <si>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</si>
  <si>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</si>
  <si>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</si>
  <si>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</si>
  <si>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</si>
  <si>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</si>
  <si>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</si>
  <si>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</si>
  <si>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</si>
  <si>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</si>
  <si>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</si>
  <si>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</si>
  <si>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</si>
  <si>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</si>
  <si>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</si>
  <si>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</si>
  <si>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</si>
  <si>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</si>
  <si>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</si>
  <si>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</si>
  <si>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</si>
  <si>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</si>
  <si>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</si>
  <si>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</si>
  <si>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</si>
  <si>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</si>
  <si>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</si>
  <si>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</si>
  <si>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</si>
  <si>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</si>
  <si>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</si>
  <si>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</si>
  <si>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</si>
  <si>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</si>
  <si>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</si>
  <si>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</si>
  <si>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</si>
  <si>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</si>
  <si>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</si>
  <si>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</si>
  <si>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</si>
  <si>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</si>
  <si>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</si>
  <si>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</si>
  <si>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</si>
  <si>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</si>
  <si>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</si>
  <si>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</si>
  <si>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</si>
  <si>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</si>
  <si>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</si>
  <si>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</si>
  <si>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</si>
  <si>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</si>
  <si>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</si>
  <si>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</si>
  <si>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</si>
  <si>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</si>
  <si>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</si>
  <si>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</si>
  <si>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</si>
  <si>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</si>
  <si>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</si>
  <si>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</si>
  <si>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</si>
  <si>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</si>
  <si>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</si>
  <si>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</si>
  <si>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</si>
  <si>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</si>
  <si>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</si>
  <si>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</si>
  <si>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</si>
  <si>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</si>
  <si>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</si>
  <si>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</si>
  <si>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</si>
  <si>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</si>
  <si>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</si>
  <si>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</si>
  <si>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</si>
  <si>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</si>
  <si>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</si>
  <si>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</si>
  <si>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</si>
  <si>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</si>
  <si>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</si>
  <si>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</si>
  <si>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</si>
  <si>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</si>
  <si>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</si>
  <si>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</si>
  <si>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</si>
  <si>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</si>
  <si>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</si>
  <si>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</si>
  <si>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</si>
  <si>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</si>
  <si>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</si>
  <si>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</si>
  <si>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</si>
  <si>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</si>
  <si>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</si>
  <si>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</si>
  <si>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</si>
  <si>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</si>
  <si>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</si>
  <si>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</si>
  <si>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</si>
  <si>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</si>
  <si>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</si>
  <si>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</si>
  <si>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</si>
  <si>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</si>
  <si>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</si>
  <si>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</si>
  <si>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</si>
  <si>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</si>
  <si>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</si>
  <si>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</si>
  <si>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</si>
  <si>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</si>
  <si>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</si>
  <si>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</si>
  <si>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</si>
  <si>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</si>
  <si>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</si>
  <si>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</si>
  <si>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</si>
  <si>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</si>
  <si>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</si>
  <si>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</si>
  <si>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Khan Store</t>
  </si>
  <si>
    <t>Address: A Block LDA Flats</t>
  </si>
  <si>
    <t xml:space="preserve">Prince Bakery </t>
  </si>
  <si>
    <t xml:space="preserve">Address: B block Oposite muhamdia </t>
  </si>
  <si>
    <t xml:space="preserve">Kashmir Bakery </t>
  </si>
  <si>
    <t xml:space="preserve">Address: B Block </t>
  </si>
  <si>
    <t>Mian Gs</t>
  </si>
  <si>
    <t>Noor Gs</t>
  </si>
  <si>
    <t xml:space="preserve">Address: LDA Quarter Sah Jamal Town B Block </t>
  </si>
  <si>
    <t>Umer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</si>
</sst>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46266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Khan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Prince Bakery 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Kashmir Bakery </v>
      </c>
      <c r="T5" s="301">
        <f>+'3'!P35</f>
        <v>11802.688488991524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Mian Gs</v>
      </c>
      <c r="T6" s="301">
        <f>+'4'!P35</f>
        <v>1669.1779134915255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Noor Gs</v>
      </c>
      <c r="T7" s="301">
        <f>+'5'!P35</f>
        <v>166.91779134915254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</v>
      </c>
      <c r="R8" s="314">
        <v>6</v>
      </c>
      <c r="S8" s="300" t="str">
        <f>+'6'!A6:A6</f>
        <v>Umer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176</v>
      </c>
      <c r="I13" s="236">
        <f t="shared" si="0"/>
        <v>6904.4800000000005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345.22400000000005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241.65680000000006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352.12848000000002</v>
      </c>
      <c r="M13" s="230">
        <f t="shared" si="1"/>
        <v>5965.4707200000003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1342.3728813559314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36.539218006779663</v>
      </c>
      <c r="P13" s="311">
        <f t="shared" si="2"/>
        <v>7344.3828193627105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7.4</v>
      </c>
      <c r="H16" s="113">
        <f t="shared" ref="H16:M16" si="3">SUM(H7:H15)</f>
        <v>296</v>
      </c>
      <c r="I16" s="114">
        <f t="shared" si="3"/>
        <v>13199.98</v>
      </c>
      <c r="J16" s="274">
        <f>SUM(J7:J15)</f>
        <v>848.86400000000003</v>
      </c>
      <c r="K16" s="275">
        <f t="shared" si="3"/>
        <v>461.99930000000006</v>
      </c>
      <c r="L16" s="276">
        <f t="shared" si="3"/>
        <v>352.12848000000002</v>
      </c>
      <c r="M16" s="232">
        <f t="shared" si="3"/>
        <v>11536.988219999999</v>
      </c>
      <c r="N16" s="233">
        <f>SUM(N7:N15)</f>
        <v>2532.2033898305071</v>
      </c>
      <c r="O16" s="101">
        <f>SUM(O7:O15)</f>
        <v>70.345958049152543</v>
      </c>
      <c r="P16" s="113">
        <f>SUM(P7:P15)</f>
        <v>14139.537567879659</v>
      </c>
      <c r="Q16" s="128">
        <f>SUM(Q7:Q15)</f>
        <v>20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13199.98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848.86400000000003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814.12778000000003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11536.988219999999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2532.2033898305071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14069.191609830506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70.345958049152543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14139.537567879659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14139.537567879659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470.76000000000005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23.538000000000004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40.485360000000007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406.73664000000002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498.26206372881353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4" t="s">
        <v>88</v>
      </c>
      <c r="O35" s="345"/>
      <c r="P35" s="297">
        <f>+P33+P34</f>
        <v>500.75337404745761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11003.1</v>
      </c>
      <c r="J25" s="274">
        <f>SUM(J16:J24)</f>
        <v>739.02</v>
      </c>
      <c r="K25" s="275">
        <f t="shared" si="7"/>
        <v>385.10850000000005</v>
      </c>
      <c r="L25" s="276">
        <f t="shared" si="7"/>
        <v>240.08760000000001</v>
      </c>
      <c r="M25" s="232">
        <f t="shared" si="7"/>
        <v>9638.8839000000007</v>
      </c>
      <c r="N25" s="233">
        <f>SUM(N16:N24)</f>
        <v>2105.0847457627106</v>
      </c>
      <c r="O25" s="101">
        <f>SUM(O16:O24)</f>
        <v>58.719843228813559</v>
      </c>
      <c r="P25" s="113">
        <f>SUM(P16:P24)</f>
        <v>11802.688488991524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11003.1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739.02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625.19610000000011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9638.8839000000007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2105.0847457627106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11743.96864576271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58.719843228813552</v>
      </c>
    </row>
    <row r="35" spans="2:16" ht="15.75" customHeight="1" thickBot="1" x14ac:dyDescent="0.4">
      <c r="N35" s="344" t="s">
        <v>88</v>
      </c>
      <c r="O35" s="345"/>
      <c r="P35" s="297">
        <f>+P33+P34</f>
        <v>11802.688488991524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17" sqref="H17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>
        <v>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156.92000000000002</v>
      </c>
      <c r="J25" s="274">
        <f>SUM(J16:J24)</f>
        <v>7.846000000000001</v>
      </c>
      <c r="K25" s="275">
        <f t="shared" si="7"/>
        <v>5.4922000000000013</v>
      </c>
      <c r="L25" s="276">
        <f t="shared" si="7"/>
        <v>8.0029199999999996</v>
      </c>
      <c r="M25" s="232">
        <f t="shared" si="7"/>
        <v>135.57888000000003</v>
      </c>
      <c r="N25" s="233">
        <f>SUM(N16:N24)</f>
        <v>30.508474576271169</v>
      </c>
      <c r="O25" s="101">
        <f>SUM(O16:O24)</f>
        <v>0.83043677288135598</v>
      </c>
      <c r="P25" s="113">
        <f>SUM(P16:P24)</f>
        <v>166.91779134915254</v>
      </c>
      <c r="Q25" s="128">
        <f>SUM(Q16:Q24)</f>
        <v>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7.846000000000001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13.49512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135.57888000000003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30.508474576271169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166.0873545762712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0.83043677288135598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166.91779134915254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46265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Furqan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46269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46268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2026-09-03T04:35:41Z</dcterms:modified>
</cp:coreProperties>
</file>