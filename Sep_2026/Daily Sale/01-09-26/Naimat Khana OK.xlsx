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538E93E-55A5-482B-8544-6D71B7FE0CFA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H3" i="62"/>
  <c r="N4" i="11" s="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5" i="66" s="1"/>
  <c r="N4" i="70"/>
  <c r="N5" i="70" s="1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53" l="1"/>
  <c r="P25" i="53" s="1"/>
  <c r="P16" i="70"/>
  <c r="P25" i="70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<sst xmlns="http://schemas.openxmlformats.org/spreadsheetml/2006/main" count="3918" uniqueCount="516">
  <si>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</si>
  <si>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</si>
  <si>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</si>
  <si>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</si>
  <si>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</si>
  <si>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</si>
  <si>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</si>
  <si>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</si>
  <si>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</si>
  <si>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</si>
  <si>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</si>
  <si>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</si>
  <si>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</si>
  <si>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</si>
  <si>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</si>
  <si>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</si>
  <si>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</si>
  <si>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</si>
  <si>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</si>
  <si>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</si>
  <si>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</si>
  <si>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</si>
  <si>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</si>
  <si>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</si>
  <si>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</si>
  <si>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</si>
  <si>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</si>
  <si>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</si>
  <si>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</si>
  <si>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</si>
  <si>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</si>
  <si>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</si>
  <si>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</si>
  <si>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</si>
  <si>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</si>
  <si>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</si>
  <si>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</si>
  <si>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</si>
  <si>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</si>
  <si>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</si>
  <si>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</si>
  <si>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</si>
  <si>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</si>
  <si>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</si>
  <si>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</si>
  <si>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</si>
  <si>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</si>
  <si>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</si>
  <si>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</si>
  <si>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</si>
  <si>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</si>
  <si>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</si>
  <si>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</si>
  <si>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</si>
  <si>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</si>
  <si>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</si>
  <si>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</si>
  <si>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</si>
  <si>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</si>
  <si>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</si>
  <si>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</si>
  <si>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</si>
  <si>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</si>
  <si>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</si>
  <si>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</si>
  <si>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</si>
  <si>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</si>
  <si>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</si>
  <si>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</si>
  <si>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</si>
  <si>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</si>
  <si>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</si>
  <si>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</si>
  <si>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</si>
  <si>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</si>
  <si>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</si>
  <si>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</si>
  <si>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</si>
  <si>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</si>
  <si>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</si>
  <si>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</si>
  <si>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</si>
  <si>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</si>
  <si>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</si>
  <si>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</si>
  <si>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</si>
  <si>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</si>
  <si>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</si>
  <si>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</si>
  <si>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</si>
  <si>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</si>
  <si>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</si>
  <si>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</si>
  <si>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</si>
  <si>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</si>
  <si>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</si>
  <si>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</si>
  <si>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</si>
  <si>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</si>
  <si>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</si>
  <si>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</si>
  <si>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</si>
  <si>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</si>
  <si>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</si>
  <si>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</si>
  <si>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</si>
  <si>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</si>
  <si>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</si>
  <si>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</si>
  <si>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</si>
  <si>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</si>
  <si>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</si>
  <si>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</si>
  <si>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</si>
  <si>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</si>
  <si>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</si>
  <si>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</si>
  <si>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</si>
  <si>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</si>
  <si>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</si>
  <si>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</si>
  <si>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</si>
  <si>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</si>
  <si>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</si>
  <si>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</si>
  <si>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</si>
  <si>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</si>
  <si>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</si>
  <si>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</si>
  <si>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</si>
  <si>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</si>
  <si>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</si>
  <si>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</si>
  <si>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</si>
  <si>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</si>
  <si>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</si>
  <si>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</si>
  <si>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</si>
  <si>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</si>
  <si>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</si>
  <si>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</si>
  <si>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</si>
  <si>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</si>
  <si>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</si>
  <si>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</si>
  <si>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</si>
  <si>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</si>
  <si>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</si>
  <si>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</si>
  <si>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</si>
  <si>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</si>
  <si>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</si>
  <si>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</si>
  <si>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</si>
  <si>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</si>
  <si>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</si>
  <si>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</si>
  <si>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</si>
  <si>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</si>
  <si>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</si>
  <si>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</si>
  <si>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</si>
  <si>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</si>
  <si>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</si>
  <si>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</si>
  <si>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</si>
  <si>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</si>
  <si>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</si>
  <si>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</si>
  <si>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</si>
  <si>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</si>
  <si>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</si>
  <si>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</si>
  <si>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</si>
  <si>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</si>
  <si>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</si>
  <si>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</si>
  <si>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</si>
  <si>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</si>
  <si>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</si>
  <si>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</si>
  <si>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</si>
  <si>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</si>
  <si>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</si>
  <si>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</si>
  <si>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</si>
  <si>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</si>
  <si>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</si>
  <si>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</si>
  <si>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</si>
  <si>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</si>
  <si>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</si>
  <si>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</si>
  <si>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</si>
  <si>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</si>
  <si>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</si>
  <si>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</si>
  <si>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</si>
  <si>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</si>
  <si>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</si>
  <si>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</si>
  <si>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</si>
  <si>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</si>
  <si>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</si>
  <si>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</si>
  <si>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</si>
  <si>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</si>
  <si>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</si>
  <si>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</si>
  <si>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</si>
  <si>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</si>
  <si>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</si>
  <si>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</si>
  <si>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</si>
  <si>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</si>
  <si>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</si>
  <si>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</si>
  <si>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</si>
  <si>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</si>
  <si>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</si>
  <si>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</si>
  <si>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</si>
  <si>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</si>
  <si>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</si>
  <si>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</si>
  <si>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</si>
  <si>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</si>
  <si>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</si>
  <si>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</si>
  <si>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</si>
  <si>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</si>
  <si>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</si>
  <si>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</si>
  <si>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</si>
  <si>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</si>
  <si>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</si>
  <si>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</si>
  <si>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</si>
  <si>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</si>
  <si>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</si>
  <si>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</si>
  <si>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</si>
  <si>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</si>
  <si>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</si>
  <si>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</si>
  <si>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</si>
  <si>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</si>
  <si>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</si>
  <si>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</si>
  <si>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</si>
  <si>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</si>
  <si>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</si>
  <si>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</si>
  <si>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</si>
  <si>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</si>
  <si>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</si>
  <si>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</si>
  <si>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</si>
  <si>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</si>
  <si>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</si>
  <si>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</si>
  <si>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</si>
  <si>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</si>
  <si>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</si>
  <si>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</si>
  <si>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</si>
  <si>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</si>
  <si>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</si>
  <si>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</si>
  <si>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</si>
  <si>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</si>
  <si>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</si>
  <si>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</si>
  <si>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</si>
  <si>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</si>
  <si>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</si>
  <si>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</si>
  <si>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</si>
  <si>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</si>
  <si>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</si>
  <si>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</si>
  <si>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</si>
  <si>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</si>
  <si>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</si>
  <si>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</si>
  <si>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</si>
  <si>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</si>
  <si>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</si>
  <si>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</si>
  <si>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</si>
  <si>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</si>
  <si>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</si>
  <si>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</si>
  <si>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</si>
  <si>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</si>
  <si>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</si>
  <si>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</si>
  <si>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</si>
  <si>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</si>
  <si>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</si>
  <si>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</si>
  <si>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</si>
  <si>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</si>
  <si>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</si>
  <si>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</si>
  <si>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</si>
  <si>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</si>
  <si>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</si>
  <si>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</si>
  <si>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</si>
  <si>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</si>
  <si>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</si>
  <si>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</si>
  <si>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</si>
  <si>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</si>
  <si>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</si>
  <si>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</si>
  <si>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</si>
  <si>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</si>
  <si>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</si>
  <si>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</si>
  <si>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</si>
  <si>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</si>
  <si>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</si>
  <si>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</si>
  <si>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</si>
  <si>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</si>
  <si>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</si>
  <si>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</si>
  <si>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</si>
  <si>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</si>
  <si>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</si>
  <si>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</si>
  <si>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</si>
  <si>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</si>
  <si>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</si>
  <si>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</si>
  <si>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</si>
  <si>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</si>
  <si>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</si>
  <si>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</si>
  <si>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</si>
  <si>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</si>
  <si>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</si>
  <si>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</si>
  <si>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</si>
  <si>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</si>
  <si>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</si>
  <si>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</si>
  <si>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</si>
  <si>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</si>
  <si>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</si>
  <si>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</si>
  <si>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</si>
  <si>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</si>
  <si>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</si>
  <si>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</si>
  <si>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</si>
  <si>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</si>
  <si>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</si>
  <si>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</si>
  <si>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</si>
  <si>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</si>
  <si>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</si>
  <si>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</si>
  <si>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</si>
  <si>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</si>
  <si>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</si>
  <si>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</si>
  <si>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</si>
  <si>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</si>
  <si>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</si>
  <si>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</si>
  <si>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</si>
  <si>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</si>
  <si>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</si>
  <si>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</si>
  <si>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</si>
  <si>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</si>
  <si>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</si>
  <si>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</si>
  <si>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</si>
  <si>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</si>
  <si>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</si>
  <si>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</si>
  <si>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</si>
  <si>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</si>
  <si>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</si>
  <si>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</si>
  <si>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</si>
  <si>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</si>
  <si>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</si>
  <si>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</si>
  <si>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</si>
  <si>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</si>
  <si>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</si>
  <si>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</si>
  <si>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</si>
  <si>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</si>
  <si>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</si>
  <si>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</si>
  <si>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</si>
  <si>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</si>
  <si>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</si>
  <si>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</si>
  <si>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</si>
  <si>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</si>
  <si>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</si>
  <si>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</si>
  <si>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</si>
  <si>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</si>
  <si>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</si>
  <si>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</si>
  <si>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</si>
  <si>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</si>
  <si>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</si>
  <si>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</si>
  <si>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</si>
  <si>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</si>
  <si>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</si>
  <si>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</si>
  <si>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</si>
  <si>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</si>
  <si>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</si>
  <si>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</si>
  <si>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</si>
  <si>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</si>
  <si>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</si>
  <si>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</si>
  <si>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</si>
  <si>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</si>
  <si>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</si>
  <si>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</si>
  <si>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</si>
  <si>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</si>
  <si>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</si>
  <si>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</si>
  <si>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</si>
  <si>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</si>
  <si>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</si>
  <si>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</si>
  <si>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</si>
  <si>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</si>
  <si>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</si>
  <si>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</si>
  <si>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</si>
  <si>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</si>
  <si>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</si>
  <si>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</si>
  <si>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</si>
  <si>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</si>
  <si>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</si>
  <si>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</si>
  <si>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</si>
  <si>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</si>
  <si>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</si>
  <si>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</si>
  <si>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</si>
  <si>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</si>
  <si>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</si>
  <si>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</si>
  <si>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</si>
  <si>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</si>
  <si>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</si>
  <si>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</si>
  <si>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</si>
  <si>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</si>
  <si>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</si>
  <si>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</si>
  <si>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</si>
  <si>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</si>
  <si>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</si>
  <si>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</si>
  <si>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</si>
  <si>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</si>
  <si>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</si>
  <si>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</si>
  <si>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</si>
  <si>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</si>
  <si>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</si>
  <si>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</si>
  <si>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</si>
  <si>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</si>
  <si>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</si>
  <si>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</si>
  <si>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</si>
  <si>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</si>
  <si>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</si>
  <si>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</si>
  <si>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</si>
  <si>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</si>
  <si>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</si>
  <si>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</si>
  <si>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</si>
  <si>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</si>
  <si>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</si>
  <si>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</si>
  <si>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</si>
  <si>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</si>
  <si>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</si>
  <si>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</si>
  <si>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</si>
  <si>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</si>
  <si>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</si>
  <si>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</si>
  <si>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</si>
  <si>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</si>
  <si>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</si>
  <si>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</si>
  <si>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</si>
  <si>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</si>
  <si>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</si>
  <si>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Naimat Khana </t>
  </si>
  <si>
    <t>Address: Mughalpura</t>
  </si>
  <si>
    <t>NTN #: 5562800-8</t>
  </si>
  <si>
    <t>Invoice No # :4651561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</si>
</sst>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9" fontId="18" fillId="0" borderId="48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498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f ca="1">TODAY()</f>
        <v>46267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 xml:space="preserve">Naimat Khana </v>
      </c>
      <c r="T3" s="301">
        <f>+'1'!P35</f>
        <v>312005.90087542374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 xml:space="preserve">Naimat Khana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Naimat Khana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Naimat Khana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800</v>
      </c>
      <c r="I7" s="235">
        <f>(G7*D7)*F7+H7*F7</f>
        <v>41970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5036.3999999999996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1468.95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35464.65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7932.2033898305053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216.98426694915253</v>
      </c>
      <c r="P7" s="310">
        <f>M7+N7+O7</f>
        <v>43613.837656779659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Naimat Khana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800</v>
      </c>
      <c r="I8" s="236">
        <f t="shared" ref="I8:I14" si="0">(G8*D8)*F8+H8*F8</f>
        <v>41970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5036.3999999999996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1468.95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35464.65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7932.2033898305053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216.98426694915253</v>
      </c>
      <c r="P8" s="311">
        <f t="shared" ref="P8:P15" si="2">M8+N8+O8</f>
        <v>43613.837656779659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Naimat Khana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800</v>
      </c>
      <c r="I9" s="236">
        <f t="shared" si="0"/>
        <v>41970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5036.3999999999996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1468.95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35464.65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7932.2033898305053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216.98426694915253</v>
      </c>
      <c r="P9" s="311">
        <f t="shared" si="2"/>
        <v>43613.837656779659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Naimat Khana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800</v>
      </c>
      <c r="I10" s="236">
        <f t="shared" si="0"/>
        <v>58112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6973.44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2033.9200000000003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49104.639999999999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10983.050847457627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300.43845423728811</v>
      </c>
      <c r="P10" s="311">
        <f t="shared" si="2"/>
        <v>60388.129301694913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Naimat Khana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800</v>
      </c>
      <c r="I11" s="236">
        <f t="shared" si="0"/>
        <v>58112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6973.44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2033.9200000000003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49104.639999999999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10983.050847457627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300.43845423728811</v>
      </c>
      <c r="P11" s="311">
        <f t="shared" si="2"/>
        <v>60388.129301694913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Naimat Khana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800</v>
      </c>
      <c r="I12" s="236">
        <f t="shared" si="0"/>
        <v>58112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6973.44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2033.9200000000003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49104.639999999999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10983.050847457627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300.43845423728811</v>
      </c>
      <c r="P12" s="311">
        <f t="shared" si="2"/>
        <v>60388.129301694913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Naimat Khana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Naimat Khana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Naimat Khana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Naimat Khana 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120</v>
      </c>
      <c r="H16" s="113">
        <f t="shared" ref="H16:M16" si="3">SUM(H7:H15)</f>
        <v>4800</v>
      </c>
      <c r="I16" s="114">
        <f t="shared" si="3"/>
        <v>300246</v>
      </c>
      <c r="J16" s="274">
        <f>SUM(J7:J15)</f>
        <v>36029.519999999997</v>
      </c>
      <c r="K16" s="275">
        <f t="shared" si="3"/>
        <v>10508.61</v>
      </c>
      <c r="L16" s="276">
        <f t="shared" si="3"/>
        <v>0</v>
      </c>
      <c r="M16" s="232">
        <f t="shared" si="3"/>
        <v>253707.87000000005</v>
      </c>
      <c r="N16" s="233">
        <f>SUM(N7:N15)</f>
        <v>56745.762711864401</v>
      </c>
      <c r="O16" s="101">
        <f>SUM(O7:O15)</f>
        <v>1552.2681635593221</v>
      </c>
      <c r="P16" s="113">
        <f>SUM(P7:P15)</f>
        <v>312005.90087542374</v>
      </c>
      <c r="Q16" s="128">
        <f>SUM(Q7:Q15)</f>
        <v>0</v>
      </c>
      <c r="R16" s="314">
        <v>14</v>
      </c>
      <c r="S16" s="318" t="str">
        <f>+'14'!A6:A6</f>
        <v xml:space="preserve">Naimat Khana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Naimat Khana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Naimat Khana 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300246</v>
      </c>
      <c r="R19" s="299">
        <v>17</v>
      </c>
      <c r="S19" s="300" t="str">
        <f>+'17'!A6:A6</f>
        <v xml:space="preserve">Naimat Khana 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36029.519999999997</v>
      </c>
      <c r="R20" s="299">
        <v>18</v>
      </c>
      <c r="S20" s="300" t="str">
        <f>+'18'!A6:A6</f>
        <v xml:space="preserve">Naimat Khana 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10508.61</v>
      </c>
      <c r="R21" s="299">
        <v>19</v>
      </c>
      <c r="S21" s="300" t="str">
        <f>+'19'!A6:A6</f>
        <v xml:space="preserve">Naimat Khana 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253707.87</v>
      </c>
      <c r="R22" s="299">
        <v>20</v>
      </c>
      <c r="S22" s="300" t="str">
        <f>+'20'!A6:A6</f>
        <v xml:space="preserve">Naimat Khana 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56745.762711864401</v>
      </c>
      <c r="R23" s="299">
        <v>21</v>
      </c>
      <c r="S23" s="300" t="str">
        <f>+'21'!A6:A6</f>
        <v xml:space="preserve">Naimat Khana 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310453.63271186443</v>
      </c>
      <c r="R24" s="299">
        <v>22</v>
      </c>
      <c r="S24" s="300" t="str">
        <f>+'22'!A6:A6</f>
        <v xml:space="preserve">Naimat Khana 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1552.2681635593221</v>
      </c>
      <c r="R25" s="299">
        <v>23</v>
      </c>
      <c r="S25" s="300" t="str">
        <f>+'23'!A6:A6</f>
        <v xml:space="preserve">Naimat Khana 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312005.90087542374</v>
      </c>
      <c r="R26" s="299">
        <v>24</v>
      </c>
      <c r="S26" s="300" t="str">
        <f>+'24'!A6:A6</f>
        <v xml:space="preserve">Naimat Khana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 xml:space="preserve">Naimat Khana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Naimat Khana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Naimat Khana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Naimat Khana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Naimat Khana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Naimat Khana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312005.90087542374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G7" sqref="G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515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 ca="1">Summary!H3</f>
        <v>46267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 ca="1">N4-1</f>
        <v>46266</v>
      </c>
      <c r="O5" s="393"/>
      <c r="P5" s="393"/>
      <c r="R5" s="85"/>
      <c r="S5" s="266"/>
    </row>
    <row r="6" spans="1:22 16383:16384" ht="17.2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800</v>
      </c>
      <c r="I16" s="235">
        <f>(G16*D16)*F16+H16*F16</f>
        <v>41970</v>
      </c>
      <c r="J16" s="271">
        <f>$I16*S16</f>
        <v>5036.3999999999996</v>
      </c>
      <c r="K16" s="127">
        <f>$I16*T16</f>
        <v>1468.95</v>
      </c>
      <c r="L16" s="118">
        <f>$I16*U16</f>
        <v>0</v>
      </c>
      <c r="M16" s="229">
        <f>I16-SUM(J16:L16)</f>
        <v>35464.65</v>
      </c>
      <c r="N16" s="248">
        <f>+(G16*D16+H16)*V16</f>
        <v>7932.2033898305053</v>
      </c>
      <c r="O16" s="238">
        <f>(N16+M16)*$O$15</f>
        <v>216.98426694915253</v>
      </c>
      <c r="P16" s="310">
        <f>M16+N16+O16</f>
        <v>43613.837656779659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800</v>
      </c>
      <c r="I17" s="236">
        <f t="shared" ref="I17:I23" si="0">(G17*D17)*F17+H17*F17</f>
        <v>41970</v>
      </c>
      <c r="J17" s="272">
        <f t="shared" ref="J17:L24" si="1">$I17*S17</f>
        <v>5036.3999999999996</v>
      </c>
      <c r="K17" s="128">
        <f>$I17*T17</f>
        <v>1468.95</v>
      </c>
      <c r="L17" s="119">
        <f>$I17*U17</f>
        <v>0</v>
      </c>
      <c r="M17" s="230">
        <f t="shared" ref="M17:M24" si="2">I17-SUM(J17:L17)</f>
        <v>35464.65</v>
      </c>
      <c r="N17" s="277">
        <f t="shared" ref="N17:N24" si="3">+(G17*D17+H17)*V17</f>
        <v>7932.2033898305053</v>
      </c>
      <c r="O17" s="239">
        <f t="shared" ref="O17:O24" si="4">(N17+M17)*$O$15</f>
        <v>216.98426694915253</v>
      </c>
      <c r="P17" s="311">
        <f t="shared" ref="P17:P24" si="5">M17+N17+O17</f>
        <v>43613.837656779659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800</v>
      </c>
      <c r="I18" s="236">
        <f t="shared" ref="I18:I21" si="7">(G18*D18)*F18+H18*F18</f>
        <v>41970</v>
      </c>
      <c r="J18" s="272">
        <f t="shared" si="1"/>
        <v>5036.3999999999996</v>
      </c>
      <c r="K18" s="128">
        <f t="shared" si="1"/>
        <v>1468.95</v>
      </c>
      <c r="L18" s="119">
        <f t="shared" si="1"/>
        <v>0</v>
      </c>
      <c r="M18" s="230">
        <f t="shared" si="2"/>
        <v>35464.65</v>
      </c>
      <c r="N18" s="277">
        <f t="shared" si="3"/>
        <v>7932.2033898305053</v>
      </c>
      <c r="O18" s="239">
        <f t="shared" si="4"/>
        <v>216.98426694915253</v>
      </c>
      <c r="P18" s="311">
        <f t="shared" si="5"/>
        <v>43613.837656779659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800</v>
      </c>
      <c r="I19" s="236">
        <f t="shared" si="7"/>
        <v>58112</v>
      </c>
      <c r="J19" s="272">
        <f t="shared" si="1"/>
        <v>6973.44</v>
      </c>
      <c r="K19" s="128">
        <f t="shared" si="1"/>
        <v>2033.9200000000003</v>
      </c>
      <c r="L19" s="119">
        <f t="shared" si="1"/>
        <v>0</v>
      </c>
      <c r="M19" s="230">
        <f t="shared" si="2"/>
        <v>49104.639999999999</v>
      </c>
      <c r="N19" s="277">
        <f t="shared" si="3"/>
        <v>10983.050847457627</v>
      </c>
      <c r="O19" s="239">
        <f t="shared" si="4"/>
        <v>300.43845423728811</v>
      </c>
      <c r="P19" s="311">
        <f t="shared" si="5"/>
        <v>60388.129301694913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800</v>
      </c>
      <c r="I20" s="236">
        <f t="shared" si="7"/>
        <v>58112</v>
      </c>
      <c r="J20" s="272">
        <f t="shared" si="1"/>
        <v>6973.44</v>
      </c>
      <c r="K20" s="128">
        <f t="shared" si="1"/>
        <v>2033.9200000000003</v>
      </c>
      <c r="L20" s="119">
        <f t="shared" si="1"/>
        <v>0</v>
      </c>
      <c r="M20" s="230">
        <f t="shared" si="2"/>
        <v>49104.639999999999</v>
      </c>
      <c r="N20" s="277">
        <f t="shared" si="3"/>
        <v>10983.050847457627</v>
      </c>
      <c r="O20" s="239">
        <f t="shared" si="4"/>
        <v>300.43845423728811</v>
      </c>
      <c r="P20" s="311">
        <f t="shared" si="5"/>
        <v>60388.129301694913</v>
      </c>
      <c r="Q20" s="156"/>
      <c r="R20">
        <f>P20/21</f>
        <v>2875.6252048426149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800</v>
      </c>
      <c r="I21" s="236">
        <f t="shared" si="7"/>
        <v>58112</v>
      </c>
      <c r="J21" s="272">
        <f t="shared" si="1"/>
        <v>6973.44</v>
      </c>
      <c r="K21" s="128">
        <f t="shared" si="1"/>
        <v>2033.9200000000003</v>
      </c>
      <c r="L21" s="119">
        <f t="shared" si="1"/>
        <v>0</v>
      </c>
      <c r="M21" s="230">
        <f t="shared" si="2"/>
        <v>49104.639999999999</v>
      </c>
      <c r="N21" s="277">
        <f t="shared" si="3"/>
        <v>10983.050847457627</v>
      </c>
      <c r="O21" s="239">
        <f t="shared" si="4"/>
        <v>300.43845423728811</v>
      </c>
      <c r="P21" s="311">
        <f t="shared" si="5"/>
        <v>60388.129301694913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4800</v>
      </c>
      <c r="I25" s="114">
        <f t="shared" ref="I25:M25" si="10">SUM(I16:I24)</f>
        <v>300246</v>
      </c>
      <c r="J25" s="274">
        <f>SUM(J16:J24)</f>
        <v>36029.519999999997</v>
      </c>
      <c r="K25" s="275">
        <f t="shared" si="10"/>
        <v>10508.61</v>
      </c>
      <c r="L25" s="276">
        <f t="shared" si="10"/>
        <v>0</v>
      </c>
      <c r="M25" s="232">
        <f t="shared" si="10"/>
        <v>253707.87000000005</v>
      </c>
      <c r="N25" s="233">
        <f>SUM(N16:N24)</f>
        <v>56745.762711864401</v>
      </c>
      <c r="O25" s="101">
        <f>SUM(O16:O24)</f>
        <v>1552.2681635593221</v>
      </c>
      <c r="P25" s="113">
        <f>SUM(P16:P24)</f>
        <v>312005.90087542374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300246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36029.519999999997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10508.61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253707.87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56745.762711864401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310453.63271186443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1552.2681635593221</v>
      </c>
    </row>
    <row r="35" spans="2:16" ht="15.75" customHeight="1" thickBot="1" x14ac:dyDescent="0.4">
      <c r="N35" s="373" t="s">
        <v>88</v>
      </c>
      <c r="O35" s="374"/>
      <c r="P35" s="297">
        <f>+P33+P34</f>
        <v>312005.90087542374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 ca="1">'1'!N4:P4</f>
        <v>46267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 ca="1">N4-1</f>
        <v>46266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 ca="1">'1'!N4:P4</f>
        <v>46267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 ca="1">N4-1</f>
        <v>46266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 ca="1">'1'!N4:P4</f>
        <v>46267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 ca="1">N4-1</f>
        <v>46266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 ca="1">'1'!N4:P4</f>
        <v>46267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 ca="1">N4-1</f>
        <v>46266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 ca="1">'1'!N4:P4</f>
        <v>46267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 ca="1">N4-1</f>
        <v>46266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 ca="1">'1'!N4:P4</f>
        <v>46267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 ca="1">N4-1</f>
        <v>46266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 ca="1">'1'!N4:P4</f>
        <v>46267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 ca="1">N4-1</f>
        <v>46266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 ca="1">'1'!N4:P4</f>
        <v>46267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 ca="1">N4-1</f>
        <v>46266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 ca="1">'1'!N4:P4</f>
        <v>46267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 ca="1">N4-1</f>
        <v>46266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 ca="1">'1'!N4:P4</f>
        <v>46267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 ca="1">N4-1</f>
        <v>46266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 ca="1">'1'!N4:P4</f>
        <v>46267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 ca="1">N4-1</f>
        <v>46266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 ca="1">'1'!N4:P4</f>
        <v>46267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 ca="1">N4-1</f>
        <v>46266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 ca="1">'1'!N4:P4</f>
        <v>46267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 ca="1">N4-1</f>
        <v>46266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 ca="1">'1'!N4:P4</f>
        <v>46267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 ca="1">N4-1</f>
        <v>46266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 ca="1">'1'!N4:P4</f>
        <v>46267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 ca="1">N4-1</f>
        <v>46266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 ca="1">'1'!N4:P4</f>
        <v>46267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 ca="1">N4-1</f>
        <v>46266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 ca="1">'1'!N4:P4</f>
        <v>46267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 ca="1">N4-1</f>
        <v>46266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 ca="1">'1'!N4:P4</f>
        <v>46267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 ca="1">N4-1</f>
        <v>46266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 ca="1">'1'!N4:P4</f>
        <v>46267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 ca="1">N4-1</f>
        <v>46266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 ca="1">'1'!N4:P4</f>
        <v>46267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 ca="1">N4-1</f>
        <v>46266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 ca="1">'1'!N4:P4</f>
        <v>46267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 ca="1">N4-1</f>
        <v>46266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 ca="1">'1'!N4:P4</f>
        <v>46267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 ca="1">N4-1</f>
        <v>46266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 ca="1">'1'!N4:P4</f>
        <v>46267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 ca="1">N4-1</f>
        <v>46266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 ca="1">'1'!N4:P4</f>
        <v>46267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 ca="1">N4-1</f>
        <v>46266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 ca="1">'1'!N4:P4</f>
        <v>46267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 ca="1">N4-1</f>
        <v>46266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 ca="1">'1'!N4:P4</f>
        <v>46267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 ca="1">N4-1</f>
        <v>46266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 ca="1">'1'!N4:P4</f>
        <v>46267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 ca="1">N4-1</f>
        <v>46266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 ca="1">'1'!N4:P4</f>
        <v>46267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 ca="1">N4-1</f>
        <v>46266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 ca="1">'1'!N4:P4</f>
        <v>46267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 ca="1">N4-1</f>
        <v>46266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514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414">
        <v>0.12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46268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46267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2026-09-02T04:53:03Z</dcterms:modified>
</cp:coreProperties>
</file>