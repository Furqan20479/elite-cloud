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F3AD3E9-EBFB-46FA-A548-CEC593481BB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 s="1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K12" i="62"/>
  <c r="M21" i="47"/>
  <c r="O21" i="47" s="1"/>
  <c r="P21" i="47" s="1"/>
  <c r="M21" i="5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<sst xmlns="http://schemas.openxmlformats.org/spreadsheetml/2006/main" count="3948" uniqueCount="526">
  <si>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</si>
  <si>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</si>
  <si>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</si>
  <si>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</si>
  <si>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</si>
  <si>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</si>
  <si>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</si>
  <si>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</si>
  <si>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</si>
  <si>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</si>
  <si>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</si>
  <si>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</si>
  <si>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</si>
  <si>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</si>
  <si>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</si>
  <si>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</si>
  <si>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</si>
  <si>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</si>
  <si>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</si>
  <si>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</si>
  <si>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</si>
  <si>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</si>
  <si>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</si>
  <si>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</si>
  <si>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</si>
  <si>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</si>
  <si>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</si>
  <si>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</si>
  <si>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</si>
  <si>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</si>
  <si>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</si>
  <si>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</si>
  <si>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</si>
  <si>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</si>
  <si>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</si>
  <si>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</si>
  <si>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</si>
  <si>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</si>
  <si>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</si>
  <si>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</si>
  <si>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</si>
  <si>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</si>
  <si>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</si>
  <si>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</si>
  <si>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</si>
  <si>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</si>
  <si>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</si>
  <si>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</si>
  <si>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</si>
  <si>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</si>
  <si>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</si>
  <si>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</si>
  <si>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</si>
  <si>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</si>
  <si>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</si>
  <si>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</si>
  <si>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</si>
  <si>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</si>
  <si>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</si>
  <si>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</si>
  <si>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</si>
  <si>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</si>
  <si>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</si>
  <si>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</si>
  <si>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</si>
  <si>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</si>
  <si>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</si>
  <si>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</si>
  <si>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</si>
  <si>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</si>
  <si>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</si>
  <si>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</si>
  <si>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</si>
  <si>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</si>
  <si>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</si>
  <si>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</si>
  <si>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</si>
  <si>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</si>
  <si>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</si>
  <si>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</si>
  <si>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</si>
  <si>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</si>
  <si>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</si>
  <si>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</si>
  <si>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</si>
  <si>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</si>
  <si>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</si>
  <si>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</si>
  <si>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</si>
  <si>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</si>
  <si>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</si>
  <si>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</si>
  <si>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</si>
  <si>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</si>
  <si>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</si>
  <si>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</si>
  <si>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</si>
  <si>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</si>
  <si>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</si>
  <si>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</si>
  <si>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</si>
  <si>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</si>
  <si>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</si>
  <si>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</si>
  <si>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</si>
  <si>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</si>
  <si>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</si>
  <si>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</si>
  <si>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</si>
  <si>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</si>
  <si>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</si>
  <si>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</si>
  <si>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</si>
  <si>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</si>
  <si>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</si>
  <si>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</si>
  <si>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</si>
  <si>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</si>
  <si>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</si>
  <si>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</si>
  <si>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</si>
  <si>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</si>
  <si>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</si>
  <si>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</si>
  <si>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</si>
  <si>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</si>
  <si>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</si>
  <si>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</si>
  <si>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</si>
  <si>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</si>
  <si>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</si>
  <si>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</si>
  <si>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</si>
  <si>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</si>
  <si>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</si>
  <si>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</si>
  <si>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</si>
  <si>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</si>
  <si>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</si>
  <si>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</si>
  <si>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</si>
  <si>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</si>
  <si>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</si>
  <si>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</si>
  <si>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</si>
  <si>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</si>
  <si>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</si>
  <si>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</si>
  <si>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</si>
  <si>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</si>
  <si>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</si>
  <si>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</si>
  <si>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</si>
  <si>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</si>
  <si>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</si>
  <si>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</si>
  <si>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</si>
  <si>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</si>
  <si>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</si>
  <si>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</si>
  <si>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</si>
  <si>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</si>
  <si>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</si>
  <si>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</si>
  <si>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</si>
  <si>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</si>
  <si>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</si>
  <si>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</si>
  <si>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</si>
  <si>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</si>
  <si>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</si>
  <si>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</si>
  <si>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</si>
  <si>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</si>
  <si>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</si>
  <si>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</si>
  <si>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</si>
  <si>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</si>
  <si>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</si>
  <si>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</si>
  <si>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</si>
  <si>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</si>
  <si>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</si>
  <si>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</si>
  <si>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</si>
  <si>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</si>
  <si>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</si>
  <si>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</si>
  <si>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</si>
  <si>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</si>
  <si>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</si>
  <si>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</si>
  <si>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</si>
  <si>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</si>
  <si>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</si>
  <si>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</si>
  <si>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</si>
  <si>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</si>
  <si>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</si>
  <si>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</si>
  <si>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</si>
  <si>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</si>
  <si>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</si>
  <si>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</si>
  <si>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</si>
  <si>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</si>
  <si>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</si>
  <si>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</si>
  <si>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</si>
  <si>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</si>
  <si>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</si>
  <si>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</si>
  <si>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</si>
  <si>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</si>
  <si>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</si>
  <si>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</si>
  <si>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</si>
  <si>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</si>
  <si>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</si>
  <si>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</si>
  <si>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</si>
  <si>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</si>
  <si>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</si>
  <si>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</si>
  <si>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</si>
  <si>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</si>
  <si>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</si>
  <si>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</si>
  <si>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</si>
  <si>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</si>
  <si>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</si>
  <si>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</si>
  <si>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</si>
  <si>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</si>
  <si>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</si>
  <si>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</si>
  <si>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</si>
  <si>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</si>
  <si>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</si>
  <si>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</si>
  <si>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</si>
  <si>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</si>
  <si>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</si>
  <si>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</si>
  <si>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</si>
  <si>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</si>
  <si>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</si>
  <si>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</si>
  <si>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</si>
  <si>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</si>
  <si>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</si>
  <si>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</si>
  <si>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</si>
  <si>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</si>
  <si>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</si>
  <si>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</si>
  <si>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</si>
  <si>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</si>
  <si>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</si>
  <si>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</si>
  <si>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</si>
  <si>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</si>
  <si>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</si>
  <si>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</si>
  <si>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</si>
  <si>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</si>
  <si>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</si>
  <si>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</si>
  <si>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</si>
  <si>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</si>
  <si>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</si>
  <si>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</si>
  <si>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</si>
  <si>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</si>
  <si>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</si>
  <si>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</si>
  <si>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</si>
  <si>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</si>
  <si>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</si>
  <si>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</si>
  <si>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</si>
  <si>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</si>
  <si>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</si>
  <si>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</si>
  <si>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</si>
  <si>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</si>
  <si>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</si>
  <si>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</si>
  <si>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</si>
  <si>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</si>
  <si>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</si>
  <si>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</si>
  <si>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</si>
  <si>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</si>
  <si>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</si>
  <si>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</si>
  <si>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</si>
  <si>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</si>
  <si>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</si>
  <si>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</si>
  <si>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</si>
  <si>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</si>
  <si>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</si>
  <si>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</si>
  <si>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</si>
  <si>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</si>
  <si>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</si>
  <si>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</si>
  <si>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</si>
  <si>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</si>
  <si>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</si>
  <si>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</si>
  <si>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</si>
  <si>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</si>
  <si>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</si>
  <si>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</si>
  <si>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</si>
  <si>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</si>
  <si>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</si>
  <si>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</si>
  <si>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</si>
  <si>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</si>
  <si>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</si>
  <si>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</si>
  <si>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</si>
  <si>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</si>
  <si>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</si>
  <si>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</si>
  <si>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</si>
  <si>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</si>
  <si>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</si>
  <si>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</si>
  <si>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</si>
  <si>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</si>
  <si>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</si>
  <si>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</si>
  <si>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</si>
  <si>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</si>
  <si>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</si>
  <si>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</si>
  <si>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</si>
  <si>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</si>
  <si>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</si>
  <si>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</si>
  <si>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</si>
  <si>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</si>
  <si>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</si>
  <si>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</si>
  <si>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</si>
  <si>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</si>
  <si>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</si>
  <si>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</si>
  <si>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</si>
  <si>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</si>
  <si>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</si>
  <si>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</si>
  <si>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</si>
  <si>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</si>
  <si>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</si>
  <si>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</si>
  <si>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</si>
  <si>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</si>
  <si>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</si>
  <si>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</si>
  <si>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</si>
  <si>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</si>
  <si>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</si>
  <si>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</si>
  <si>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</si>
  <si>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</si>
  <si>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</si>
  <si>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</si>
  <si>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</si>
  <si>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</si>
  <si>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</si>
  <si>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</si>
  <si>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</si>
  <si>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</si>
  <si>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</si>
  <si>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</si>
  <si>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</si>
  <si>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</si>
  <si>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</si>
  <si>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</si>
  <si>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</si>
  <si>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</si>
  <si>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</si>
  <si>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</si>
  <si>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</si>
  <si>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</si>
  <si>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</si>
  <si>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</si>
  <si>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</si>
  <si>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</si>
  <si>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</si>
  <si>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</si>
  <si>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</si>
  <si>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</si>
  <si>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</si>
  <si>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</si>
  <si>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</si>
  <si>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</si>
  <si>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</si>
  <si>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</si>
  <si>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</si>
  <si>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</si>
  <si>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</si>
  <si>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</si>
  <si>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</si>
  <si>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</si>
  <si>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</si>
  <si>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</si>
  <si>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</si>
  <si>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</si>
  <si>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</si>
  <si>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</si>
  <si>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</si>
  <si>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</si>
  <si>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</si>
  <si>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</si>
  <si>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</si>
  <si>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</si>
  <si>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</si>
  <si>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</si>
  <si>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</si>
  <si>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</si>
  <si>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</si>
  <si>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</si>
  <si>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</si>
  <si>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</si>
  <si>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</si>
  <si>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</si>
  <si>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</si>
  <si>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</si>
  <si>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</si>
  <si>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</si>
  <si>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</si>
  <si>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</si>
  <si>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</si>
  <si>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</si>
  <si>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</si>
  <si>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</si>
  <si>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</si>
  <si>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</si>
  <si>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</si>
  <si>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</si>
  <si>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</si>
  <si>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</si>
  <si>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</si>
  <si>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</si>
  <si>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</si>
  <si>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</si>
  <si>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</si>
  <si>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</si>
  <si>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</si>
  <si>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</si>
  <si>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</si>
  <si>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</si>
  <si>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</si>
  <si>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</si>
  <si>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</si>
  <si>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</si>
  <si>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</si>
  <si>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</si>
  <si>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</si>
  <si>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</si>
  <si>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</si>
  <si>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</si>
  <si>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</si>
  <si>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</si>
  <si>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</si>
  <si>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</si>
  <si>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</si>
  <si>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</si>
  <si>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</si>
  <si>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</si>
  <si>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</si>
  <si>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</si>
  <si>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</si>
  <si>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</si>
  <si>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</si>
  <si>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</si>
  <si>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</si>
  <si>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</si>
  <si>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</si>
  <si>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</si>
  <si>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</si>
  <si>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</si>
  <si>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</si>
  <si>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</si>
  <si>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</si>
  <si>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</si>
  <si>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</si>
  <si>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</si>
  <si>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</si>
  <si>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</si>
  <si>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</si>
  <si>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</si>
  <si>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</si>
  <si>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</si>
  <si>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</si>
  <si>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</si>
  <si>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</si>
  <si>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</si>
  <si>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</si>
  <si>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</si>
  <si>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</si>
  <si>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</si>
  <si>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</si>
  <si>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</si>
  <si>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</si>
  <si>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</si>
  <si>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</si>
  <si>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</si>
  <si>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Nashter</t>
  </si>
  <si>
    <t>Address: Ferozpur Road</t>
  </si>
  <si>
    <t>Shope Name</t>
  </si>
  <si>
    <t>Mouzzam Store</t>
  </si>
  <si>
    <t>Address: Youhanabad</t>
  </si>
  <si>
    <t>Zafar General Store</t>
  </si>
  <si>
    <t>Saud Gill General Store</t>
  </si>
  <si>
    <t>Graceland Mart</t>
  </si>
  <si>
    <t>Haroon Diper Store</t>
  </si>
  <si>
    <t>Khadija Kiryana Store</t>
  </si>
  <si>
    <t>Bhai Bhai General Store</t>
  </si>
  <si>
    <t>Malik Kiryana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</si>
</sst>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Q37" sqref="Q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Mouzzam Store</v>
      </c>
      <c r="T3" s="301">
        <f>+'1'!P35</f>
        <v>17872.967417262709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Zafar General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Saud Gill General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Graceland Mart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Haroon Diper Store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Khadija Kiryana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Bhai Bhai General Store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Malik Kiryana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Shope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Shope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138</v>
      </c>
      <c r="I13" s="236">
        <f t="shared" si="0"/>
        <v>5413.7400000000007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270.68700000000007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189.48090000000002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276.10073999999997</v>
      </c>
      <c r="M13" s="230">
        <f t="shared" si="1"/>
        <v>4677.4713600000005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1052.5423728813553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28.650068664406781</v>
      </c>
      <c r="P13" s="311">
        <f t="shared" si="2"/>
        <v>5758.6638015457629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52</v>
      </c>
      <c r="R13" s="314">
        <v>11</v>
      </c>
      <c r="S13" s="300" t="str">
        <f>+'11'!A6:A6</f>
        <v>Shope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Shope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Shope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10.45</v>
      </c>
      <c r="H16" s="113">
        <f t="shared" ref="H16:M16" si="3">SUM(H7:H15)</f>
        <v>418</v>
      </c>
      <c r="I16" s="114">
        <f t="shared" si="3"/>
        <v>23331.640000000003</v>
      </c>
      <c r="J16" s="274">
        <f>SUM(J7:J15)</f>
        <v>1704.1190000000001</v>
      </c>
      <c r="K16" s="275">
        <f t="shared" si="3"/>
        <v>816.6074000000001</v>
      </c>
      <c r="L16" s="276">
        <f t="shared" si="3"/>
        <v>276.10073999999997</v>
      </c>
      <c r="M16" s="232">
        <f t="shared" si="3"/>
        <v>20534.812860000002</v>
      </c>
      <c r="N16" s="233">
        <f>SUM(N7:N15)</f>
        <v>4438.983050847457</v>
      </c>
      <c r="O16" s="101">
        <f>SUM(O7:O15)</f>
        <v>124.86897955423728</v>
      </c>
      <c r="P16" s="113">
        <f>SUM(P7:P15)</f>
        <v>25098.664890401691</v>
      </c>
      <c r="Q16" s="128">
        <f>SUM(Q7:Q15)</f>
        <v>52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23331.640000000003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1704.1190000000001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1092.7081400000002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20534.812860000005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4438.983050847457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24973.795910847461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124.86897955423728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25098.664890401698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25098.664890401698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7.2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16581.5</v>
      </c>
      <c r="J25" s="274">
        <f>SUM(J16:J24)</f>
        <v>1279.444</v>
      </c>
      <c r="K25" s="275">
        <f t="shared" si="10"/>
        <v>580.35250000000008</v>
      </c>
      <c r="L25" s="276">
        <f t="shared" si="10"/>
        <v>80.029200000000003</v>
      </c>
      <c r="M25" s="232">
        <f t="shared" si="10"/>
        <v>14641.674300000001</v>
      </c>
      <c r="N25" s="233">
        <f>SUM(N16:N24)</f>
        <v>3142.372881355931</v>
      </c>
      <c r="O25" s="101">
        <f>SUM(O16:O24)</f>
        <v>88.920235906779652</v>
      </c>
      <c r="P25" s="113">
        <f>SUM(P16:P24)</f>
        <v>17872.967417262713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16581.5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1279.444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660.38170000000014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14641.674300000001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3142.372881355931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17784.047181355931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88.920235906779652</v>
      </c>
    </row>
    <row r="35" spans="2:16" ht="15.75" customHeight="1" thickBot="1" x14ac:dyDescent="0.4">
      <c r="N35" s="373" t="s">
        <v>88</v>
      </c>
      <c r="O35" s="374"/>
      <c r="P35" s="297">
        <f>+P33+P34</f>
        <v>17872.967417262709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8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1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9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235.38000000000002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11.769000000000002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20.242680000000004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203.36832000000001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249.13103186440676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3" t="s">
        <v>88</v>
      </c>
      <c r="O35" s="374"/>
      <c r="P35" s="297">
        <f>+P33+P34</f>
        <v>250.37668702372881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8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9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2026-09-05T05:18:27Z</dcterms:modified>
</cp:coreProperties>
</file>