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63EFA39-0954-49D2-BCEC-F14996ED77FF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6" i="48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<sst xmlns="http://schemas.openxmlformats.org/spreadsheetml/2006/main" count="3948" uniqueCount="535">
  <si>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</si>
  <si>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</si>
  <si>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</si>
  <si>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</si>
  <si>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</si>
  <si>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</si>
  <si>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</si>
  <si>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</si>
  <si>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</si>
  <si>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</si>
  <si>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</si>
  <si>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</si>
  <si>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</si>
  <si>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</si>
  <si>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</si>
  <si>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</si>
  <si>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</si>
  <si>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</si>
  <si>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</si>
  <si>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</si>
  <si>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</si>
  <si>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</si>
  <si>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</si>
  <si>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</si>
  <si>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</si>
  <si>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</si>
  <si>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</si>
  <si>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</si>
  <si>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</si>
  <si>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</si>
  <si>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</si>
  <si>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</si>
  <si>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</si>
  <si>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</si>
  <si>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</si>
  <si>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</si>
  <si>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</si>
  <si>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</si>
  <si>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</si>
  <si>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</si>
  <si>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</si>
  <si>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</si>
  <si>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</si>
  <si>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</si>
  <si>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</si>
  <si>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</si>
  <si>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</si>
  <si>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</si>
  <si>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</si>
  <si>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</si>
  <si>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</si>
  <si>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</si>
  <si>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</si>
  <si>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</si>
  <si>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</si>
  <si>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</si>
  <si>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</si>
  <si>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</si>
  <si>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</si>
  <si>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</si>
  <si>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</si>
  <si>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</si>
  <si>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</si>
  <si>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</si>
  <si>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</si>
  <si>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</si>
  <si>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</si>
  <si>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</si>
  <si>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</si>
  <si>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</si>
  <si>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</si>
  <si>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</si>
  <si>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</si>
  <si>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</si>
  <si>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</si>
  <si>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</si>
  <si>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</si>
  <si>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</si>
  <si>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</si>
  <si>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</si>
  <si>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</si>
  <si>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</si>
  <si>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</si>
  <si>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</si>
  <si>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</si>
  <si>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</si>
  <si>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</si>
  <si>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</si>
  <si>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</si>
  <si>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</si>
  <si>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</si>
  <si>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</si>
  <si>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</si>
  <si>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</si>
  <si>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</si>
  <si>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</si>
  <si>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</si>
  <si>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</si>
  <si>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</si>
  <si>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</si>
  <si>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</si>
  <si>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</si>
  <si>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</si>
  <si>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</si>
  <si>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</si>
  <si>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</si>
  <si>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</si>
  <si>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</si>
  <si>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</si>
  <si>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</si>
  <si>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</si>
  <si>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</si>
  <si>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</si>
  <si>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</si>
  <si>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</si>
  <si>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</si>
  <si>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</si>
  <si>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</si>
  <si>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</si>
  <si>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</si>
  <si>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</si>
  <si>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</si>
  <si>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</si>
  <si>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</si>
  <si>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</si>
  <si>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</si>
  <si>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</si>
  <si>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</si>
  <si>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</si>
  <si>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</si>
  <si>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</si>
  <si>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</si>
  <si>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</si>
  <si>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</si>
  <si>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</si>
  <si>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</si>
  <si>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</si>
  <si>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</si>
  <si>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</si>
  <si>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</si>
  <si>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</si>
  <si>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</si>
  <si>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</si>
  <si>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</si>
  <si>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</si>
  <si>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</si>
  <si>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</si>
  <si>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</si>
  <si>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</si>
  <si>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</si>
  <si>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</si>
  <si>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</si>
  <si>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</si>
  <si>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</si>
  <si>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</si>
  <si>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</si>
  <si>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</si>
  <si>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</si>
  <si>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</si>
  <si>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</si>
  <si>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</si>
  <si>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</si>
  <si>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</si>
  <si>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</si>
  <si>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</si>
  <si>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</si>
  <si>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</si>
  <si>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</si>
  <si>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</si>
  <si>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</si>
  <si>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</si>
  <si>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</si>
  <si>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</si>
  <si>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</si>
  <si>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</si>
  <si>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</si>
  <si>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</si>
  <si>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</si>
  <si>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</si>
  <si>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</si>
  <si>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</si>
  <si>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</si>
  <si>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</si>
  <si>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</si>
  <si>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</si>
  <si>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</si>
  <si>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</si>
  <si>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</si>
  <si>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</si>
  <si>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</si>
  <si>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</si>
  <si>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</si>
  <si>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</si>
  <si>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</si>
  <si>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</si>
  <si>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</si>
  <si>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</si>
  <si>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</si>
  <si>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</si>
  <si>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</si>
  <si>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</si>
  <si>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</si>
  <si>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</si>
  <si>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</si>
  <si>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</si>
  <si>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</si>
  <si>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</si>
  <si>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</si>
  <si>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</si>
  <si>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</si>
  <si>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</si>
  <si>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</si>
  <si>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</si>
  <si>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</si>
  <si>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</si>
  <si>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</si>
  <si>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</si>
  <si>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</si>
  <si>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</si>
  <si>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</si>
  <si>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</si>
  <si>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</si>
  <si>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</si>
  <si>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</si>
  <si>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</si>
  <si>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</si>
  <si>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</si>
  <si>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</si>
  <si>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</si>
  <si>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</si>
  <si>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</si>
  <si>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</si>
  <si>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</si>
  <si>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</si>
  <si>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</si>
  <si>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</si>
  <si>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</si>
  <si>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</si>
  <si>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</si>
  <si>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</si>
  <si>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</si>
  <si>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</si>
  <si>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</si>
  <si>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</si>
  <si>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</si>
  <si>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</si>
  <si>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</si>
  <si>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</si>
  <si>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</si>
  <si>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</si>
  <si>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</si>
  <si>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</si>
  <si>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</si>
  <si>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</si>
  <si>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</si>
  <si>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</si>
  <si>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</si>
  <si>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</si>
  <si>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</si>
  <si>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</si>
  <si>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</si>
  <si>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</si>
  <si>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</si>
  <si>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</si>
  <si>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</si>
  <si>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</si>
  <si>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</si>
  <si>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</si>
  <si>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</si>
  <si>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</si>
  <si>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</si>
  <si>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</si>
  <si>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</si>
  <si>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</si>
  <si>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</si>
  <si>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</si>
  <si>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</si>
  <si>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</si>
  <si>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</si>
  <si>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</si>
  <si>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</si>
  <si>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</si>
  <si>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</si>
  <si>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</si>
  <si>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</si>
  <si>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</si>
  <si>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</si>
  <si>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</si>
  <si>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</si>
  <si>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</si>
  <si>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</si>
  <si>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</si>
  <si>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</si>
  <si>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</si>
  <si>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</si>
  <si>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</si>
  <si>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</si>
  <si>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</si>
  <si>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</si>
  <si>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</si>
  <si>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</si>
  <si>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</si>
  <si>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</si>
  <si>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</si>
  <si>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</si>
  <si>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</si>
  <si>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</si>
  <si>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</si>
  <si>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</si>
  <si>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</si>
  <si>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</si>
  <si>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</si>
  <si>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</si>
  <si>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</si>
  <si>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</si>
  <si>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</si>
  <si>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</si>
  <si>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</si>
  <si>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</si>
  <si>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</si>
  <si>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</si>
  <si>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</si>
  <si>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</si>
  <si>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</si>
  <si>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</si>
  <si>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</si>
  <si>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</si>
  <si>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</si>
  <si>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</si>
  <si>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</si>
  <si>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</si>
  <si>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</si>
  <si>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</si>
  <si>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</si>
  <si>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</si>
  <si>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</si>
  <si>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</si>
  <si>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</si>
  <si>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</si>
  <si>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</si>
  <si>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</si>
  <si>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</si>
  <si>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</si>
  <si>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</si>
  <si>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</si>
  <si>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</si>
  <si>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</si>
  <si>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</si>
  <si>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</si>
  <si>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</si>
  <si>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</si>
  <si>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</si>
  <si>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</si>
  <si>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</si>
  <si>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</si>
  <si>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</si>
  <si>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</si>
  <si>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</si>
  <si>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</si>
  <si>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</si>
  <si>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</si>
  <si>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</si>
  <si>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</si>
  <si>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</si>
  <si>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</si>
  <si>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</si>
  <si>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</si>
  <si>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</si>
  <si>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</si>
  <si>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</si>
  <si>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</si>
  <si>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</si>
  <si>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</si>
  <si>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</si>
  <si>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</si>
  <si>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</si>
  <si>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</si>
  <si>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</si>
  <si>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</si>
  <si>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</si>
  <si>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</si>
  <si>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</si>
  <si>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</si>
  <si>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</si>
  <si>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</si>
  <si>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</si>
  <si>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</si>
  <si>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</si>
  <si>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</si>
  <si>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</si>
  <si>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</si>
  <si>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</si>
  <si>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</si>
  <si>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</si>
  <si>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</si>
  <si>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</si>
  <si>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</si>
  <si>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</si>
  <si>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</si>
  <si>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</si>
  <si>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</si>
  <si>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</si>
  <si>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</si>
  <si>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</si>
  <si>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</si>
  <si>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</si>
  <si>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</si>
  <si>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</si>
  <si>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</si>
  <si>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</si>
  <si>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</si>
  <si>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</si>
  <si>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</si>
  <si>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</si>
  <si>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</si>
  <si>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</si>
  <si>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</si>
  <si>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</si>
  <si>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</si>
  <si>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</si>
  <si>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</si>
  <si>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</si>
  <si>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</si>
  <si>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</si>
  <si>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</si>
  <si>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</si>
  <si>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</si>
  <si>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</si>
  <si>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</si>
  <si>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</si>
  <si>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</si>
  <si>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</si>
  <si>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</si>
  <si>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</si>
  <si>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</si>
  <si>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</si>
  <si>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</si>
  <si>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</si>
  <si>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</si>
  <si>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</si>
  <si>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</si>
  <si>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</si>
  <si>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</si>
  <si>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</si>
  <si>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</si>
  <si>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</si>
  <si>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</si>
  <si>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</si>
  <si>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</si>
  <si>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</si>
  <si>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</si>
  <si>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</si>
  <si>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</si>
  <si>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</si>
  <si>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</si>
  <si>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</si>
  <si>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</si>
  <si>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</si>
  <si>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</si>
  <si>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</si>
  <si>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</si>
  <si>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</si>
  <si>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</si>
  <si>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</si>
  <si>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</si>
  <si>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</si>
  <si>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</si>
  <si>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</si>
  <si>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</si>
  <si>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</si>
  <si>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</si>
  <si>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</si>
  <si>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</si>
  <si>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</si>
  <si>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</si>
  <si>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</si>
  <si>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</si>
  <si>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</si>
  <si>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</si>
  <si>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</si>
  <si>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</si>
  <si>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</si>
  <si>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</si>
  <si>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</si>
  <si>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</si>
  <si>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</si>
  <si>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</si>
  <si>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</si>
  <si>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</si>
  <si>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</si>
  <si>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</si>
  <si>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</si>
  <si>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</si>
  <si>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</si>
  <si>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</si>
  <si>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</si>
  <si>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</si>
  <si>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</si>
  <si>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</si>
  <si>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</si>
  <si>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</si>
  <si>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</si>
  <si>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</si>
  <si>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</si>
  <si>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</si>
  <si>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</si>
  <si>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</si>
  <si>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</si>
  <si>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</si>
  <si>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</si>
  <si>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</si>
  <si>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</si>
  <si>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</si>
  <si>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</si>
  <si>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Guru mangat</t>
  </si>
  <si>
    <t>Hamza Store</t>
  </si>
  <si>
    <t>Address: Qadri Colony</t>
  </si>
  <si>
    <t>Saleem &amp; Sons</t>
  </si>
  <si>
    <t>CNIC #:352015119657-7</t>
  </si>
  <si>
    <t>Rana Super Store</t>
  </si>
  <si>
    <t>AB Store</t>
  </si>
  <si>
    <t>CNIC #:3520148928009</t>
  </si>
  <si>
    <t>Bismillah Store</t>
  </si>
  <si>
    <t>CNIC #:341027579428-1</t>
  </si>
  <si>
    <t>Anwar Store</t>
  </si>
  <si>
    <t>Address:  Qadri Colony</t>
  </si>
  <si>
    <t>Madni Medical Store</t>
  </si>
  <si>
    <t>Address: Peer Colony</t>
  </si>
  <si>
    <t>CNIC #:352022391520-1</t>
  </si>
  <si>
    <t>Awan Store</t>
  </si>
  <si>
    <t>Address: Peer Colonuy Street No-1</t>
  </si>
  <si>
    <t>CNIC #:352011835935-1</t>
  </si>
  <si>
    <t>Al Barkat Super Mart</t>
  </si>
  <si>
    <t xml:space="preserve">Address: Peer Colony Street No-1 Near Shabir Mutton </t>
  </si>
  <si>
    <t>CNIC #:3450214530224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</si>
</sst>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1" activeCellId="4" sqref="S5 S6 S7 S10 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Hamza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Saleem &amp; Sons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Rana Super Store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AB Store</v>
      </c>
      <c r="T6" s="301">
        <f>+'4'!P35</f>
        <v>2121.1323244245764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Bismillah Store</v>
      </c>
      <c r="T7" s="301">
        <f>+'5'!P35</f>
        <v>1001.5067480949152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24</v>
      </c>
      <c r="R8" s="314">
        <v>6</v>
      </c>
      <c r="S8" s="300" t="str">
        <f>+'6'!A6:A6</f>
        <v>Anwar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Madni Medical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4">
        <v>8</v>
      </c>
      <c r="S10" s="300" t="str">
        <f>+'8'!A6:A6</f>
        <v>Awan Store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Al Barkat Super Mart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128</v>
      </c>
      <c r="I13" s="236">
        <f t="shared" si="0"/>
        <v>5021.4400000000005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251.07200000000006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175.75040000000004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256.09343999999999</v>
      </c>
      <c r="M13" s="230">
        <f t="shared" si="1"/>
        <v>4338.5241600000008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976.27118644067741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26.573976732203391</v>
      </c>
      <c r="P13" s="311">
        <f t="shared" si="2"/>
        <v>5341.3693231728812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36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3.8</v>
      </c>
      <c r="H16" s="113">
        <f t="shared" ref="H16:M16" si="3">SUM(H7:H15)</f>
        <v>152</v>
      </c>
      <c r="I16" s="114">
        <f t="shared" si="3"/>
        <v>6522.67</v>
      </c>
      <c r="J16" s="274">
        <f>SUM(J7:J15)</f>
        <v>371.17040000000009</v>
      </c>
      <c r="K16" s="275">
        <f t="shared" si="3"/>
        <v>228.29345000000006</v>
      </c>
      <c r="L16" s="276">
        <f t="shared" si="3"/>
        <v>256.09343999999999</v>
      </c>
      <c r="M16" s="232">
        <f t="shared" si="3"/>
        <v>5667.1127100000012</v>
      </c>
      <c r="N16" s="233">
        <f>SUM(N7:N15)</f>
        <v>1259.9999999999995</v>
      </c>
      <c r="O16" s="101">
        <f>SUM(O7:O15)</f>
        <v>34.635563550000001</v>
      </c>
      <c r="P16" s="113">
        <f>SUM(P7:P15)</f>
        <v>6961.7482735499998</v>
      </c>
      <c r="Q16" s="128">
        <f>SUM(Q7:Q15)</f>
        <v>66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6522.67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371.17040000000009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484.38689000000005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5667.1127100000003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1259.9999999999995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6927.1127099999994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34.635563550000001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6961.7482735499998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6961.7482735499998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</v>
      </c>
      <c r="I25" s="114">
        <f t="shared" si="7"/>
        <v>1971.99</v>
      </c>
      <c r="J25" s="274">
        <f>SUM(J16:J24)</f>
        <v>143.63640000000001</v>
      </c>
      <c r="K25" s="275">
        <f t="shared" si="7"/>
        <v>69.019650000000013</v>
      </c>
      <c r="L25" s="276">
        <f t="shared" si="7"/>
        <v>24.008760000000002</v>
      </c>
      <c r="M25" s="232">
        <f t="shared" si="7"/>
        <v>1735.32519</v>
      </c>
      <c r="N25" s="233">
        <f>SUM(N16:N24)</f>
        <v>375.25423728813553</v>
      </c>
      <c r="O25" s="101">
        <f>SUM(O16:O24)</f>
        <v>10.552897136440677</v>
      </c>
      <c r="P25" s="113">
        <f>SUM(P16:P24)</f>
        <v>2121.1323244245764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1971.99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143.63640000000001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93.028410000000008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1735.32519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375.25423728813553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2110.5794272881358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10.552897136440679</v>
      </c>
    </row>
    <row r="35" spans="2:16" ht="15.75" customHeight="1" thickBot="1" x14ac:dyDescent="0.4">
      <c r="N35" s="344" t="s">
        <v>88</v>
      </c>
      <c r="O35" s="345"/>
      <c r="P35" s="297">
        <f>+P33+P34</f>
        <v>2121.1323244245764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941.5200000000001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47.076000000000008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80.970720000000014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813.47328000000005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996.52412745762706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44" t="s">
        <v>88</v>
      </c>
      <c r="O35" s="345"/>
      <c r="P35" s="297">
        <f>+P33+P34</f>
        <v>1001.5067480949152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C21" sqref="C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531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534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16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2026-09-08T07:20:09Z</dcterms:modified>
</cp:coreProperties>
</file>