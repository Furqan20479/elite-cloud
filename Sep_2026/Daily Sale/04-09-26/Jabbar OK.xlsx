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3A19688-F538-4AA4-B987-AD8A9705E18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S4" i="62"/>
  <c r="S5" i="62"/>
  <c r="S6" i="62"/>
  <c r="S7" i="62"/>
  <c r="S8" i="62"/>
  <c r="S9" i="62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<sst xmlns="http://schemas.openxmlformats.org/spreadsheetml/2006/main" count="3949" uniqueCount="525">
  <si>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</si>
  <si>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</si>
  <si>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</si>
  <si>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</si>
  <si>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</si>
  <si>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</si>
  <si>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</si>
  <si>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</si>
  <si>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</si>
  <si>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</si>
  <si>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</si>
  <si>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</si>
  <si>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</si>
  <si>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</si>
  <si>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</si>
  <si>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</si>
  <si>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</si>
  <si>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</si>
  <si>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</si>
  <si>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</si>
  <si>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</si>
  <si>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</si>
  <si>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</si>
  <si>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</si>
  <si>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</si>
  <si>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</si>
  <si>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</si>
  <si>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</si>
  <si>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</si>
  <si>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</si>
  <si>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</si>
  <si>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</si>
  <si>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</si>
  <si>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</si>
  <si>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</si>
  <si>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</si>
  <si>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</si>
  <si>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</si>
  <si>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</si>
  <si>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</si>
  <si>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</si>
  <si>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</si>
  <si>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</si>
  <si>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</si>
  <si>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</si>
  <si>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</si>
  <si>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</si>
  <si>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</si>
  <si>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</si>
  <si>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</si>
  <si>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</si>
  <si>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</si>
  <si>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</si>
  <si>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</si>
  <si>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</si>
  <si>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</si>
  <si>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</si>
  <si>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</si>
  <si>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</si>
  <si>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</si>
  <si>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</si>
  <si>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</si>
  <si>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</si>
  <si>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</si>
  <si>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</si>
  <si>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</si>
  <si>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</si>
  <si>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</si>
  <si>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</si>
  <si>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</si>
  <si>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</si>
  <si>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</si>
  <si>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</si>
  <si>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</si>
  <si>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</si>
  <si>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</si>
  <si>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</si>
  <si>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</si>
  <si>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</si>
  <si>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</si>
  <si>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</si>
  <si>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</si>
  <si>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</si>
  <si>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</si>
  <si>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</si>
  <si>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</si>
  <si>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</si>
  <si>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</si>
  <si>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</si>
  <si>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</si>
  <si>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</si>
  <si>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</si>
  <si>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</si>
  <si>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</si>
  <si>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</si>
  <si>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</si>
  <si>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</si>
  <si>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</si>
  <si>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</si>
  <si>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</si>
  <si>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</si>
  <si>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</si>
  <si>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</si>
  <si>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</si>
  <si>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</si>
  <si>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</si>
  <si>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</si>
  <si>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</si>
  <si>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</si>
  <si>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</si>
  <si>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</si>
  <si>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</si>
  <si>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</si>
  <si>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</si>
  <si>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</si>
  <si>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</si>
  <si>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</si>
  <si>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</si>
  <si>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</si>
  <si>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</si>
  <si>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</si>
  <si>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</si>
  <si>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</si>
  <si>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</si>
  <si>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</si>
  <si>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</si>
  <si>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</si>
  <si>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</si>
  <si>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</si>
  <si>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</si>
  <si>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</si>
  <si>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</si>
  <si>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</si>
  <si>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</si>
  <si>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</si>
  <si>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</si>
  <si>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</si>
  <si>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</si>
  <si>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</si>
  <si>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</si>
  <si>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</si>
  <si>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</si>
  <si>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</si>
  <si>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</si>
  <si>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</si>
  <si>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</si>
  <si>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</si>
  <si>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</si>
  <si>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</si>
  <si>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</si>
  <si>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</si>
  <si>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</si>
  <si>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</si>
  <si>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</si>
  <si>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</si>
  <si>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</si>
  <si>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</si>
  <si>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</si>
  <si>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</si>
  <si>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</si>
  <si>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</si>
  <si>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</si>
  <si>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</si>
  <si>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</si>
  <si>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</si>
  <si>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</si>
  <si>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</si>
  <si>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</si>
  <si>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</si>
  <si>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</si>
  <si>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</si>
  <si>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</si>
  <si>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</si>
  <si>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</si>
  <si>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</si>
  <si>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</si>
  <si>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</si>
  <si>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</si>
  <si>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</si>
  <si>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</si>
  <si>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</si>
  <si>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</si>
  <si>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</si>
  <si>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</si>
  <si>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</si>
  <si>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</si>
  <si>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</si>
  <si>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</si>
  <si>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</si>
  <si>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</si>
  <si>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</si>
  <si>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</si>
  <si>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</si>
  <si>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</si>
  <si>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</si>
  <si>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</si>
  <si>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</si>
  <si>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</si>
  <si>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</si>
  <si>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</si>
  <si>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</si>
  <si>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</si>
  <si>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</si>
  <si>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</si>
  <si>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</si>
  <si>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</si>
  <si>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</si>
  <si>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</si>
  <si>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</si>
  <si>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</si>
  <si>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</si>
  <si>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</si>
  <si>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</si>
  <si>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</si>
  <si>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</si>
  <si>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</si>
  <si>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</si>
  <si>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</si>
  <si>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</si>
  <si>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</si>
  <si>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</si>
  <si>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</si>
  <si>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</si>
  <si>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</si>
  <si>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</si>
  <si>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</si>
  <si>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</si>
  <si>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</si>
  <si>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</si>
  <si>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</si>
  <si>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</si>
  <si>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</si>
  <si>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</si>
  <si>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</si>
  <si>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</si>
  <si>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</si>
  <si>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</si>
  <si>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</si>
  <si>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</si>
  <si>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</si>
  <si>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</si>
  <si>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</si>
  <si>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</si>
  <si>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</si>
  <si>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</si>
  <si>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</si>
  <si>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</si>
  <si>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</si>
  <si>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</si>
  <si>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</si>
  <si>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</si>
  <si>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</si>
  <si>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</si>
  <si>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</si>
  <si>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</si>
  <si>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</si>
  <si>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</si>
  <si>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</si>
  <si>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</si>
  <si>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</si>
  <si>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</si>
  <si>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</si>
  <si>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</si>
  <si>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</si>
  <si>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</si>
  <si>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</si>
  <si>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</si>
  <si>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</si>
  <si>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</si>
  <si>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</si>
  <si>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</si>
  <si>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</si>
  <si>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</si>
  <si>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</si>
  <si>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</si>
  <si>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</si>
  <si>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</si>
  <si>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</si>
  <si>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</si>
  <si>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</si>
  <si>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</si>
  <si>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</si>
  <si>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</si>
  <si>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</si>
  <si>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</si>
  <si>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</si>
  <si>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</si>
  <si>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</si>
  <si>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</si>
  <si>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</si>
  <si>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</si>
  <si>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</si>
  <si>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</si>
  <si>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</si>
  <si>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</si>
  <si>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</si>
  <si>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</si>
  <si>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</si>
  <si>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</si>
  <si>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</si>
  <si>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</si>
  <si>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</si>
  <si>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</si>
  <si>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</si>
  <si>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</si>
  <si>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</si>
  <si>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</si>
  <si>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</si>
  <si>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</si>
  <si>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</si>
  <si>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</si>
  <si>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</si>
  <si>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</si>
  <si>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</si>
  <si>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</si>
  <si>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</si>
  <si>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</si>
  <si>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</si>
  <si>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</si>
  <si>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</si>
  <si>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</si>
  <si>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</si>
  <si>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</si>
  <si>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</si>
  <si>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</si>
  <si>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</si>
  <si>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</si>
  <si>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</si>
  <si>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</si>
  <si>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</si>
  <si>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</si>
  <si>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</si>
  <si>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</si>
  <si>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</si>
  <si>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</si>
  <si>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</si>
  <si>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</si>
  <si>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</si>
  <si>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</si>
  <si>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</si>
  <si>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</si>
  <si>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</si>
  <si>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</si>
  <si>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</si>
  <si>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</si>
  <si>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</si>
  <si>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</si>
  <si>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</si>
  <si>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</si>
  <si>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</si>
  <si>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</si>
  <si>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</si>
  <si>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</si>
  <si>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</si>
  <si>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</si>
  <si>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</si>
  <si>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</si>
  <si>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</si>
  <si>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</si>
  <si>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</si>
  <si>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</si>
  <si>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</si>
  <si>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</si>
  <si>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</si>
  <si>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</si>
  <si>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</si>
  <si>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</si>
  <si>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</si>
  <si>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</si>
  <si>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</si>
  <si>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</si>
  <si>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</si>
  <si>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</si>
  <si>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</si>
  <si>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</si>
  <si>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</si>
  <si>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</si>
  <si>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</si>
  <si>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</si>
  <si>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</si>
  <si>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</si>
  <si>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</si>
  <si>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</si>
  <si>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</si>
  <si>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</si>
  <si>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</si>
  <si>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</si>
  <si>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</si>
  <si>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</si>
  <si>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</si>
  <si>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</si>
  <si>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</si>
  <si>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</si>
  <si>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</si>
  <si>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</si>
  <si>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</si>
  <si>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</si>
  <si>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</si>
  <si>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</si>
  <si>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</si>
  <si>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</si>
  <si>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</si>
  <si>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</si>
  <si>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</si>
  <si>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</si>
  <si>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</si>
  <si>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</si>
  <si>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</si>
  <si>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</si>
  <si>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</si>
  <si>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</si>
  <si>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</si>
  <si>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</si>
  <si>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</si>
  <si>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</si>
  <si>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</si>
  <si>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</si>
  <si>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</si>
  <si>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</si>
  <si>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</si>
  <si>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</si>
  <si>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</si>
  <si>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</si>
  <si>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</si>
  <si>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</si>
  <si>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</si>
  <si>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</si>
  <si>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</si>
  <si>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</si>
  <si>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</si>
  <si>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</si>
  <si>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</si>
  <si>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</si>
  <si>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</si>
  <si>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</si>
  <si>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</si>
  <si>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</si>
  <si>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</si>
  <si>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</si>
  <si>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</si>
  <si>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</si>
  <si>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</si>
  <si>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</si>
  <si>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</si>
  <si>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</si>
  <si>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</si>
  <si>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</si>
  <si>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</si>
  <si>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</si>
  <si>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</si>
  <si>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</si>
  <si>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</si>
  <si>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</si>
  <si>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</si>
  <si>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</si>
  <si>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</si>
  <si>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</si>
  <si>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</si>
  <si>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</si>
  <si>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</si>
  <si>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</si>
  <si>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</si>
  <si>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</si>
  <si>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</si>
  <si>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</si>
  <si>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</si>
  <si>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</si>
  <si>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</si>
  <si>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</si>
  <si>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</si>
  <si>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</si>
  <si>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</si>
  <si>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</si>
  <si>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</si>
  <si>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</si>
  <si>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</si>
  <si>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</si>
  <si>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</si>
  <si>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</si>
  <si>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</si>
  <si>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</si>
  <si>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</si>
  <si>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</si>
  <si>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</si>
  <si>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</si>
  <si>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</si>
  <si>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</si>
  <si>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</si>
  <si>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</si>
  <si>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</si>
  <si>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</si>
  <si>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</si>
  <si>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</si>
  <si>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</si>
  <si>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</si>
  <si>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</si>
  <si>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</si>
  <si>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</si>
  <si>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</si>
  <si>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</si>
  <si>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</si>
  <si>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</si>
  <si>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</si>
  <si>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</si>
  <si>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</si>
  <si>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</si>
  <si>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</si>
  <si>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</si>
  <si>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</si>
  <si>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</si>
  <si>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</si>
  <si>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</si>
  <si>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</si>
  <si>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Guru mangat</t>
  </si>
  <si>
    <t>Address: Super Town Link 2</t>
  </si>
  <si>
    <t xml:space="preserve">Address:  Rifal Range Road near Malik Auto </t>
  </si>
  <si>
    <t>Address: Rifal Range Road</t>
  </si>
  <si>
    <t>Jabbar</t>
  </si>
  <si>
    <t>Hikma Store</t>
  </si>
  <si>
    <t>Address: Green City</t>
  </si>
  <si>
    <t xml:space="preserve">Hadi Pamper </t>
  </si>
  <si>
    <t>Address: Saghir Road</t>
  </si>
  <si>
    <t>Ashiq Store</t>
  </si>
  <si>
    <t>Tahir General Store</t>
  </si>
  <si>
    <t>Address: Dharampura Phattak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</si>
</sst>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517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Hikma Store</v>
      </c>
      <c r="T3" s="301">
        <f>+'1'!P35</f>
        <v>4936.0723931631355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Hadi Pamper 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Ashiq Store</v>
      </c>
      <c r="T5" s="301">
        <f>+'3'!P35</f>
        <v>1180.2688488991523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Tahir General Store</v>
      </c>
      <c r="T6" s="301">
        <f>+'4'!P35</f>
        <v>1127.9956910644069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22</v>
      </c>
      <c r="I9" s="236">
        <f t="shared" si="0"/>
        <v>1154.175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92.334000000000003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40.396124999999998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1021.4448749999999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218.13559322033888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6.1979023411016945</v>
      </c>
      <c r="P9" s="311">
        <f t="shared" si="2"/>
        <v>1245.7783705614406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18</v>
      </c>
      <c r="I10" s="236">
        <f t="shared" si="0"/>
        <v>1307.52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104.6016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45.763200000000005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1157.1551999999999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247.11864406779662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7.0213692203389835</v>
      </c>
      <c r="P10" s="311">
        <f t="shared" si="2"/>
        <v>1411.2952132881355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76</v>
      </c>
      <c r="I13" s="236">
        <f t="shared" si="0"/>
        <v>2981.4800000000005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149.07400000000004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104.35180000000003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152.05547999999999</v>
      </c>
      <c r="M13" s="230">
        <f t="shared" si="1"/>
        <v>2575.9987200000005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579.66101694915221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15.778298684745764</v>
      </c>
      <c r="P13" s="311">
        <f t="shared" si="2"/>
        <v>3171.4380356338984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3.65</v>
      </c>
      <c r="H16" s="113">
        <f t="shared" ref="H16:M16" si="3">SUM(H7:H15)</f>
        <v>146</v>
      </c>
      <c r="I16" s="114">
        <f t="shared" si="3"/>
        <v>7218.8250000000007</v>
      </c>
      <c r="J16" s="274">
        <f>SUM(J7:J15)</f>
        <v>488.06160000000011</v>
      </c>
      <c r="K16" s="275">
        <f t="shared" si="3"/>
        <v>252.65887500000005</v>
      </c>
      <c r="L16" s="276">
        <f t="shared" si="3"/>
        <v>152.05547999999999</v>
      </c>
      <c r="M16" s="232">
        <f t="shared" si="3"/>
        <v>6326.0490449999998</v>
      </c>
      <c r="N16" s="233">
        <f>SUM(N7:N15)</f>
        <v>1380.5084745762706</v>
      </c>
      <c r="O16" s="101">
        <f>SUM(O7:O15)</f>
        <v>38.532787597881352</v>
      </c>
      <c r="P16" s="113">
        <f>SUM(P7:P15)</f>
        <v>7745.0903071741523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7218.8250000000007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488.06160000000011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404.71435500000007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6326.0490450000007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1380.5084745762706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7706.5575195762713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38.532787597881352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7745.0903071741523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7745.0903071741523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517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90</v>
      </c>
      <c r="I25" s="114">
        <f t="shared" ref="I25:M25" si="10">SUM(I16:I24)</f>
        <v>4595.875</v>
      </c>
      <c r="J25" s="274">
        <f>SUM(J16:J24)</f>
        <v>320.59399999999999</v>
      </c>
      <c r="K25" s="275">
        <f t="shared" si="10"/>
        <v>160.85562500000003</v>
      </c>
      <c r="L25" s="276">
        <f t="shared" si="10"/>
        <v>80.029200000000003</v>
      </c>
      <c r="M25" s="232">
        <f t="shared" si="10"/>
        <v>4034.3961750000003</v>
      </c>
      <c r="N25" s="233">
        <f>SUM(N16:N24)</f>
        <v>877.11864406779625</v>
      </c>
      <c r="O25" s="101">
        <f>SUM(O16:O24)</f>
        <v>24.557574095338982</v>
      </c>
      <c r="P25" s="113">
        <f>SUM(P16:P24)</f>
        <v>4936.0723931631355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4595.875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320.59399999999999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240.88482500000003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4034.3961749999999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877.11864406779625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4911.5148190677965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24.557574095338982</v>
      </c>
    </row>
    <row r="35" spans="2:16" ht="15.75" customHeight="1" thickBot="1" x14ac:dyDescent="0.4">
      <c r="N35" s="344" t="s">
        <v>88</v>
      </c>
      <c r="O35" s="345"/>
      <c r="P35" s="297">
        <f>+P33+P34</f>
        <v>4936.0723931631355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21" sqref="A21:XFD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1100.31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73.902000000000001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62.519610000000007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963.88838999999984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1174.3968645762709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4" t="s">
        <v>88</v>
      </c>
      <c r="O35" s="345"/>
      <c r="P35" s="297">
        <f>+P33+P34</f>
        <v>1180.2688488991523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1051.8800000000001</v>
      </c>
      <c r="J25" s="274">
        <f>SUM(J16:J24)</f>
        <v>70.027600000000007</v>
      </c>
      <c r="K25" s="275">
        <f t="shared" si="7"/>
        <v>36.81580000000001</v>
      </c>
      <c r="L25" s="276">
        <f t="shared" si="7"/>
        <v>24.008760000000002</v>
      </c>
      <c r="M25" s="232">
        <f t="shared" si="7"/>
        <v>921.02783999999997</v>
      </c>
      <c r="N25" s="233">
        <f>SUM(N16:N24)</f>
        <v>201.35593220338978</v>
      </c>
      <c r="O25" s="101">
        <f>SUM(O16:O24)</f>
        <v>5.6119188610169495</v>
      </c>
      <c r="P25" s="113">
        <f>SUM(P16:P24)</f>
        <v>1127.9956910644069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1051.8800000000001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70.027600000000007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60.824560000000012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921.02784000000008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1122.38377220339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5.6119188610169504</v>
      </c>
    </row>
    <row r="35" spans="2:16" ht="15.75" customHeight="1" thickBot="1" x14ac:dyDescent="0.4">
      <c r="N35" s="344" t="s">
        <v>88</v>
      </c>
      <c r="O35" s="345"/>
      <c r="P35" s="297">
        <f>+P33+P34</f>
        <v>1127.9956910644069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4" sqref="J14:L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4" workbookViewId="0">
      <selection activeCell="Q23" sqref="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46271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46270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2026-09-05T04:46:20Z</dcterms:modified>
</cp:coreProperties>
</file>