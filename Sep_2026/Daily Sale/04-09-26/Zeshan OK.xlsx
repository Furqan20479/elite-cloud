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5BB011F-F83F-4A69-AA99-452E52F91EF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52" l="1"/>
  <c r="C12" i="52"/>
  <c r="O15" i="52"/>
  <c r="B16" i="52"/>
  <c r="C16" i="52"/>
  <c r="D16" i="52"/>
  <c r="I16" i="52" s="1"/>
  <c r="E16" i="52"/>
  <c r="F16" i="52"/>
  <c r="B17" i="52"/>
  <c r="C17" i="52"/>
  <c r="D17" i="52"/>
  <c r="E17" i="52"/>
  <c r="F17" i="52"/>
  <c r="I17" i="52"/>
  <c r="J17" i="52" s="1"/>
  <c r="K17" i="52"/>
  <c r="B18" i="52"/>
  <c r="C18" i="52" s="1"/>
  <c r="D18" i="52"/>
  <c r="I18" i="52" s="1"/>
  <c r="E18" i="52"/>
  <c r="F18" i="52"/>
  <c r="B19" i="52"/>
  <c r="C19" i="52"/>
  <c r="D19" i="52"/>
  <c r="E19" i="52"/>
  <c r="F19" i="52"/>
  <c r="I19" i="52"/>
  <c r="K19" i="52" s="1"/>
  <c r="B20" i="52"/>
  <c r="C20" i="52" s="1"/>
  <c r="D20" i="52"/>
  <c r="I20" i="52" s="1"/>
  <c r="E20" i="52"/>
  <c r="F20" i="52"/>
  <c r="B21" i="52"/>
  <c r="C21" i="52"/>
  <c r="D21" i="52"/>
  <c r="E21" i="52"/>
  <c r="F21" i="52"/>
  <c r="I21" i="52"/>
  <c r="J21" i="52" s="1"/>
  <c r="B22" i="52"/>
  <c r="C22" i="52" s="1"/>
  <c r="D22" i="52"/>
  <c r="I22" i="52" s="1"/>
  <c r="E22" i="52"/>
  <c r="F22" i="52"/>
  <c r="B23" i="52"/>
  <c r="C23" i="52"/>
  <c r="D23" i="52"/>
  <c r="E23" i="52"/>
  <c r="F23" i="52"/>
  <c r="I23" i="52"/>
  <c r="K23" i="52" s="1"/>
  <c r="B24" i="52"/>
  <c r="C24" i="52" s="1"/>
  <c r="D24" i="52"/>
  <c r="I24" i="52" s="1"/>
  <c r="E24" i="52"/>
  <c r="F24" i="52"/>
  <c r="A25" i="52"/>
  <c r="G25" i="52"/>
  <c r="H25" i="52"/>
  <c r="O34" i="52"/>
  <c r="F22" i="47"/>
  <c r="N6" i="43"/>
  <c r="N6" i="44"/>
  <c r="N6" i="45"/>
  <c r="N6" i="46"/>
  <c r="N6" i="47"/>
  <c r="N6" i="48"/>
  <c r="N6" i="49"/>
  <c r="N6" i="50"/>
  <c r="N6" i="51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N4" i="52" s="1"/>
  <c r="N5" i="52" s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K21" i="52" l="1"/>
  <c r="L22" i="52"/>
  <c r="J22" i="52"/>
  <c r="M22" i="52" s="1"/>
  <c r="K22" i="52"/>
  <c r="J16" i="52"/>
  <c r="K16" i="52"/>
  <c r="M16" i="52" s="1"/>
  <c r="L16" i="52"/>
  <c r="I25" i="52"/>
  <c r="P28" i="52" s="1"/>
  <c r="J24" i="52"/>
  <c r="M24" i="52" s="1"/>
  <c r="K24" i="52"/>
  <c r="L24" i="52"/>
  <c r="J20" i="52"/>
  <c r="K20" i="52"/>
  <c r="L20" i="52"/>
  <c r="L18" i="52"/>
  <c r="J18" i="52"/>
  <c r="M18" i="52" s="1"/>
  <c r="K18" i="52"/>
  <c r="J23" i="52"/>
  <c r="L21" i="52"/>
  <c r="J19" i="52"/>
  <c r="L17" i="52"/>
  <c r="M17" i="52" s="1"/>
  <c r="C11" i="52"/>
  <c r="L23" i="52"/>
  <c r="L19" i="52"/>
  <c r="N4" i="44"/>
  <c r="N4" i="48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M21" i="52" l="1"/>
  <c r="P21" i="52" s="1"/>
  <c r="M20" i="52"/>
  <c r="J25" i="52"/>
  <c r="P29" i="52" s="1"/>
  <c r="L25" i="52"/>
  <c r="M23" i="52"/>
  <c r="K25" i="52"/>
  <c r="M19" i="52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V24" i="52"/>
  <c r="N24" i="52" s="1"/>
  <c r="O24" i="52" s="1"/>
  <c r="U23" i="52"/>
  <c r="U24" i="52" s="1"/>
  <c r="T23" i="52"/>
  <c r="T24" i="52" s="1"/>
  <c r="V23" i="52"/>
  <c r="N23" i="52" s="1"/>
  <c r="O23" i="52" s="1"/>
  <c r="V22" i="52"/>
  <c r="N22" i="52" s="1"/>
  <c r="O22" i="52" s="1"/>
  <c r="V21" i="52"/>
  <c r="N21" i="52" s="1"/>
  <c r="O21" i="52" s="1"/>
  <c r="T20" i="52"/>
  <c r="T21" i="52" s="1"/>
  <c r="V20" i="52"/>
  <c r="N20" i="52" s="1"/>
  <c r="O20" i="52" s="1"/>
  <c r="V19" i="52"/>
  <c r="N19" i="52" s="1"/>
  <c r="O19" i="52" s="1"/>
  <c r="V18" i="52"/>
  <c r="N18" i="52" s="1"/>
  <c r="O18" i="52" s="1"/>
  <c r="T17" i="52"/>
  <c r="T18" i="52" s="1"/>
  <c r="S17" i="52"/>
  <c r="S18" i="52" s="1"/>
  <c r="S19" i="52" s="1"/>
  <c r="S20" i="52" s="1"/>
  <c r="S21" i="52" s="1"/>
  <c r="V17" i="52"/>
  <c r="N17" i="52" s="1"/>
  <c r="O17" i="52" s="1"/>
  <c r="V16" i="52"/>
  <c r="N16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P30" i="52" l="1"/>
  <c r="P31" i="52" s="1"/>
  <c r="P23" i="52"/>
  <c r="P20" i="52"/>
  <c r="P24" i="52"/>
  <c r="P17" i="52"/>
  <c r="O16" i="52"/>
  <c r="N25" i="52"/>
  <c r="P32" i="52" s="1"/>
  <c r="P19" i="52"/>
  <c r="P18" i="52"/>
  <c r="M25" i="52"/>
  <c r="P22" i="52"/>
  <c r="N24" i="43"/>
  <c r="N24" i="45"/>
  <c r="N16" i="49"/>
  <c r="N16" i="51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P33" i="52" l="1"/>
  <c r="P34" i="52" s="1"/>
  <c r="P35" i="52" s="1"/>
  <c r="O25" i="52"/>
  <c r="P16" i="52"/>
  <c r="P25" i="52" s="1"/>
  <c r="N25" i="58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16" i="48"/>
  <c r="M21" i="43"/>
  <c r="O21" i="43" s="1"/>
  <c r="P21" i="43" s="1"/>
  <c r="M20" i="43"/>
  <c r="O20" i="43" s="1"/>
  <c r="P20" i="43" s="1"/>
  <c r="R20" i="43" s="1"/>
  <c r="M22" i="51"/>
  <c r="O22" i="51" s="1"/>
  <c r="P22" i="51" s="1"/>
  <c r="M21" i="47"/>
  <c r="O21" i="47" s="1"/>
  <c r="P21" i="47" s="1"/>
  <c r="J25" i="61"/>
  <c r="P29" i="61" s="1"/>
  <c r="M20" i="53"/>
  <c r="O20" i="53" s="1"/>
  <c r="P20" i="53" s="1"/>
  <c r="R20" i="53" s="1"/>
  <c r="M20" i="47"/>
  <c r="O20" i="47" s="1"/>
  <c r="P20" i="47" s="1"/>
  <c r="R20" i="47" s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T13" i="62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<sst xmlns="http://schemas.openxmlformats.org/spreadsheetml/2006/main" count="3945" uniqueCount="530">
  <si>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</si>
  <si>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</si>
  <si>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</si>
  <si>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</si>
  <si>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</si>
  <si>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</si>
  <si>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</si>
  <si>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</si>
  <si>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</si>
  <si>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</si>
  <si>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</si>
  <si>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</si>
  <si>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</si>
  <si>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</si>
  <si>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</si>
  <si>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</si>
  <si>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</si>
  <si>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</si>
  <si>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</si>
  <si>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</si>
  <si>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</si>
  <si>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</si>
  <si>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</si>
  <si>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</si>
  <si>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</si>
  <si>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</si>
  <si>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</si>
  <si>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</si>
  <si>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</si>
  <si>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</si>
  <si>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</si>
  <si>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</si>
  <si>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</si>
  <si>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</si>
  <si>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</si>
  <si>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</si>
  <si>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</si>
  <si>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</si>
  <si>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</si>
  <si>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</si>
  <si>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</si>
  <si>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</si>
  <si>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</si>
  <si>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</si>
  <si>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</si>
  <si>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</si>
  <si>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</si>
  <si>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</si>
  <si>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</si>
  <si>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</si>
  <si>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</si>
  <si>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</si>
  <si>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</si>
  <si>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</si>
  <si>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</si>
  <si>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</si>
  <si>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</si>
  <si>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</si>
  <si>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</si>
  <si>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</si>
  <si>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</si>
  <si>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</si>
  <si>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</si>
  <si>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</si>
  <si>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</si>
  <si>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</si>
  <si>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</si>
  <si>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</si>
  <si>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</si>
  <si>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</si>
  <si>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</si>
  <si>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</si>
  <si>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</si>
  <si>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</si>
  <si>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</si>
  <si>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</si>
  <si>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</si>
  <si>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</si>
  <si>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</si>
  <si>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</si>
  <si>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</si>
  <si>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</si>
  <si>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</si>
  <si>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</si>
  <si>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</si>
  <si>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</si>
  <si>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</si>
  <si>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</si>
  <si>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</si>
  <si>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</si>
  <si>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</si>
  <si>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</si>
  <si>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</si>
  <si>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</si>
  <si>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</si>
  <si>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</si>
  <si>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</si>
  <si>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</si>
  <si>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</si>
  <si>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</si>
  <si>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</si>
  <si>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</si>
  <si>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</si>
  <si>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</si>
  <si>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</si>
  <si>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</si>
  <si>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</si>
  <si>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</si>
  <si>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</si>
  <si>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</si>
  <si>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</si>
  <si>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</si>
  <si>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</si>
  <si>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</si>
  <si>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</si>
  <si>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</si>
  <si>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</si>
  <si>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</si>
  <si>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</si>
  <si>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</si>
  <si>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</si>
  <si>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</si>
  <si>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</si>
  <si>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</si>
  <si>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</si>
  <si>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</si>
  <si>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</si>
  <si>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</si>
  <si>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</si>
  <si>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</si>
  <si>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</si>
  <si>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</si>
  <si>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</si>
  <si>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</si>
  <si>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</si>
  <si>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</si>
  <si>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</si>
  <si>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</si>
  <si>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</si>
  <si>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</si>
  <si>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</si>
  <si>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</si>
  <si>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</si>
  <si>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</si>
  <si>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</si>
  <si>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</si>
  <si>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</si>
  <si>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</si>
  <si>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</si>
  <si>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</si>
  <si>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</si>
  <si>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</si>
  <si>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</si>
  <si>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</si>
  <si>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</si>
  <si>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</si>
  <si>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</si>
  <si>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</si>
  <si>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</si>
  <si>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</si>
  <si>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</si>
  <si>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</si>
  <si>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</si>
  <si>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</si>
  <si>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</si>
  <si>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</si>
  <si>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</si>
  <si>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</si>
  <si>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</si>
  <si>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</si>
  <si>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</si>
  <si>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</si>
  <si>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</si>
  <si>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</si>
  <si>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</si>
  <si>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</si>
  <si>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</si>
  <si>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</si>
  <si>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</si>
  <si>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</si>
  <si>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</si>
  <si>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</si>
  <si>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</si>
  <si>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</si>
  <si>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</si>
  <si>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</si>
  <si>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</si>
  <si>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</si>
  <si>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</si>
  <si>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</si>
  <si>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</si>
  <si>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</si>
  <si>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</si>
  <si>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</si>
  <si>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</si>
  <si>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</si>
  <si>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</si>
  <si>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</si>
  <si>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</si>
  <si>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</si>
  <si>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</si>
  <si>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</si>
  <si>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</si>
  <si>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</si>
  <si>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</si>
  <si>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</si>
  <si>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</si>
  <si>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</si>
  <si>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</si>
  <si>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</si>
  <si>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</si>
  <si>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</si>
  <si>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</si>
  <si>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</si>
  <si>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</si>
  <si>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</si>
  <si>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</si>
  <si>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</si>
  <si>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</si>
  <si>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</si>
  <si>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</si>
  <si>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</si>
  <si>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</si>
  <si>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</si>
  <si>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</si>
  <si>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</si>
  <si>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</si>
  <si>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</si>
  <si>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</si>
  <si>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</si>
  <si>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</si>
  <si>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</si>
  <si>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</si>
  <si>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</si>
  <si>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</si>
  <si>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</si>
  <si>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</si>
  <si>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</si>
  <si>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</si>
  <si>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</si>
  <si>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</si>
  <si>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</si>
  <si>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</si>
  <si>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</si>
  <si>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</si>
  <si>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</si>
  <si>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</si>
  <si>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</si>
  <si>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</si>
  <si>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</si>
  <si>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</si>
  <si>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</si>
  <si>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</si>
  <si>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</si>
  <si>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</si>
  <si>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</si>
  <si>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</si>
  <si>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</si>
  <si>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</si>
  <si>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</si>
  <si>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</si>
  <si>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</si>
  <si>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</si>
  <si>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</si>
  <si>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</si>
  <si>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</si>
  <si>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</si>
  <si>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</si>
  <si>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</si>
  <si>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</si>
  <si>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</si>
  <si>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</si>
  <si>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</si>
  <si>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</si>
  <si>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</si>
  <si>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</si>
  <si>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</si>
  <si>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</si>
  <si>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</si>
  <si>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</si>
  <si>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</si>
  <si>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</si>
  <si>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</si>
  <si>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</si>
  <si>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</si>
  <si>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</si>
  <si>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</si>
  <si>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</si>
  <si>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</si>
  <si>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</si>
  <si>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</si>
  <si>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</si>
  <si>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</si>
  <si>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</si>
  <si>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</si>
  <si>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</si>
  <si>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</si>
  <si>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</si>
  <si>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</si>
  <si>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</si>
  <si>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</si>
  <si>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</si>
  <si>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</si>
  <si>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</si>
  <si>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</si>
  <si>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</si>
  <si>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</si>
  <si>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</si>
  <si>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</si>
  <si>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</si>
  <si>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</si>
  <si>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</si>
  <si>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</si>
  <si>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</si>
  <si>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</si>
  <si>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</si>
  <si>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</si>
  <si>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</si>
  <si>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</si>
  <si>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</si>
  <si>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</si>
  <si>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</si>
  <si>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</si>
  <si>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</si>
  <si>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</si>
  <si>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</si>
  <si>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</si>
  <si>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</si>
  <si>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</si>
  <si>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</si>
  <si>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</si>
  <si>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</si>
  <si>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</si>
  <si>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</si>
  <si>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</si>
  <si>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</si>
  <si>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</si>
  <si>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</si>
  <si>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</si>
  <si>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</si>
  <si>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</si>
  <si>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</si>
  <si>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</si>
  <si>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</si>
  <si>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</si>
  <si>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</si>
  <si>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</si>
  <si>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</si>
  <si>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</si>
  <si>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</si>
  <si>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</si>
  <si>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</si>
  <si>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</si>
  <si>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</si>
  <si>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</si>
  <si>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</si>
  <si>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</si>
  <si>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</si>
  <si>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</si>
  <si>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</si>
  <si>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</si>
  <si>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</si>
  <si>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</si>
  <si>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</si>
  <si>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</si>
  <si>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</si>
  <si>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</si>
  <si>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</si>
  <si>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</si>
  <si>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</si>
  <si>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</si>
  <si>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</si>
  <si>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</si>
  <si>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</si>
  <si>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</si>
  <si>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</si>
  <si>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</si>
  <si>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</si>
  <si>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</si>
  <si>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</si>
  <si>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</si>
  <si>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</si>
  <si>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</si>
  <si>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</si>
  <si>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</si>
  <si>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</si>
  <si>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</si>
  <si>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</si>
  <si>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</si>
  <si>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</si>
  <si>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</si>
  <si>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</si>
  <si>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</si>
  <si>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</si>
  <si>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</si>
  <si>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</si>
  <si>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</si>
  <si>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</si>
  <si>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</si>
  <si>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</si>
  <si>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</si>
  <si>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</si>
  <si>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</si>
  <si>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</si>
  <si>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</si>
  <si>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</si>
  <si>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</si>
  <si>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</si>
  <si>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</si>
  <si>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</si>
  <si>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</si>
  <si>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</si>
  <si>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</si>
  <si>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</si>
  <si>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</si>
  <si>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</si>
  <si>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</si>
  <si>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</si>
  <si>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</si>
  <si>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</si>
  <si>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</si>
  <si>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</si>
  <si>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</si>
  <si>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</si>
  <si>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</si>
  <si>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</si>
  <si>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</si>
  <si>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</si>
  <si>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</si>
  <si>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</si>
  <si>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</si>
  <si>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</si>
  <si>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</si>
  <si>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</si>
  <si>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</si>
  <si>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</si>
  <si>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</si>
  <si>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</si>
  <si>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</si>
  <si>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</si>
  <si>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</si>
  <si>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</si>
  <si>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</si>
  <si>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</si>
  <si>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</si>
  <si>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</si>
  <si>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</si>
  <si>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</si>
  <si>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</si>
  <si>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</si>
  <si>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</si>
  <si>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</si>
  <si>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</si>
  <si>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</si>
  <si>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</si>
  <si>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</si>
  <si>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</si>
  <si>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</si>
  <si>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</si>
  <si>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</si>
  <si>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</si>
  <si>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</si>
  <si>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</si>
  <si>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</si>
  <si>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</si>
  <si>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</si>
  <si>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</si>
  <si>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</si>
  <si>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</si>
  <si>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</si>
  <si>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</si>
  <si>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</si>
  <si>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</si>
  <si>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</si>
  <si>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</si>
  <si>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</si>
  <si>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</si>
  <si>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</si>
  <si>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</si>
  <si>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</si>
  <si>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</si>
  <si>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</si>
  <si>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</si>
  <si>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</si>
  <si>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</si>
  <si>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</si>
  <si>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</si>
  <si>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</si>
  <si>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</si>
  <si>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</si>
  <si>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</si>
  <si>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</si>
  <si>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</si>
  <si>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</si>
  <si>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</si>
  <si>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</si>
  <si>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</si>
  <si>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</si>
  <si>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</si>
  <si>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</si>
  <si>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</si>
  <si>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</si>
  <si>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</si>
  <si>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</si>
  <si>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</si>
  <si>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</si>
  <si>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</si>
  <si>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</si>
  <si>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</si>
  <si>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</si>
  <si>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</si>
  <si>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</si>
  <si>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Zeshan</t>
  </si>
  <si>
    <t>Address: DHA</t>
  </si>
  <si>
    <t>Ghani Store</t>
  </si>
  <si>
    <t>Ali Store</t>
  </si>
  <si>
    <t>Shope Name</t>
  </si>
  <si>
    <t>Bravo Mart</t>
  </si>
  <si>
    <t>Allys Store</t>
  </si>
  <si>
    <t>Defence store</t>
  </si>
  <si>
    <t>Bilal Store</t>
  </si>
  <si>
    <t>Fakhir Store</t>
  </si>
  <si>
    <t>Mian Bakery</t>
  </si>
  <si>
    <t>Raza Mart</t>
  </si>
  <si>
    <t>Sherry Mart</t>
  </si>
  <si>
    <t>Jamil Store</t>
  </si>
  <si>
    <t>Saleem Store</t>
  </si>
  <si>
    <t>Hanif Store</t>
  </si>
  <si>
    <t>Moon Store</t>
  </si>
  <si>
    <t>Jabbar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</si>
</sst>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8" workbookViewId="0">
      <selection activeCell="B38" sqref="B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46269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Bravo Mart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Allys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Defence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Bilal Store</v>
      </c>
      <c r="T6" s="301">
        <f>+'4'!P35</f>
        <v>461.67135376271193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Fakhir Store</v>
      </c>
      <c r="T7" s="301">
        <f>+'5'!P35</f>
        <v>461.67135376271193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Mian Bakery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Raza Mart</v>
      </c>
      <c r="T9" s="301">
        <f>+'7'!P35</f>
        <v>3934.229496330508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>Sherry Mart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45</v>
      </c>
      <c r="I11" s="236">
        <f t="shared" si="0"/>
        <v>3268.8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274.57920000000001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114.40800000000002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2879.8128000000002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617.79661016949149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17.488047050847459</v>
      </c>
      <c r="P11" s="311">
        <f t="shared" si="2"/>
        <v>3515.097457220339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Jamil Store</v>
      </c>
      <c r="T11" s="301">
        <f>+'9'!P35</f>
        <v>235.21586888135593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299.27680000000004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3205.6032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686.44067796610182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19.460219389830513</v>
      </c>
      <c r="P12" s="311">
        <f t="shared" si="2"/>
        <v>3911.5040973559321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4">
        <v>10</v>
      </c>
      <c r="S12" s="300" t="str">
        <f>+'10'!A6:A6</f>
        <v>Saleem Store</v>
      </c>
      <c r="T12" s="301">
        <f>+'10'!P35</f>
        <v>230.83567688135597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84</v>
      </c>
      <c r="I13" s="236">
        <f t="shared" si="0"/>
        <v>3295.32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164.76600000000005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115.33620000000002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168.06132000000002</v>
      </c>
      <c r="M13" s="230">
        <f t="shared" si="1"/>
        <v>2847.1564800000001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640.67796610169444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17.439172230508476</v>
      </c>
      <c r="P13" s="311">
        <f t="shared" si="2"/>
        <v>3505.2736183322031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Hanif Store</v>
      </c>
      <c r="T13" s="301">
        <f>+'11'!P35</f>
        <v>313.62115850847459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Moon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Ali Store</v>
      </c>
      <c r="T15" s="301">
        <f>+'13'!P35</f>
        <v>1669.1779134915255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6.1</v>
      </c>
      <c r="H16" s="113">
        <f t="shared" ref="H16:M16" si="3">SUM(H7:H15)</f>
        <v>244</v>
      </c>
      <c r="I16" s="114">
        <f t="shared" si="3"/>
        <v>14110.619999999999</v>
      </c>
      <c r="J16" s="274">
        <f>SUM(J7:J15)</f>
        <v>1051.7820000000002</v>
      </c>
      <c r="K16" s="275">
        <f t="shared" si="3"/>
        <v>493.87170000000003</v>
      </c>
      <c r="L16" s="276">
        <f t="shared" si="3"/>
        <v>168.06132000000002</v>
      </c>
      <c r="M16" s="232">
        <f t="shared" si="3"/>
        <v>12396.904979999999</v>
      </c>
      <c r="N16" s="233">
        <f>SUM(N7:N15)</f>
        <v>2684.7457627118638</v>
      </c>
      <c r="O16" s="101">
        <f>SUM(O7:O15)</f>
        <v>75.408253713559333</v>
      </c>
      <c r="P16" s="113">
        <f>SUM(P7:P15)</f>
        <v>15157.058996425423</v>
      </c>
      <c r="Q16" s="128">
        <f>SUM(Q7:Q15)</f>
        <v>40</v>
      </c>
      <c r="R16" s="314">
        <v>14</v>
      </c>
      <c r="S16" s="318" t="str">
        <f>+'14'!A6:A6</f>
        <v>Ghani Store</v>
      </c>
      <c r="T16" s="301">
        <f>+'14'!P35</f>
        <v>83.458895674576269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Jabbar Store</v>
      </c>
      <c r="T17" s="301">
        <f>+'15'!P35</f>
        <v>83.458895674576269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Shope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14110.619999999999</v>
      </c>
      <c r="R19" s="299">
        <v>17</v>
      </c>
      <c r="S19" s="300" t="str">
        <f>+'17'!A6:A6</f>
        <v>Shope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1051.7820000000002</v>
      </c>
      <c r="R20" s="299">
        <v>18</v>
      </c>
      <c r="S20" s="300" t="str">
        <f>+'18'!A6:A6</f>
        <v>Shope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661.93302000000006</v>
      </c>
      <c r="R21" s="299">
        <v>19</v>
      </c>
      <c r="S21" s="300" t="str">
        <f>+'19'!A6:A6</f>
        <v>Shope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12396.904979999999</v>
      </c>
      <c r="R22" s="299">
        <v>20</v>
      </c>
      <c r="S22" s="300" t="str">
        <f>+'20'!A6:A6</f>
        <v>Shope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2684.7457627118638</v>
      </c>
      <c r="R23" s="299">
        <v>21</v>
      </c>
      <c r="S23" s="300" t="str">
        <f>+'21'!A6:A6</f>
        <v>Shope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15081.650742711863</v>
      </c>
      <c r="R24" s="299">
        <v>22</v>
      </c>
      <c r="S24" s="300" t="str">
        <f>+'22'!A6:A6</f>
        <v>Shope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75.408253713559333</v>
      </c>
      <c r="R25" s="299">
        <v>23</v>
      </c>
      <c r="S25" s="300" t="str">
        <f>+'23'!A6:A6</f>
        <v>Shope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15157.058996425423</v>
      </c>
      <c r="R26" s="299">
        <v>24</v>
      </c>
      <c r="S26" s="300" t="str">
        <f>+'24'!A6:A6</f>
        <v>Shope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Shope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Shope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Shope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Shope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Shope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Shope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15157.058996425421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7.2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I18" sqref="I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9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5" workbookViewId="0">
      <selection activeCell="H20" sqref="H20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21.792000000000002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188.50080000000003</v>
      </c>
      <c r="N20" s="277">
        <f t="shared" si="3"/>
        <v>41.186440677966104</v>
      </c>
      <c r="O20" s="239">
        <f t="shared" si="4"/>
        <v>1.1484362033898308</v>
      </c>
      <c r="P20" s="311">
        <f t="shared" si="5"/>
        <v>230.83567688135597</v>
      </c>
      <c r="Q20" s="156"/>
      <c r="R20">
        <f>P20/21</f>
        <v>10.992175089588379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21.792000000000002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188.50080000000003</v>
      </c>
      <c r="N21" s="277">
        <f t="shared" si="3"/>
        <v>41.186440677966104</v>
      </c>
      <c r="O21" s="239">
        <f t="shared" si="4"/>
        <v>1.1484362033898308</v>
      </c>
      <c r="P21" s="311">
        <f t="shared" si="5"/>
        <v>230.83567688135597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43.584000000000003</v>
      </c>
      <c r="K25" s="275">
        <f t="shared" si="7"/>
        <v>15.254400000000002</v>
      </c>
      <c r="L25" s="276">
        <f t="shared" si="7"/>
        <v>0</v>
      </c>
      <c r="M25" s="232">
        <f t="shared" si="7"/>
        <v>377.00160000000005</v>
      </c>
      <c r="N25" s="233">
        <f>SUM(N16:N24)</f>
        <v>82.372881355932208</v>
      </c>
      <c r="O25" s="101">
        <f>SUM(O16:O24)</f>
        <v>2.2968724067796615</v>
      </c>
      <c r="P25" s="113">
        <f>SUM(P16:P24)</f>
        <v>461.67135376271193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43.584000000000003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377.00160000000005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459.37448135593229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2.2968724067796615</v>
      </c>
    </row>
    <row r="35" spans="2:16" ht="15.75" customHeight="1" thickBot="1" x14ac:dyDescent="0.4">
      <c r="N35" s="374" t="s">
        <v>88</v>
      </c>
      <c r="O35" s="375"/>
      <c r="P35" s="297">
        <f>+P33+P34</f>
        <v>461.67135376271193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1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21.792000000000002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188.50080000000003</v>
      </c>
      <c r="N20" s="277">
        <f t="shared" si="3"/>
        <v>41.186440677966104</v>
      </c>
      <c r="O20" s="239">
        <f t="shared" si="4"/>
        <v>1.1484362033898308</v>
      </c>
      <c r="P20" s="311">
        <f t="shared" si="5"/>
        <v>230.83567688135597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21.792000000000002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188.50080000000003</v>
      </c>
      <c r="N21" s="277">
        <f t="shared" si="3"/>
        <v>41.186440677966104</v>
      </c>
      <c r="O21" s="239">
        <f t="shared" si="4"/>
        <v>1.1484362033898308</v>
      </c>
      <c r="P21" s="311">
        <f t="shared" si="5"/>
        <v>230.83567688135597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43.584000000000003</v>
      </c>
      <c r="K25" s="275">
        <f t="shared" si="7"/>
        <v>15.254400000000002</v>
      </c>
      <c r="L25" s="276">
        <f t="shared" si="7"/>
        <v>0</v>
      </c>
      <c r="M25" s="232">
        <f t="shared" si="7"/>
        <v>377.00160000000005</v>
      </c>
      <c r="N25" s="233">
        <f>SUM(N16:N24)</f>
        <v>82.372881355932208</v>
      </c>
      <c r="O25" s="101">
        <f>SUM(O16:O24)</f>
        <v>2.2968724067796615</v>
      </c>
      <c r="P25" s="113">
        <f>SUM(P16:P24)</f>
        <v>461.67135376271193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43.584000000000003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377.00160000000005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459.37448135593229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2.2968724067796615</v>
      </c>
    </row>
    <row r="35" spans="2:16" ht="15.75" customHeight="1" thickBot="1" x14ac:dyDescent="0.4">
      <c r="N35" s="374" t="s">
        <v>88</v>
      </c>
      <c r="O35" s="375"/>
      <c r="P35" s="297">
        <f>+P33+P34</f>
        <v>461.67135376271193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8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9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3667.7000000000003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246.34000000000003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208.39870000000002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3212.9612999999999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3914.6562152542369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74" t="s">
        <v>88</v>
      </c>
      <c r="O35" s="375"/>
      <c r="P35" s="297">
        <f>+P33+P34</f>
        <v>3934.229496330508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1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9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217.92000000000002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17.433600000000002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7.6272000000000011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192.85920000000002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234.04564067796611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4" t="s">
        <v>88</v>
      </c>
      <c r="O35" s="375"/>
      <c r="P35" s="297">
        <f>+P33+P34</f>
        <v>235.21586888135593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21.792000000000002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188.50080000000003</v>
      </c>
      <c r="N20" s="277">
        <f t="shared" si="3"/>
        <v>41.186440677966104</v>
      </c>
      <c r="O20" s="239">
        <f t="shared" si="4"/>
        <v>1.1484362033898308</v>
      </c>
      <c r="P20" s="311">
        <f t="shared" si="5"/>
        <v>230.83567688135597</v>
      </c>
      <c r="Q20" s="156"/>
      <c r="R20">
        <f>P20/21</f>
        <v>10.992175089588379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21.792000000000002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188.50080000000003</v>
      </c>
      <c r="N25" s="233">
        <f>SUM(N16:N24)</f>
        <v>41.186440677966104</v>
      </c>
      <c r="O25" s="101">
        <f>SUM(O16:O24)</f>
        <v>1.1484362033898308</v>
      </c>
      <c r="P25" s="113">
        <f>SUM(P16:P24)</f>
        <v>230.83567688135597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217.92000000000002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21.792000000000002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7.6272000000000011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188.50080000000003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229.68724067796614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1.1484362033898308</v>
      </c>
    </row>
    <row r="35" spans="2:16" ht="15.75" customHeight="1" thickBot="1" x14ac:dyDescent="0.4">
      <c r="N35" s="374" t="s">
        <v>88</v>
      </c>
      <c r="O35" s="375"/>
      <c r="P35" s="297">
        <f>+P33+P34</f>
        <v>230.83567688135597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9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3" workbookViewId="0">
      <selection activeCell="H19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8" workbookViewId="0">
      <selection sqref="A1:Q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</v>
      </c>
      <c r="I25" s="114">
        <f t="shared" si="7"/>
        <v>78.460000000000008</v>
      </c>
      <c r="J25" s="274">
        <f>SUM(J16:J24)</f>
        <v>3.9230000000000005</v>
      </c>
      <c r="K25" s="275">
        <f t="shared" si="7"/>
        <v>2.7461000000000007</v>
      </c>
      <c r="L25" s="276">
        <f t="shared" si="7"/>
        <v>4.0014599999999998</v>
      </c>
      <c r="M25" s="232">
        <f t="shared" si="7"/>
        <v>67.789440000000013</v>
      </c>
      <c r="N25" s="233">
        <f>SUM(N16:N24)</f>
        <v>15.254237288135585</v>
      </c>
      <c r="O25" s="101">
        <f>SUM(O16:O24)</f>
        <v>0.41521838644067799</v>
      </c>
      <c r="P25" s="113">
        <f>SUM(P16:P24)</f>
        <v>83.458895674576269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78.460000000000008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3.9230000000000005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6.74756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67.789440000000013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15.254237288135585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83.043677288135598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0.41521838644067799</v>
      </c>
    </row>
    <row r="35" spans="2:16" ht="15.75" customHeight="1" thickBot="1" x14ac:dyDescent="0.4">
      <c r="N35" s="374" t="s">
        <v>88</v>
      </c>
      <c r="O35" s="375"/>
      <c r="P35" s="297">
        <f>+P33+P34</f>
        <v>83.458895674576269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8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</v>
      </c>
      <c r="I25" s="114">
        <f t="shared" si="7"/>
        <v>78.460000000000008</v>
      </c>
      <c r="J25" s="274">
        <f>SUM(J16:J24)</f>
        <v>3.9230000000000005</v>
      </c>
      <c r="K25" s="275">
        <f t="shared" si="7"/>
        <v>2.7461000000000007</v>
      </c>
      <c r="L25" s="276">
        <f t="shared" si="7"/>
        <v>4.0014599999999998</v>
      </c>
      <c r="M25" s="232">
        <f t="shared" si="7"/>
        <v>67.789440000000013</v>
      </c>
      <c r="N25" s="233">
        <f>SUM(N16:N24)</f>
        <v>15.254237288135585</v>
      </c>
      <c r="O25" s="101">
        <f>SUM(O16:O24)</f>
        <v>0.41521838644067799</v>
      </c>
      <c r="P25" s="113">
        <f>SUM(P16:P24)</f>
        <v>83.458895674576269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78.460000000000008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3.9230000000000005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6.74756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67.789440000000013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15.254237288135585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83.043677288135598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0.41521838644067799</v>
      </c>
    </row>
    <row r="35" spans="2:16" ht="15.75" customHeight="1" thickBot="1" x14ac:dyDescent="0.4">
      <c r="N35" s="374" t="s">
        <v>88</v>
      </c>
      <c r="O35" s="375"/>
      <c r="P35" s="297">
        <f>+P33+P34</f>
        <v>83.458895674576269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9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8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9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3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7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7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7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2026-09-05T05:19:22Z</dcterms:modified>
</cp:coreProperties>
</file>