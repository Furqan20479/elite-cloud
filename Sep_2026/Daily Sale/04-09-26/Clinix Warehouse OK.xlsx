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91496CC4-A5A7-4153-A241-73A11052AD6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<sst xmlns="http://schemas.openxmlformats.org/spreadsheetml/2006/main" count="3913" uniqueCount="519">
  <si>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</si>
  <si>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</si>
  <si>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</si>
  <si>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</si>
  <si>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</si>
  <si>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</si>
  <si>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</si>
  <si>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</si>
  <si>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</si>
  <si>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</si>
  <si>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</si>
  <si>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</si>
  <si>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</si>
  <si>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</si>
  <si>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</si>
  <si>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</si>
  <si>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</si>
  <si>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</si>
  <si>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</si>
  <si>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</si>
  <si>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</si>
  <si>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</si>
  <si>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</si>
  <si>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</si>
  <si>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</si>
  <si>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</si>
  <si>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</si>
  <si>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</si>
  <si>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</si>
  <si>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</si>
  <si>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</si>
  <si>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</si>
  <si>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</si>
  <si>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</si>
  <si>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</si>
  <si>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</si>
  <si>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</si>
  <si>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</si>
  <si>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</si>
  <si>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</si>
  <si>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</si>
  <si>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</si>
  <si>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</si>
  <si>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</si>
  <si>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</si>
  <si>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</si>
  <si>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</si>
  <si>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</si>
  <si>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</si>
  <si>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</si>
  <si>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</si>
  <si>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</si>
  <si>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</si>
  <si>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</si>
  <si>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</si>
  <si>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</si>
  <si>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</si>
  <si>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</si>
  <si>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</si>
  <si>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</si>
  <si>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</si>
  <si>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</si>
  <si>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</si>
  <si>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</si>
  <si>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</si>
  <si>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</si>
  <si>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</si>
  <si>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</si>
  <si>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</si>
  <si>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</si>
  <si>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</si>
  <si>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</si>
  <si>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</si>
  <si>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</si>
  <si>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</si>
  <si>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</si>
  <si>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</si>
  <si>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</si>
  <si>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</si>
  <si>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</si>
  <si>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</si>
  <si>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</si>
  <si>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</si>
  <si>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</si>
  <si>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</si>
  <si>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</si>
  <si>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</si>
  <si>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</si>
  <si>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</si>
  <si>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</si>
  <si>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</si>
  <si>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</si>
  <si>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</si>
  <si>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</si>
  <si>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</si>
  <si>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</si>
  <si>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</si>
  <si>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</si>
  <si>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</si>
  <si>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</si>
  <si>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</si>
  <si>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</si>
  <si>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</si>
  <si>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</si>
  <si>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</si>
  <si>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</si>
  <si>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</si>
  <si>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</si>
  <si>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</si>
  <si>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</si>
  <si>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</si>
  <si>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</si>
  <si>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</si>
  <si>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</si>
  <si>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</si>
  <si>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</si>
  <si>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</si>
  <si>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</si>
  <si>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</si>
  <si>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</si>
  <si>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</si>
  <si>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</si>
  <si>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</si>
  <si>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</si>
  <si>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</si>
  <si>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</si>
  <si>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</si>
  <si>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</si>
  <si>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</si>
  <si>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</si>
  <si>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</si>
  <si>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</si>
  <si>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</si>
  <si>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</si>
  <si>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</si>
  <si>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</si>
  <si>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</si>
  <si>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</si>
  <si>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</si>
  <si>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</si>
  <si>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</si>
  <si>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</si>
  <si>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</si>
  <si>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</si>
  <si>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</si>
  <si>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</si>
  <si>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</si>
  <si>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</si>
  <si>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</si>
  <si>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</si>
  <si>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</si>
  <si>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</si>
  <si>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</si>
  <si>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</si>
  <si>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</si>
  <si>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</si>
  <si>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</si>
  <si>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</si>
  <si>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</si>
  <si>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</si>
  <si>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</si>
  <si>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</si>
  <si>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</si>
  <si>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</si>
  <si>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</si>
  <si>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</si>
  <si>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</si>
  <si>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</si>
  <si>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</si>
  <si>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</si>
  <si>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</si>
  <si>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</si>
  <si>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</si>
  <si>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</si>
  <si>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</si>
  <si>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</si>
  <si>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</si>
  <si>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</si>
  <si>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</si>
  <si>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</si>
  <si>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</si>
  <si>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</si>
  <si>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</si>
  <si>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</si>
  <si>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</si>
  <si>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</si>
  <si>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</si>
  <si>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</si>
  <si>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</si>
  <si>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</si>
  <si>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</si>
  <si>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</si>
  <si>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</si>
  <si>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</si>
  <si>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</si>
  <si>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</si>
  <si>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</si>
  <si>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</si>
  <si>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</si>
  <si>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</si>
  <si>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</si>
  <si>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</si>
  <si>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</si>
  <si>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</si>
  <si>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</si>
  <si>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</si>
  <si>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</si>
  <si>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</si>
  <si>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</si>
  <si>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</si>
  <si>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</si>
  <si>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</si>
  <si>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</si>
  <si>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</si>
  <si>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</si>
  <si>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</si>
  <si>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</si>
  <si>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</si>
  <si>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</si>
  <si>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</si>
  <si>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</si>
  <si>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</si>
  <si>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</si>
  <si>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</si>
  <si>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</si>
  <si>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</si>
  <si>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</si>
  <si>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</si>
  <si>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</si>
  <si>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</si>
  <si>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</si>
  <si>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</si>
  <si>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</si>
  <si>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</si>
  <si>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</si>
  <si>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</si>
  <si>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</si>
  <si>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</si>
  <si>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</si>
  <si>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</si>
  <si>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</si>
  <si>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</si>
  <si>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</si>
  <si>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</si>
  <si>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</si>
  <si>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</si>
  <si>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</si>
  <si>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</si>
  <si>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</si>
  <si>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</si>
  <si>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</si>
  <si>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</si>
  <si>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</si>
  <si>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</si>
  <si>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</si>
  <si>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</si>
  <si>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</si>
  <si>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</si>
  <si>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</si>
  <si>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</si>
  <si>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</si>
  <si>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</si>
  <si>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</si>
  <si>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</si>
  <si>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</si>
  <si>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</si>
  <si>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</si>
  <si>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</si>
  <si>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</si>
  <si>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</si>
  <si>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</si>
  <si>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</si>
  <si>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</si>
  <si>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</si>
  <si>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</si>
  <si>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</si>
  <si>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</si>
  <si>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</si>
  <si>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</si>
  <si>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</si>
  <si>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</si>
  <si>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</si>
  <si>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</si>
  <si>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</si>
  <si>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</si>
  <si>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</si>
  <si>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</si>
  <si>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</si>
  <si>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</si>
  <si>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</si>
  <si>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</si>
  <si>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</si>
  <si>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</si>
  <si>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</si>
  <si>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</si>
  <si>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</si>
  <si>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</si>
  <si>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</si>
  <si>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</si>
  <si>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</si>
  <si>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</si>
  <si>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</si>
  <si>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</si>
  <si>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</si>
  <si>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</si>
  <si>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</si>
  <si>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</si>
  <si>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</si>
  <si>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</si>
  <si>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</si>
  <si>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</si>
  <si>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</si>
  <si>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</si>
  <si>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</si>
  <si>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</si>
  <si>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</si>
  <si>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</si>
  <si>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</si>
  <si>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</si>
  <si>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</si>
  <si>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</si>
  <si>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</si>
  <si>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</si>
  <si>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</si>
  <si>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</si>
  <si>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</si>
  <si>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</si>
  <si>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</si>
  <si>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</si>
  <si>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</si>
  <si>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</si>
  <si>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</si>
  <si>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</si>
  <si>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</si>
  <si>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</si>
  <si>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</si>
  <si>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</si>
  <si>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</si>
  <si>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</si>
  <si>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</si>
  <si>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</si>
  <si>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</si>
  <si>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</si>
  <si>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</si>
  <si>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</si>
  <si>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</si>
  <si>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</si>
  <si>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</si>
  <si>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</si>
  <si>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</si>
  <si>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</si>
  <si>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</si>
  <si>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</si>
  <si>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</si>
  <si>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</si>
  <si>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</si>
  <si>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</si>
  <si>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</si>
  <si>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</si>
  <si>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</si>
  <si>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</si>
  <si>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</si>
  <si>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</si>
  <si>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</si>
  <si>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</si>
  <si>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</si>
  <si>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</si>
  <si>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</si>
  <si>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</si>
  <si>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</si>
  <si>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</si>
  <si>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</si>
  <si>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</si>
  <si>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</si>
  <si>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</si>
  <si>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</si>
  <si>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</si>
  <si>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</si>
  <si>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</si>
  <si>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</si>
  <si>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</si>
  <si>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</si>
  <si>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</si>
  <si>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</si>
  <si>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</si>
  <si>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</si>
  <si>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</si>
  <si>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</si>
  <si>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</si>
  <si>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</si>
  <si>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</si>
  <si>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</si>
  <si>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</si>
  <si>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</si>
  <si>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</si>
  <si>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</si>
  <si>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</si>
  <si>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</si>
  <si>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</si>
  <si>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</si>
  <si>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</si>
  <si>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</si>
  <si>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</si>
  <si>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</si>
  <si>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</si>
  <si>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</si>
  <si>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</si>
  <si>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</si>
  <si>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</si>
  <si>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</si>
  <si>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</si>
  <si>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</si>
  <si>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</si>
  <si>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</si>
  <si>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</si>
  <si>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</si>
  <si>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</si>
  <si>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</si>
  <si>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</si>
  <si>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</si>
  <si>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</si>
  <si>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</si>
  <si>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</si>
  <si>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</si>
  <si>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</si>
  <si>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</si>
  <si>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</si>
  <si>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</si>
  <si>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</si>
  <si>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</si>
  <si>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</si>
  <si>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</si>
  <si>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</si>
  <si>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</si>
  <si>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</si>
  <si>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</si>
  <si>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</si>
  <si>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</si>
  <si>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</si>
  <si>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</si>
  <si>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</si>
  <si>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</si>
  <si>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</si>
  <si>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</si>
  <si>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</si>
  <si>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</si>
  <si>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</si>
  <si>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</si>
  <si>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</si>
  <si>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</si>
  <si>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</si>
  <si>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</si>
  <si>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</si>
  <si>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</si>
  <si>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</si>
  <si>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</si>
  <si>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</si>
  <si>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</si>
  <si>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</si>
  <si>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</si>
  <si>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</si>
  <si>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</si>
  <si>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</si>
  <si>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</si>
  <si>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</si>
  <si>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</si>
  <si>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</si>
  <si>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</si>
  <si>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</si>
  <si>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</si>
  <si>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</si>
  <si>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</si>
  <si>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</si>
  <si>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</si>
  <si>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</si>
  <si>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</si>
  <si>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</si>
  <si>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</si>
  <si>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</si>
  <si>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</si>
  <si>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</si>
  <si>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</si>
  <si>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</si>
  <si>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</si>
  <si>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</si>
  <si>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</si>
  <si>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</si>
  <si>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</si>
  <si>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</si>
  <si>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</si>
  <si>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</si>
  <si>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</si>
  <si>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</si>
  <si>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</si>
  <si>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</si>
  <si>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</si>
  <si>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</si>
  <si>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</si>
  <si>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</si>
  <si>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</si>
  <si>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</si>
  <si>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</si>
  <si>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</si>
  <si>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</si>
  <si>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</si>
  <si>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</si>
  <si>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</si>
  <si>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</si>
  <si>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</si>
  <si>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</si>
  <si>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</si>
  <si>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</si>
  <si>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</si>
  <si>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</si>
  <si>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</si>
  <si>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</si>
  <si>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:025742</t>
  </si>
  <si>
    <t>Address:Multan Road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</si>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</sst>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518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46269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Clinix Central Warehouse</v>
      </c>
      <c r="T3" s="301">
        <f>+'1'!P35</f>
        <v>45475.156926228818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5571.5174999999999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33.80674004237288</v>
      </c>
      <c r="P7" s="118">
        <f>M7+N7+O7</f>
        <v>6795.1547485169476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119">
        <f t="shared" ref="P8:P15" si="2">M8+N8+O8</f>
        <v>4530.103165677966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671.52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7428.6900000000005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45.075653389830507</v>
      </c>
      <c r="P9" s="119">
        <f t="shared" si="2"/>
        <v>9060.206331355932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1162.24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12857.28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78.015213559322035</v>
      </c>
      <c r="P10" s="119">
        <f t="shared" si="2"/>
        <v>15681.057925423729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7714.3679999999995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46.80912813559322</v>
      </c>
      <c r="P11" s="119">
        <f t="shared" si="2"/>
        <v>9408.6347552542375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119">
        <f t="shared" si="2"/>
        <v>0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680</v>
      </c>
      <c r="I16" s="114">
        <f t="shared" si="3"/>
        <v>42131.3</v>
      </c>
      <c r="J16" s="274">
        <f>SUM(J7:J15)</f>
        <v>3370.5039999999999</v>
      </c>
      <c r="K16" s="275">
        <f t="shared" si="3"/>
        <v>1474.5955000000001</v>
      </c>
      <c r="L16" s="276">
        <f t="shared" si="3"/>
        <v>0</v>
      </c>
      <c r="M16" s="232">
        <f t="shared" si="3"/>
        <v>37286.200499999999</v>
      </c>
      <c r="N16" s="233">
        <f>SUM(N7:N15)</f>
        <v>7962.7118644067787</v>
      </c>
      <c r="O16" s="101">
        <f>SUM(O7:O15)</f>
        <v>226.24456182203389</v>
      </c>
      <c r="P16" s="234">
        <f>SUM(P7:P15)</f>
        <v>45475.15692622881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42131.3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3370.5039999999999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1474.5955000000001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37286.200499999999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7962.7118644067787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45248.91236440678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226.24456182203389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45475.156926228818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45475.156926228818</v>
      </c>
    </row>
    <row r="44" spans="2:20" x14ac:dyDescent="0.35">
      <c r="B44" t="s">
        <v>507</v>
      </c>
    </row>
    <row r="45" spans="2:20" x14ac:dyDescent="0.35">
      <c r="B45" t="s">
        <v>508</v>
      </c>
    </row>
    <row r="46" spans="2:20" x14ac:dyDescent="0.35">
      <c r="B46" t="s">
        <v>509</v>
      </c>
    </row>
    <row r="47" spans="2:20" x14ac:dyDescent="0.35">
      <c r="B47" t="s">
        <v>510</v>
      </c>
    </row>
    <row r="48" spans="2:20" x14ac:dyDescent="0.35">
      <c r="B48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2:XFD38"/>
  <sheetViews>
    <sheetView tabSelected="1" topLeftCell="A21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516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v>46269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46268</v>
      </c>
      <c r="O5" s="383"/>
      <c r="P5" s="383"/>
      <c r="R5" s="85"/>
      <c r="S5" s="266"/>
    </row>
    <row r="6" spans="1:22 16383:16384" ht="17.2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517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503.64</v>
      </c>
      <c r="K16" s="127">
        <f>$I16*T16</f>
        <v>220.34250000000003</v>
      </c>
      <c r="L16" s="118">
        <f>$I16*U16</f>
        <v>0</v>
      </c>
      <c r="M16" s="229">
        <f>I16-SUM(J16:L16)</f>
        <v>5571.5174999999999</v>
      </c>
      <c r="N16" s="248">
        <f>+(G16*D16+H16)*V16</f>
        <v>1189.8305084745757</v>
      </c>
      <c r="O16" s="238">
        <f>(N16+M16)*$O$15</f>
        <v>33.80674004237288</v>
      </c>
      <c r="P16" s="118">
        <f>M16+N16+O16</f>
        <v>6795.1547485169476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671.52</v>
      </c>
      <c r="K18" s="128">
        <f t="shared" si="1"/>
        <v>293.79000000000002</v>
      </c>
      <c r="L18" s="119">
        <f t="shared" si="1"/>
        <v>0</v>
      </c>
      <c r="M18" s="230">
        <f t="shared" si="2"/>
        <v>7428.6900000000005</v>
      </c>
      <c r="N18" s="277">
        <f t="shared" si="3"/>
        <v>1586.440677966101</v>
      </c>
      <c r="O18" s="239">
        <f t="shared" si="4"/>
        <v>45.075653389830507</v>
      </c>
      <c r="P18" s="119">
        <f t="shared" si="5"/>
        <v>9060.206331355932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1162.24</v>
      </c>
      <c r="K19" s="128">
        <f t="shared" si="1"/>
        <v>508.48000000000008</v>
      </c>
      <c r="L19" s="119">
        <f t="shared" si="1"/>
        <v>0</v>
      </c>
      <c r="M19" s="230">
        <f t="shared" si="2"/>
        <v>12857.28</v>
      </c>
      <c r="N19" s="277">
        <f t="shared" si="3"/>
        <v>2745.7627118644068</v>
      </c>
      <c r="O19" s="239">
        <f t="shared" si="4"/>
        <v>78.015213559322035</v>
      </c>
      <c r="P19" s="119">
        <f t="shared" si="5"/>
        <v>15681.057925423729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697.34399999999994</v>
      </c>
      <c r="K20" s="128">
        <f t="shared" si="1"/>
        <v>305.08800000000002</v>
      </c>
      <c r="L20" s="119">
        <f t="shared" si="1"/>
        <v>0</v>
      </c>
      <c r="M20" s="230">
        <f t="shared" si="2"/>
        <v>7714.3679999999995</v>
      </c>
      <c r="N20" s="277">
        <f t="shared" si="3"/>
        <v>1647.4576271186443</v>
      </c>
      <c r="O20" s="239">
        <f t="shared" si="4"/>
        <v>46.80912813559322</v>
      </c>
      <c r="P20" s="119">
        <f t="shared" si="5"/>
        <v>9408.6347552542375</v>
      </c>
      <c r="R20">
        <f>P20/21</f>
        <v>448.03022644067795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680</v>
      </c>
      <c r="I25" s="114">
        <f t="shared" ref="I25:M25" si="10">SUM(I16:I24)</f>
        <v>42131.3</v>
      </c>
      <c r="J25" s="274">
        <f>SUM(J16:J24)</f>
        <v>3370.5039999999999</v>
      </c>
      <c r="K25" s="275">
        <f t="shared" si="10"/>
        <v>1474.5955000000001</v>
      </c>
      <c r="L25" s="276">
        <f t="shared" si="10"/>
        <v>0</v>
      </c>
      <c r="M25" s="232">
        <f t="shared" si="10"/>
        <v>37286.200499999999</v>
      </c>
      <c r="N25" s="233">
        <f>SUM(N16:N24)</f>
        <v>7962.7118644067787</v>
      </c>
      <c r="O25" s="101">
        <f>SUM(O16:O24)</f>
        <v>226.24456182203389</v>
      </c>
      <c r="P25" s="234">
        <f>SUM(P16:P24)</f>
        <v>45475.15692622881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42131.3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3370.5039999999999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1474.5955000000001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37286.200499999999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7962.7118644067787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45248.91236440678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226.24456182203392</v>
      </c>
    </row>
    <row r="35" spans="2:16" ht="15.75" customHeight="1" thickBot="1" x14ac:dyDescent="0.4">
      <c r="N35" s="363" t="s">
        <v>88</v>
      </c>
      <c r="O35" s="364"/>
      <c r="P35" s="297">
        <f>+P33+P34</f>
        <v>45475.156926228818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v>46241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46240</v>
      </c>
      <c r="O5" s="383"/>
      <c r="P5" s="383"/>
      <c r="R5" s="85"/>
      <c r="S5" s="266"/>
    </row>
    <row r="6" spans="1:22 16383:16384" ht="1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514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46270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46269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46270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46269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2026-09-04T07:21:34Z</dcterms:modified>
</cp:coreProperties>
</file>