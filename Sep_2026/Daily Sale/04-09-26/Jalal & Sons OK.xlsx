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4E2430-027F-47F2-8F84-EE36206BFCB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3"/>
  <c r="O21" i="43" s="1"/>
  <c r="P21" i="4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<sst xmlns="http://schemas.openxmlformats.org/spreadsheetml/2006/main" count="3948" uniqueCount="520">
  <si>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</si>
  <si>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</si>
  <si>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</si>
  <si>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</si>
  <si>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</si>
  <si>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</si>
  <si>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</si>
  <si>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</si>
  <si>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</si>
  <si>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</si>
  <si>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</si>
  <si>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</si>
  <si>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</si>
  <si>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</si>
  <si>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</si>
  <si>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</si>
  <si>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</si>
  <si>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</si>
  <si>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</si>
  <si>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</si>
  <si>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</si>
  <si>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</si>
  <si>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</si>
  <si>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</si>
  <si>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</si>
  <si>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</si>
  <si>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</si>
  <si>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</si>
  <si>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</si>
  <si>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</si>
  <si>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</si>
  <si>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</si>
  <si>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</si>
  <si>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</si>
  <si>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</si>
  <si>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</si>
  <si>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</si>
  <si>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</si>
  <si>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</si>
  <si>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</si>
  <si>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</si>
  <si>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</si>
  <si>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</si>
  <si>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</si>
  <si>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</si>
  <si>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</si>
  <si>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</si>
  <si>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</si>
  <si>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</si>
  <si>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</si>
  <si>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</si>
  <si>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</si>
  <si>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</si>
  <si>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</si>
  <si>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</si>
  <si>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</si>
  <si>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</si>
  <si>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</si>
  <si>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</si>
  <si>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</si>
  <si>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</si>
  <si>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</si>
  <si>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</si>
  <si>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</si>
  <si>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</si>
  <si>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</si>
  <si>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</si>
  <si>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</si>
  <si>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</si>
  <si>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</si>
  <si>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</si>
  <si>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</si>
  <si>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</si>
  <si>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</si>
  <si>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</si>
  <si>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</si>
  <si>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</si>
  <si>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</si>
  <si>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</si>
  <si>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</si>
  <si>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</si>
  <si>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</si>
  <si>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</si>
  <si>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</si>
  <si>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</si>
  <si>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</si>
  <si>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</si>
  <si>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</si>
  <si>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</si>
  <si>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</si>
  <si>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</si>
  <si>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</si>
  <si>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</si>
  <si>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</si>
  <si>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</si>
  <si>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</si>
  <si>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</si>
  <si>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</si>
  <si>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</si>
  <si>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</si>
  <si>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</si>
  <si>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</si>
  <si>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</si>
  <si>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</si>
  <si>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</si>
  <si>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</si>
  <si>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</si>
  <si>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</si>
  <si>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</si>
  <si>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</si>
  <si>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</si>
  <si>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</si>
  <si>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</si>
  <si>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</si>
  <si>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</si>
  <si>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</si>
  <si>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</si>
  <si>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</si>
  <si>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</si>
  <si>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</si>
  <si>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</si>
  <si>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</si>
  <si>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</si>
  <si>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</si>
  <si>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</si>
  <si>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</si>
  <si>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</si>
  <si>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</si>
  <si>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</si>
  <si>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</si>
  <si>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</si>
  <si>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</si>
  <si>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</si>
  <si>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</si>
  <si>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</si>
  <si>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</si>
  <si>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</si>
  <si>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</si>
  <si>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</si>
  <si>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</si>
  <si>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</si>
  <si>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</si>
  <si>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</si>
  <si>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</si>
  <si>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</si>
  <si>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</si>
  <si>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</si>
  <si>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</si>
  <si>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</si>
  <si>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</si>
  <si>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</si>
  <si>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</si>
  <si>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</si>
  <si>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</si>
  <si>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</si>
  <si>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</si>
  <si>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</si>
  <si>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</si>
  <si>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</si>
  <si>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</si>
  <si>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</si>
  <si>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</si>
  <si>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</si>
  <si>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</si>
  <si>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</si>
  <si>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</si>
  <si>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</si>
  <si>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</si>
  <si>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</si>
  <si>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</si>
  <si>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</si>
  <si>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</si>
  <si>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</si>
  <si>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</si>
  <si>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</si>
  <si>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</si>
  <si>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</si>
  <si>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</si>
  <si>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</si>
  <si>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</si>
  <si>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</si>
  <si>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</si>
  <si>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</si>
  <si>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</si>
  <si>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</si>
  <si>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</si>
  <si>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</si>
  <si>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</si>
  <si>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</si>
  <si>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</si>
  <si>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</si>
  <si>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</si>
  <si>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</si>
  <si>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</si>
  <si>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</si>
  <si>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</si>
  <si>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</si>
  <si>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</si>
  <si>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</si>
  <si>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</si>
  <si>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</si>
  <si>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</si>
  <si>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</si>
  <si>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</si>
  <si>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</si>
  <si>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</si>
  <si>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</si>
  <si>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</si>
  <si>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</si>
  <si>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</si>
  <si>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</si>
  <si>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</si>
  <si>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</si>
  <si>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</si>
  <si>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</si>
  <si>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</si>
  <si>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</si>
  <si>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</si>
  <si>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</si>
  <si>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</si>
  <si>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</si>
  <si>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</si>
  <si>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</si>
  <si>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</si>
  <si>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</si>
  <si>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</si>
  <si>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</si>
  <si>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</si>
  <si>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</si>
  <si>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</si>
  <si>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</si>
  <si>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</si>
  <si>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</si>
  <si>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</si>
  <si>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</si>
  <si>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</si>
  <si>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</si>
  <si>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</si>
  <si>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</si>
  <si>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</si>
  <si>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</si>
  <si>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</si>
  <si>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</si>
  <si>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</si>
  <si>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</si>
  <si>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</si>
  <si>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</si>
  <si>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</si>
  <si>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</si>
  <si>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</si>
  <si>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</si>
  <si>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</si>
  <si>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</si>
  <si>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</si>
  <si>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</si>
  <si>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</si>
  <si>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</si>
  <si>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</si>
  <si>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</si>
  <si>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</si>
  <si>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</si>
  <si>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</si>
  <si>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</si>
  <si>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</si>
  <si>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</si>
  <si>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</si>
  <si>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</si>
  <si>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</si>
  <si>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</si>
  <si>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</si>
  <si>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</si>
  <si>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</si>
  <si>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</si>
  <si>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</si>
  <si>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</si>
  <si>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</si>
  <si>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</si>
  <si>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</si>
  <si>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</si>
  <si>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</si>
  <si>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</si>
  <si>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</si>
  <si>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</si>
  <si>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</si>
  <si>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</si>
  <si>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</si>
  <si>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</si>
  <si>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</si>
  <si>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</si>
  <si>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</si>
  <si>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</si>
  <si>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</si>
  <si>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</si>
  <si>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</si>
  <si>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</si>
  <si>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</si>
  <si>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</si>
  <si>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</si>
  <si>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</si>
  <si>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</si>
  <si>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</si>
  <si>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</si>
  <si>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</si>
  <si>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</si>
  <si>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</si>
  <si>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</si>
  <si>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</si>
  <si>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</si>
  <si>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</si>
  <si>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</si>
  <si>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</si>
  <si>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</si>
  <si>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</si>
  <si>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</si>
  <si>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</si>
  <si>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</si>
  <si>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</si>
  <si>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</si>
  <si>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</si>
  <si>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</si>
  <si>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</si>
  <si>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</si>
  <si>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</si>
  <si>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</si>
  <si>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</si>
  <si>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</si>
  <si>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</si>
  <si>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</si>
  <si>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</si>
  <si>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</si>
  <si>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</si>
  <si>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</si>
  <si>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</si>
  <si>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</si>
  <si>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</si>
  <si>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</si>
  <si>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</si>
  <si>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</si>
  <si>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</si>
  <si>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</si>
  <si>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</si>
  <si>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</si>
  <si>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</si>
  <si>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</si>
  <si>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</si>
  <si>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</si>
  <si>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</si>
  <si>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</si>
  <si>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</si>
  <si>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</si>
  <si>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</si>
  <si>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</si>
  <si>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</si>
  <si>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</si>
  <si>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</si>
  <si>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</si>
  <si>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</si>
  <si>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</si>
  <si>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</si>
  <si>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</si>
  <si>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</si>
  <si>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</si>
  <si>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</si>
  <si>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</si>
  <si>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</si>
  <si>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</si>
  <si>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</si>
  <si>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</si>
  <si>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</si>
  <si>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</si>
  <si>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</si>
  <si>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</si>
  <si>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</si>
  <si>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</si>
  <si>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</si>
  <si>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</si>
  <si>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</si>
  <si>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</si>
  <si>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</si>
  <si>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</si>
  <si>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</si>
  <si>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</si>
  <si>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</si>
  <si>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</si>
  <si>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</si>
  <si>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</si>
  <si>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</si>
  <si>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</si>
  <si>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</si>
  <si>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</si>
  <si>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</si>
  <si>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</si>
  <si>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</si>
  <si>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</si>
  <si>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</si>
  <si>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</si>
  <si>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</si>
  <si>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</si>
  <si>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</si>
  <si>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</si>
  <si>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</si>
  <si>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</si>
  <si>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</si>
  <si>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</si>
  <si>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</si>
  <si>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</si>
  <si>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</si>
  <si>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</si>
  <si>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</si>
  <si>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</si>
  <si>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</si>
  <si>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</si>
  <si>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</si>
  <si>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</si>
  <si>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</si>
  <si>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</si>
  <si>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</si>
  <si>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</si>
  <si>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</si>
  <si>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</si>
  <si>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</si>
  <si>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</si>
  <si>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</si>
  <si>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</si>
  <si>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</si>
  <si>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</si>
  <si>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</si>
  <si>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</si>
  <si>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</si>
  <si>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</si>
  <si>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</si>
  <si>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</si>
  <si>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</si>
  <si>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</si>
  <si>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</si>
  <si>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</si>
  <si>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</si>
  <si>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</si>
  <si>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</si>
  <si>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</si>
  <si>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</si>
  <si>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</si>
  <si>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</si>
  <si>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</si>
  <si>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</si>
  <si>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</si>
  <si>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</si>
  <si>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</si>
  <si>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</si>
  <si>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</si>
  <si>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</si>
  <si>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</si>
  <si>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</si>
  <si>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</si>
  <si>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</si>
  <si>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</si>
  <si>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</si>
  <si>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</si>
  <si>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</si>
  <si>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</si>
  <si>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</si>
  <si>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</si>
  <si>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</si>
  <si>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</si>
  <si>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</si>
  <si>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</si>
  <si>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</si>
  <si>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</si>
  <si>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</si>
  <si>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</si>
  <si>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</si>
  <si>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</si>
  <si>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</si>
  <si>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</si>
  <si>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</si>
  <si>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</si>
  <si>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</si>
  <si>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</si>
  <si>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</si>
  <si>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</si>
  <si>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</si>
  <si>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</si>
  <si>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</si>
  <si>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</si>
  <si>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</si>
  <si>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</si>
  <si>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</si>
  <si>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</si>
  <si>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</si>
  <si>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</si>
  <si>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</si>
  <si>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</si>
  <si>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</si>
  <si>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</si>
  <si>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</si>
  <si>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</si>
  <si>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</si>
  <si>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</si>
  <si>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</si>
  <si>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</si>
  <si>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</si>
  <si>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</si>
  <si>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</si>
  <si>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</si>
  <si>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</si>
  <si>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</si>
  <si>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</si>
  <si>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</si>
  <si>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</si>
  <si>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</si>
  <si>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</si>
  <si>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</si>
  <si>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</si>
  <si>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</si>
  <si>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</si>
  <si>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Jalal &amp; Sons</t>
  </si>
  <si>
    <t>Address: Izmir Town</t>
  </si>
  <si>
    <t>NTN #: 1010737-1</t>
  </si>
  <si>
    <t>Address: Bahria Town</t>
  </si>
  <si>
    <t>CNIC #:1010737-1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</si>
</sst>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46269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Jalal &amp; Sons</v>
      </c>
      <c r="T3" s="301">
        <f>+'1'!P35</f>
        <v>8259.2510555084755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Jalal &amp; Sons</v>
      </c>
      <c r="T4" s="301">
        <f>+'2'!P35</f>
        <v>18709.738956355934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1783.7249999999999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10.901675847457625</v>
      </c>
      <c r="P7" s="310">
        <f>M7+N7+O7</f>
        <v>2191.2368453389827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629.54999999999995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3567.45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21.80335169491525</v>
      </c>
      <c r="P8" s="311">
        <f t="shared" ref="P8:P15" si="2">M8+N8+O8</f>
        <v>4382.4736906779654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314.77499999999998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1783.7249999999999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10.901675847457625</v>
      </c>
      <c r="P9" s="311">
        <f t="shared" si="2"/>
        <v>2191.2368453389827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1307.52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7409.2799999999988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45.283688135593216</v>
      </c>
      <c r="P10" s="311">
        <f t="shared" si="2"/>
        <v>9102.0213152542365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1307.52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7409.2799999999988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45.283688135593216</v>
      </c>
      <c r="P11" s="311">
        <f t="shared" si="2"/>
        <v>9102.0213152542365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10</v>
      </c>
      <c r="H16" s="113">
        <f t="shared" ref="H16:M16" si="3">SUM(H7:H15)</f>
        <v>400</v>
      </c>
      <c r="I16" s="114">
        <f t="shared" si="3"/>
        <v>25827.599999999999</v>
      </c>
      <c r="J16" s="274">
        <f>SUM(J7:J15)</f>
        <v>3874.14</v>
      </c>
      <c r="K16" s="275">
        <f t="shared" si="3"/>
        <v>0</v>
      </c>
      <c r="L16" s="276">
        <f t="shared" si="3"/>
        <v>0</v>
      </c>
      <c r="M16" s="232">
        <f t="shared" si="3"/>
        <v>21953.46</v>
      </c>
      <c r="N16" s="233">
        <f>SUM(N7:N15)</f>
        <v>4881.3559322033898</v>
      </c>
      <c r="O16" s="101">
        <f>SUM(O7:O15)</f>
        <v>134.17407966101695</v>
      </c>
      <c r="P16" s="113">
        <f>SUM(P7:P15)</f>
        <v>26968.9900118644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25827.599999999999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3874.14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21953.46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4881.3559322033898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26834.81593220339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134.17407966101695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26968.990011864407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26968.990011864407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R20">
        <f>P20/21</f>
        <v>144.4765288135593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7909.7000000000007</v>
      </c>
      <c r="J25" s="274">
        <f>SUM(J16:J24)</f>
        <v>1186.4549999999999</v>
      </c>
      <c r="K25" s="275">
        <f t="shared" si="10"/>
        <v>0</v>
      </c>
      <c r="L25" s="276">
        <f t="shared" si="10"/>
        <v>0</v>
      </c>
      <c r="M25" s="232">
        <f t="shared" si="10"/>
        <v>6723.244999999999</v>
      </c>
      <c r="N25" s="233">
        <f>SUM(N16:N24)</f>
        <v>1494.9152542372881</v>
      </c>
      <c r="O25" s="101">
        <f>SUM(O16:O24)</f>
        <v>41.090801271186436</v>
      </c>
      <c r="P25" s="113">
        <f>SUM(P16:P24)</f>
        <v>8259.2510555084737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7909.7000000000007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1186.4549999999999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6723.2450000000008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8218.1602542372893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41.09080127118645</v>
      </c>
    </row>
    <row r="35" spans="2:16" ht="15.75" customHeight="1" thickBot="1" x14ac:dyDescent="0.4">
      <c r="N35" s="373" t="s">
        <v>88</v>
      </c>
      <c r="O35" s="374"/>
      <c r="P35" s="297">
        <f>+P33+P34</f>
        <v>8259.2510555084755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871.68</v>
      </c>
      <c r="K19" s="128">
        <f t="shared" si="1"/>
        <v>0</v>
      </c>
      <c r="L19" s="119">
        <f t="shared" si="1"/>
        <v>0</v>
      </c>
      <c r="M19" s="230">
        <f t="shared" si="2"/>
        <v>4939.5199999999995</v>
      </c>
      <c r="N19" s="277">
        <f t="shared" si="3"/>
        <v>1098.3050847457628</v>
      </c>
      <c r="O19" s="239">
        <f t="shared" si="4"/>
        <v>30.189125423728811</v>
      </c>
      <c r="P19" s="311">
        <f t="shared" si="5"/>
        <v>6068.014210169491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871.68</v>
      </c>
      <c r="K20" s="128">
        <f t="shared" si="1"/>
        <v>0</v>
      </c>
      <c r="L20" s="119">
        <f t="shared" si="1"/>
        <v>0</v>
      </c>
      <c r="M20" s="230">
        <f t="shared" si="2"/>
        <v>4939.5199999999995</v>
      </c>
      <c r="N20" s="277">
        <f t="shared" si="3"/>
        <v>1098.3050847457628</v>
      </c>
      <c r="O20" s="239">
        <f t="shared" si="4"/>
        <v>30.189125423728811</v>
      </c>
      <c r="P20" s="311">
        <f t="shared" si="5"/>
        <v>6068.014210169491</v>
      </c>
      <c r="Q20" s="156"/>
      <c r="R20">
        <f>P20/21</f>
        <v>288.9530576271186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280</v>
      </c>
      <c r="I25" s="114">
        <f t="shared" si="7"/>
        <v>17917.900000000001</v>
      </c>
      <c r="J25" s="274">
        <f>SUM(J16:J24)</f>
        <v>2687.6849999999999</v>
      </c>
      <c r="K25" s="275">
        <f t="shared" si="7"/>
        <v>0</v>
      </c>
      <c r="L25" s="276">
        <f t="shared" si="7"/>
        <v>0</v>
      </c>
      <c r="M25" s="232">
        <f t="shared" si="7"/>
        <v>15230.215</v>
      </c>
      <c r="N25" s="233">
        <f>SUM(N16:N24)</f>
        <v>3386.4406779661012</v>
      </c>
      <c r="O25" s="101">
        <f>SUM(O16:O24)</f>
        <v>93.083278389830497</v>
      </c>
      <c r="P25" s="113">
        <f>SUM(P16:P24)</f>
        <v>18709.73895635593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17917.900000000001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2687.6849999999999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15230.215000000002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3386.4406779661012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18616.655677966104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93.083278389830525</v>
      </c>
    </row>
    <row r="35" spans="2:16" ht="15.75" customHeight="1" thickBot="1" x14ac:dyDescent="0.4">
      <c r="N35" s="373" t="s">
        <v>88</v>
      </c>
      <c r="O35" s="374"/>
      <c r="P35" s="297">
        <f>+P33+P34</f>
        <v>18709.738956355934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2026-09-04T05:49:51Z</dcterms:modified>
</cp:coreProperties>
</file>