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CFC9571-F866-4B8A-89BB-39A9F4FDC3A5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<sst xmlns="http://schemas.openxmlformats.org/spreadsheetml/2006/main" count="3948" uniqueCount="518">
  <si>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</si>
  <si>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</si>
  <si>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</si>
  <si>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</si>
  <si>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</si>
  <si>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</si>
  <si>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</si>
  <si>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</si>
  <si>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</si>
  <si>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</si>
  <si>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</si>
  <si>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</si>
  <si>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</si>
  <si>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</si>
  <si>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</si>
  <si>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</si>
  <si>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</si>
  <si>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</si>
  <si>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</si>
  <si>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</si>
  <si>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</si>
  <si>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</si>
  <si>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</si>
  <si>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</si>
  <si>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</si>
  <si>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</si>
  <si>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</si>
  <si>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</si>
  <si>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</si>
  <si>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</si>
  <si>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</si>
  <si>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</si>
  <si>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</si>
  <si>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</si>
  <si>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</si>
  <si>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</si>
  <si>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</si>
  <si>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</si>
  <si>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</si>
  <si>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</si>
  <si>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</si>
  <si>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</si>
  <si>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</si>
  <si>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</si>
  <si>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</si>
  <si>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</si>
  <si>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</si>
  <si>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</si>
  <si>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</si>
  <si>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</si>
  <si>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</si>
  <si>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</si>
  <si>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</si>
  <si>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</si>
  <si>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</si>
  <si>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</si>
  <si>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</si>
  <si>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</si>
  <si>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</si>
  <si>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</si>
  <si>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</si>
  <si>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</si>
  <si>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</si>
  <si>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</si>
  <si>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</si>
  <si>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</si>
  <si>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</si>
  <si>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</si>
  <si>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</si>
  <si>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</si>
  <si>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</si>
  <si>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</si>
  <si>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</si>
  <si>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</si>
  <si>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</si>
  <si>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</si>
  <si>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</si>
  <si>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</si>
  <si>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</si>
  <si>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</si>
  <si>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</si>
  <si>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</si>
  <si>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</si>
  <si>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</si>
  <si>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</si>
  <si>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</si>
  <si>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</si>
  <si>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</si>
  <si>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</si>
  <si>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</si>
  <si>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</si>
  <si>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</si>
  <si>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</si>
  <si>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</si>
  <si>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</si>
  <si>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</si>
  <si>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</si>
  <si>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</si>
  <si>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</si>
  <si>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</si>
  <si>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</si>
  <si>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</si>
  <si>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</si>
  <si>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</si>
  <si>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</si>
  <si>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</si>
  <si>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</si>
  <si>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</si>
  <si>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</si>
  <si>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</si>
  <si>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</si>
  <si>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</si>
  <si>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</si>
  <si>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</si>
  <si>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</si>
  <si>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</si>
  <si>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</si>
  <si>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</si>
  <si>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</si>
  <si>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</si>
  <si>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</si>
  <si>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</si>
  <si>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</si>
  <si>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</si>
  <si>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</si>
  <si>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</si>
  <si>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</si>
  <si>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</si>
  <si>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</si>
  <si>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</si>
  <si>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</si>
  <si>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</si>
  <si>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</si>
  <si>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</si>
  <si>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</si>
  <si>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</si>
  <si>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</si>
  <si>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</si>
  <si>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</si>
  <si>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</si>
  <si>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</si>
  <si>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</si>
  <si>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</si>
  <si>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</si>
  <si>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</si>
  <si>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</si>
  <si>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</si>
  <si>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</si>
  <si>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</si>
  <si>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</si>
  <si>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</si>
  <si>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</si>
  <si>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</si>
  <si>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</si>
  <si>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</si>
  <si>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</si>
  <si>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</si>
  <si>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</si>
  <si>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</si>
  <si>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</si>
  <si>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</si>
  <si>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</si>
  <si>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</si>
  <si>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</si>
  <si>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</si>
  <si>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</si>
  <si>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</si>
  <si>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</si>
  <si>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</si>
  <si>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</si>
  <si>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</si>
  <si>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</si>
  <si>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</si>
  <si>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</si>
  <si>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</si>
  <si>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</si>
  <si>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</si>
  <si>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</si>
  <si>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</si>
  <si>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</si>
  <si>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</si>
  <si>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</si>
  <si>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</si>
  <si>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</si>
  <si>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</si>
  <si>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</si>
  <si>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</si>
  <si>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</si>
  <si>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</si>
  <si>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</si>
  <si>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</si>
  <si>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</si>
  <si>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</si>
  <si>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</si>
  <si>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</si>
  <si>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</si>
  <si>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</si>
  <si>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</si>
  <si>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</si>
  <si>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</si>
  <si>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</si>
  <si>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</si>
  <si>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</si>
  <si>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</si>
  <si>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</si>
  <si>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</si>
  <si>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</si>
  <si>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</si>
  <si>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</si>
  <si>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</si>
  <si>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</si>
  <si>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</si>
  <si>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</si>
  <si>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</si>
  <si>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</si>
  <si>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</si>
  <si>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</si>
  <si>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</si>
  <si>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</si>
  <si>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</si>
  <si>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</si>
  <si>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</si>
  <si>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</si>
  <si>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</si>
  <si>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</si>
  <si>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</si>
  <si>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</si>
  <si>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</si>
  <si>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</si>
  <si>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</si>
  <si>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</si>
  <si>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</si>
  <si>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</si>
  <si>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</si>
  <si>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</si>
  <si>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</si>
  <si>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</si>
  <si>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</si>
  <si>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</si>
  <si>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</si>
  <si>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</si>
  <si>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</si>
  <si>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</si>
  <si>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</si>
  <si>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</si>
  <si>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</si>
  <si>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</si>
  <si>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</si>
  <si>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</si>
  <si>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</si>
  <si>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</si>
  <si>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</si>
  <si>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</si>
  <si>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</si>
  <si>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</si>
  <si>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</si>
  <si>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</si>
  <si>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</si>
  <si>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</si>
  <si>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</si>
  <si>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</si>
  <si>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</si>
  <si>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</si>
  <si>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</si>
  <si>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</si>
  <si>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</si>
  <si>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</si>
  <si>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</si>
  <si>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</si>
  <si>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</si>
  <si>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</si>
  <si>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</si>
  <si>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</si>
  <si>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</si>
  <si>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</si>
  <si>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</si>
  <si>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</si>
  <si>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</si>
  <si>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</si>
  <si>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</si>
  <si>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</si>
  <si>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</si>
  <si>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</si>
  <si>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</si>
  <si>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</si>
  <si>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</si>
  <si>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</si>
  <si>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</si>
  <si>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</si>
  <si>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</si>
  <si>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</si>
  <si>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</si>
  <si>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</si>
  <si>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</si>
  <si>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</si>
  <si>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</si>
  <si>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</si>
  <si>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</si>
  <si>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</si>
  <si>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</si>
  <si>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</si>
  <si>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</si>
  <si>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</si>
  <si>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</si>
  <si>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</si>
  <si>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</si>
  <si>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</si>
  <si>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</si>
  <si>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</si>
  <si>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</si>
  <si>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</si>
  <si>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</si>
  <si>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</si>
  <si>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</si>
  <si>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</si>
  <si>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</si>
  <si>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</si>
  <si>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</si>
  <si>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</si>
  <si>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</si>
  <si>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</si>
  <si>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</si>
  <si>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</si>
  <si>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</si>
  <si>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</si>
  <si>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</si>
  <si>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</si>
  <si>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</si>
  <si>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</si>
  <si>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</si>
  <si>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</si>
  <si>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</si>
  <si>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</si>
  <si>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</si>
  <si>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</si>
  <si>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</si>
  <si>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</si>
  <si>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</si>
  <si>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</si>
  <si>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</si>
  <si>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</si>
  <si>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</si>
  <si>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</si>
  <si>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</si>
  <si>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</si>
  <si>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</si>
  <si>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</si>
  <si>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</si>
  <si>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</si>
  <si>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</si>
  <si>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</si>
  <si>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</si>
  <si>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</si>
  <si>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</si>
  <si>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</si>
  <si>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</si>
  <si>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</si>
  <si>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</si>
  <si>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</si>
  <si>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</si>
  <si>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</si>
  <si>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</si>
  <si>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</si>
  <si>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</si>
  <si>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</si>
  <si>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</si>
  <si>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</si>
  <si>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</si>
  <si>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</si>
  <si>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</si>
  <si>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</si>
  <si>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</si>
  <si>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</si>
  <si>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</si>
  <si>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</si>
  <si>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</si>
  <si>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</si>
  <si>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</si>
  <si>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</si>
  <si>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</si>
  <si>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</si>
  <si>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</si>
  <si>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</si>
  <si>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</si>
  <si>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</si>
  <si>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</si>
  <si>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</si>
  <si>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</si>
  <si>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</si>
  <si>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</si>
  <si>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</si>
  <si>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</si>
  <si>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</si>
  <si>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</si>
  <si>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</si>
  <si>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</si>
  <si>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</si>
  <si>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</si>
  <si>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</si>
  <si>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</si>
  <si>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</si>
  <si>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</si>
  <si>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</si>
  <si>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</si>
  <si>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</si>
  <si>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</si>
  <si>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</si>
  <si>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</si>
  <si>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</si>
  <si>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</si>
  <si>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</si>
  <si>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</si>
  <si>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</si>
  <si>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</si>
  <si>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</si>
  <si>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</si>
  <si>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</si>
  <si>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</si>
  <si>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</si>
  <si>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</si>
  <si>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</si>
  <si>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</si>
  <si>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</si>
  <si>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</si>
  <si>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</si>
  <si>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</si>
  <si>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</si>
  <si>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</si>
  <si>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</si>
  <si>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</si>
  <si>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</si>
  <si>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</si>
  <si>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</si>
  <si>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</si>
  <si>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</si>
  <si>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</si>
  <si>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</si>
  <si>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</si>
  <si>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</si>
  <si>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</si>
  <si>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</si>
  <si>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</si>
  <si>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</si>
  <si>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</si>
  <si>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</si>
  <si>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</si>
  <si>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</si>
  <si>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</si>
  <si>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</si>
  <si>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</si>
  <si>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</si>
  <si>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</si>
  <si>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</si>
  <si>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</si>
  <si>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</si>
  <si>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</si>
  <si>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</si>
  <si>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</si>
  <si>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</si>
  <si>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</si>
  <si>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</si>
  <si>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</si>
  <si>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</si>
  <si>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</si>
  <si>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</si>
  <si>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</si>
  <si>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</si>
  <si>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</si>
  <si>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</si>
  <si>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</si>
  <si>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</si>
  <si>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</si>
  <si>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</si>
  <si>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</si>
  <si>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</si>
  <si>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</si>
  <si>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</si>
  <si>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</si>
  <si>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</si>
  <si>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</si>
  <si>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</si>
  <si>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</si>
  <si>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</si>
  <si>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</si>
  <si>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</si>
  <si>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</si>
  <si>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</si>
  <si>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</si>
  <si>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</si>
  <si>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</si>
  <si>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</si>
  <si>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</si>
  <si>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</si>
  <si>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</si>
  <si>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</si>
  <si>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</si>
  <si>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</si>
  <si>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</si>
  <si>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</si>
  <si>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</si>
  <si>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</si>
  <si>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</si>
  <si>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</si>
  <si>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</si>
  <si>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</si>
  <si>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</si>
  <si>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</si>
  <si>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</si>
  <si>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</si>
  <si>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</si>
  <si>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</si>
  <si>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</si>
  <si>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</si>
  <si>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</si>
  <si>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Shakoor</t>
  </si>
  <si>
    <t>Address: Izmir Town</t>
  </si>
  <si>
    <t>Prime Mart</t>
  </si>
  <si>
    <t>NTN #: 6654569-5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</si>
</sst>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46269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Prime Mart</v>
      </c>
      <c r="T3" s="301">
        <f>+'1'!P35</f>
        <v>6155.6180501694917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2</v>
      </c>
      <c r="H16" s="113">
        <f t="shared" ref="H16:M16" si="3">SUM(H7:H15)</f>
        <v>80</v>
      </c>
      <c r="I16" s="114">
        <f t="shared" si="3"/>
        <v>5811.2</v>
      </c>
      <c r="J16" s="274">
        <f>SUM(J7:J15)</f>
        <v>581.12</v>
      </c>
      <c r="K16" s="275">
        <f t="shared" si="3"/>
        <v>203.39200000000002</v>
      </c>
      <c r="L16" s="276">
        <f t="shared" si="3"/>
        <v>0</v>
      </c>
      <c r="M16" s="232">
        <f t="shared" si="3"/>
        <v>5026.6880000000001</v>
      </c>
      <c r="N16" s="233">
        <f>SUM(N7:N15)</f>
        <v>1098.3050847457628</v>
      </c>
      <c r="O16" s="101">
        <f>SUM(O7:O15)</f>
        <v>30.624965423728813</v>
      </c>
      <c r="P16" s="113">
        <f>SUM(P7:P15)</f>
        <v>6155.6180501694917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5811.2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581.12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203.39200000000002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5026.6880000000001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1098.3050847457628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6124.9930847457626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30.624965423728813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6155.6180501694917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6155.6180501694917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581.12</v>
      </c>
      <c r="K25" s="275">
        <f t="shared" si="10"/>
        <v>203.39200000000002</v>
      </c>
      <c r="L25" s="276">
        <f t="shared" si="10"/>
        <v>0</v>
      </c>
      <c r="M25" s="232">
        <f t="shared" si="10"/>
        <v>5026.6880000000001</v>
      </c>
      <c r="N25" s="233">
        <f>SUM(N16:N24)</f>
        <v>1098.3050847457628</v>
      </c>
      <c r="O25" s="101">
        <f>SUM(O16:O24)</f>
        <v>30.624965423728813</v>
      </c>
      <c r="P25" s="113">
        <f>SUM(P16:P24)</f>
        <v>6155.6180501694917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581.12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203.39200000000002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5026.6880000000001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6124.9930847457626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30.624965423728813</v>
      </c>
    </row>
    <row r="35" spans="2:16" ht="15.75" customHeight="1" thickBot="1" x14ac:dyDescent="0.4">
      <c r="N35" s="373" t="s">
        <v>88</v>
      </c>
      <c r="O35" s="374"/>
      <c r="P35" s="297">
        <f>+P33+P34</f>
        <v>6155.6180501694917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46270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46269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2026-09-04T05:45:09Z</dcterms:modified>
</cp:coreProperties>
</file>