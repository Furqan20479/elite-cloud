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BD103A3-7166-4694-A739-B1D80CF4A8F8}" xr6:coauthVersionLast="47" xr6:coauthVersionMax="47" xr10:uidLastSave="{00000000-0000-0000-0000-000000000000}"/>
  <bookViews>
    <workbookView xWindow="-110" yWindow="-110" windowWidth="19420" windowHeight="10420" tabRatio="948" firstSheet="3" activeTab="18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5" i="65" s="1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60" l="1"/>
  <c r="M16" i="59"/>
  <c r="M16" i="58"/>
  <c r="M16" i="48"/>
  <c r="M21" i="53"/>
  <c r="O21" i="53" s="1"/>
  <c r="P21" i="53" s="1"/>
  <c r="J7" i="62"/>
  <c r="M16" i="43"/>
  <c r="O16" i="43" s="1"/>
  <c r="M20" i="43"/>
  <c r="O20" i="43" s="1"/>
  <c r="P20" i="43" s="1"/>
  <c r="R20" i="43" s="1"/>
  <c r="M20" i="53"/>
  <c r="O20" i="53" s="1"/>
  <c r="P20" i="53" s="1"/>
  <c r="R20" i="53" s="1"/>
  <c r="M21" i="52"/>
  <c r="O21" i="52" s="1"/>
  <c r="P21" i="52" s="1"/>
  <c r="M21" i="51"/>
  <c r="K12" i="62"/>
  <c r="M21" i="47"/>
  <c r="O21" i="47" s="1"/>
  <c r="P21" i="47" s="1"/>
  <c r="M20" i="47"/>
  <c r="O20" i="47" s="1"/>
  <c r="P20" i="47" s="1"/>
  <c r="R20" i="47" s="1"/>
  <c r="M17" i="44"/>
  <c r="O17" i="44" s="1"/>
  <c r="P17" i="44" s="1"/>
  <c r="M16" i="44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16" i="43" l="1"/>
  <c r="M12" i="62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2" i="62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21" authorId="0" shapeId="0" xr:uid="{35E0884A-F0DE-4C3A-BC47-F537CDEF2E38}">
      <text>
        <r>
          <rPr>
            <b/>
            <sz val="9"/>
            <color indexed="81"/>
            <rFont val="Tahoma"/>
          </rPr>
          <t>Deduct Amount Against Chicken 120G</t>
        </r>
      </text>
    </comment>
  </commentList>
</comments>
</file>

<file path=xl/sharedStrings.xml><?xml version="1.0" encoding="utf-8"?>
<sst xmlns="http://schemas.openxmlformats.org/spreadsheetml/2006/main" count="3948" uniqueCount="536">
  <si>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</si>
  <si>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</si>
  <si>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</si>
  <si>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</si>
  <si>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</si>
  <si>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</si>
  <si>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</si>
  <si>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</si>
  <si>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</si>
  <si>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</si>
  <si>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</si>
  <si>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</si>
  <si>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</si>
  <si>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</si>
  <si>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</si>
  <si>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</si>
  <si>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</si>
  <si>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</si>
  <si>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</si>
  <si>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</si>
  <si>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</si>
  <si>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</si>
  <si>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</si>
  <si>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</si>
  <si>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</si>
  <si>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</si>
  <si>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</si>
  <si>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</si>
  <si>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</si>
  <si>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</si>
  <si>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</si>
  <si>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</si>
  <si>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</si>
  <si>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</si>
  <si>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</si>
  <si>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</si>
  <si>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</si>
  <si>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</si>
  <si>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</si>
  <si>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</si>
  <si>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</si>
  <si>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</si>
  <si>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</si>
  <si>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</si>
  <si>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</si>
  <si>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</si>
  <si>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</si>
  <si>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</si>
  <si>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</si>
  <si>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</si>
  <si>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</si>
  <si>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</si>
  <si>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</si>
  <si>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</si>
  <si>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</si>
  <si>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</si>
  <si>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</si>
  <si>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</si>
  <si>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</si>
  <si>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</si>
  <si>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</si>
  <si>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</si>
  <si>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</si>
  <si>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</si>
  <si>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</si>
  <si>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</si>
  <si>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</si>
  <si>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</si>
  <si>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</si>
  <si>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</si>
  <si>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</si>
  <si>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</si>
  <si>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</si>
  <si>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</si>
  <si>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</si>
  <si>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</si>
  <si>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</si>
  <si>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</si>
  <si>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</si>
  <si>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</si>
  <si>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</si>
  <si>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</si>
  <si>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</si>
  <si>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</si>
  <si>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</si>
  <si>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</si>
  <si>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</si>
  <si>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</si>
  <si>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</si>
  <si>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</si>
  <si>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</si>
  <si>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</si>
  <si>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</si>
  <si>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</si>
  <si>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</si>
  <si>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</si>
  <si>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</si>
  <si>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</si>
  <si>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</si>
  <si>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</si>
  <si>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</si>
  <si>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</si>
  <si>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</si>
  <si>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</si>
  <si>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</si>
  <si>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</si>
  <si>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</si>
  <si>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</si>
  <si>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</si>
  <si>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</si>
  <si>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</si>
  <si>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</si>
  <si>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</si>
  <si>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</si>
  <si>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</si>
  <si>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</si>
  <si>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</si>
  <si>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</si>
  <si>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</si>
  <si>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</si>
  <si>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</si>
  <si>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</si>
  <si>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</si>
  <si>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</si>
  <si>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</si>
  <si>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</si>
  <si>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</si>
  <si>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</si>
  <si>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</si>
  <si>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</si>
  <si>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</si>
  <si>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</si>
  <si>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</si>
  <si>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</si>
  <si>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</si>
  <si>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</si>
  <si>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</si>
  <si>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</si>
  <si>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</si>
  <si>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</si>
  <si>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</si>
  <si>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</si>
  <si>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</si>
  <si>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</si>
  <si>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</si>
  <si>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</si>
  <si>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</si>
  <si>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</si>
  <si>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</si>
  <si>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</si>
  <si>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</si>
  <si>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</si>
  <si>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</si>
  <si>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</si>
  <si>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</si>
  <si>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</si>
  <si>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</si>
  <si>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</si>
  <si>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</si>
  <si>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</si>
  <si>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</si>
  <si>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</si>
  <si>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</si>
  <si>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</si>
  <si>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</si>
  <si>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</si>
  <si>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</si>
  <si>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</si>
  <si>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</si>
  <si>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</si>
  <si>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</si>
  <si>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</si>
  <si>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</si>
  <si>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</si>
  <si>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</si>
  <si>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</si>
  <si>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</si>
  <si>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</si>
  <si>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</si>
  <si>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</si>
  <si>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</si>
  <si>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</si>
  <si>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</si>
  <si>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</si>
  <si>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</si>
  <si>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</si>
  <si>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</si>
  <si>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</si>
  <si>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</si>
  <si>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</si>
  <si>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</si>
  <si>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</si>
  <si>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</si>
  <si>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</si>
  <si>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</si>
  <si>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</si>
  <si>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</si>
  <si>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</si>
  <si>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</si>
  <si>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</si>
  <si>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</si>
  <si>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</si>
  <si>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</si>
  <si>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</si>
  <si>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</si>
  <si>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</si>
  <si>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</si>
  <si>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</si>
  <si>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</si>
  <si>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</si>
  <si>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</si>
  <si>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</si>
  <si>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</si>
  <si>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</si>
  <si>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</si>
  <si>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</si>
  <si>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</si>
  <si>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</si>
  <si>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</si>
  <si>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</si>
  <si>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</si>
  <si>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</si>
  <si>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</si>
  <si>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</si>
  <si>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</si>
  <si>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</si>
  <si>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</si>
  <si>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</si>
  <si>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</si>
  <si>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</si>
  <si>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</si>
  <si>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</si>
  <si>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</si>
  <si>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</si>
  <si>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</si>
  <si>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</si>
  <si>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</si>
  <si>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</si>
  <si>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</si>
  <si>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</si>
  <si>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</si>
  <si>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</si>
  <si>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</si>
  <si>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</si>
  <si>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</si>
  <si>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</si>
  <si>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</si>
  <si>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</si>
  <si>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</si>
  <si>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</si>
  <si>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</si>
  <si>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</si>
  <si>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</si>
  <si>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</si>
  <si>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</si>
  <si>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</si>
  <si>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</si>
  <si>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</si>
  <si>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</si>
  <si>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</si>
  <si>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</si>
  <si>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</si>
  <si>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</si>
  <si>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</si>
  <si>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</si>
  <si>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</si>
  <si>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</si>
  <si>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</si>
  <si>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</si>
  <si>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</si>
  <si>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</si>
  <si>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</si>
  <si>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</si>
  <si>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</si>
  <si>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</si>
  <si>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</si>
  <si>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</si>
  <si>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</si>
  <si>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</si>
  <si>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</si>
  <si>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</si>
  <si>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</si>
  <si>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</si>
  <si>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</si>
  <si>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</si>
  <si>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</si>
  <si>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</si>
  <si>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</si>
  <si>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</si>
  <si>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</si>
  <si>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</si>
  <si>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</si>
  <si>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</si>
  <si>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</si>
  <si>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</si>
  <si>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</si>
  <si>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</si>
  <si>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</si>
  <si>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</si>
  <si>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</si>
  <si>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</si>
  <si>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</si>
  <si>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</si>
  <si>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</si>
  <si>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</si>
  <si>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</si>
  <si>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</si>
  <si>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</si>
  <si>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</si>
  <si>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</si>
  <si>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</si>
  <si>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</si>
  <si>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</si>
  <si>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</si>
  <si>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</si>
  <si>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</si>
  <si>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</si>
  <si>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</si>
  <si>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</si>
  <si>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</si>
  <si>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</si>
  <si>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</si>
  <si>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</si>
  <si>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</si>
  <si>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</si>
  <si>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</si>
  <si>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</si>
  <si>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</si>
  <si>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</si>
  <si>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</si>
  <si>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</si>
  <si>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</si>
  <si>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</si>
  <si>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</si>
  <si>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</si>
  <si>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</si>
  <si>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</si>
  <si>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</si>
  <si>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</si>
  <si>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</si>
  <si>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</si>
  <si>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</si>
  <si>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</si>
  <si>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</si>
  <si>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</si>
  <si>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</si>
  <si>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</si>
  <si>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</si>
  <si>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</si>
  <si>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</si>
  <si>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</si>
  <si>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</si>
  <si>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</si>
  <si>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</si>
  <si>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</si>
  <si>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</si>
  <si>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</si>
  <si>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</si>
  <si>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</si>
  <si>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</si>
  <si>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</si>
  <si>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</si>
  <si>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</si>
  <si>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</si>
  <si>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</si>
  <si>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</si>
  <si>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</si>
  <si>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</si>
  <si>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</si>
  <si>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</si>
  <si>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</si>
  <si>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</si>
  <si>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</si>
  <si>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</si>
  <si>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</si>
  <si>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</si>
  <si>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</si>
  <si>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</si>
  <si>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</si>
  <si>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</si>
  <si>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</si>
  <si>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</si>
  <si>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</si>
  <si>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</si>
  <si>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</si>
  <si>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</si>
  <si>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</si>
  <si>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</si>
  <si>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</si>
  <si>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</si>
  <si>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</si>
  <si>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</si>
  <si>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</si>
  <si>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</si>
  <si>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</si>
  <si>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</si>
  <si>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</si>
  <si>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</si>
  <si>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</si>
  <si>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</si>
  <si>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</si>
  <si>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</si>
  <si>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</si>
  <si>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</si>
  <si>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</si>
  <si>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</si>
  <si>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</si>
  <si>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</si>
  <si>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</si>
  <si>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</si>
  <si>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</si>
  <si>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</si>
  <si>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</si>
  <si>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</si>
  <si>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</si>
  <si>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</si>
  <si>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</si>
  <si>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</si>
  <si>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</si>
  <si>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</si>
  <si>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</si>
  <si>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</si>
  <si>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</si>
  <si>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</si>
  <si>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</si>
  <si>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</si>
  <si>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</si>
  <si>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</si>
  <si>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</si>
  <si>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</si>
  <si>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</si>
  <si>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</si>
  <si>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</si>
  <si>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</si>
  <si>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</si>
  <si>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</si>
  <si>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</si>
  <si>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</si>
  <si>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</si>
  <si>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</si>
  <si>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</si>
  <si>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</si>
  <si>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</si>
  <si>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</si>
  <si>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</si>
  <si>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</si>
  <si>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</si>
  <si>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</si>
  <si>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</si>
  <si>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</si>
  <si>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</si>
  <si>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</si>
  <si>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</si>
  <si>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</si>
  <si>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</si>
  <si>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</si>
  <si>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</si>
  <si>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</si>
  <si>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</si>
  <si>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</si>
  <si>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</si>
  <si>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</si>
  <si>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</si>
  <si>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</si>
  <si>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</si>
  <si>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</si>
  <si>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</si>
  <si>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</si>
  <si>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</si>
  <si>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</si>
  <si>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</si>
  <si>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</si>
  <si>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</si>
  <si>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</si>
  <si>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</si>
  <si>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</si>
  <si>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</si>
  <si>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</si>
  <si>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</si>
  <si>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</si>
  <si>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</si>
  <si>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</si>
  <si>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</si>
  <si>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</si>
  <si>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</si>
  <si>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</si>
  <si>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</si>
  <si>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</si>
  <si>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</si>
  <si>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</si>
  <si>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</si>
  <si>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</si>
  <si>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</si>
  <si>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</si>
  <si>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</si>
  <si>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</si>
  <si>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</si>
  <si>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</si>
  <si>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</si>
  <si>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</si>
  <si>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</si>
  <si>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</si>
  <si>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</si>
  <si>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</si>
  <si>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</si>
  <si>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</si>
  <si>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</si>
  <si>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</si>
  <si>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</si>
  <si>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</si>
  <si>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</si>
  <si>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</si>
  <si>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</si>
  <si>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Salman</t>
  </si>
  <si>
    <t>Address: Askari Market</t>
  </si>
  <si>
    <t>Cantt Medical Store</t>
  </si>
  <si>
    <t>Address: Sadar Bazaar</t>
  </si>
  <si>
    <t>Chalet Bakers</t>
  </si>
  <si>
    <t>Shaheen Bakers</t>
  </si>
  <si>
    <t>Al Makkah Store</t>
  </si>
  <si>
    <t>Abid Store</t>
  </si>
  <si>
    <t>Tanvir Store</t>
  </si>
  <si>
    <t>Shadab Store</t>
  </si>
  <si>
    <t>Ikhlaq Store</t>
  </si>
  <si>
    <t>Muzammil Store</t>
  </si>
  <si>
    <t>Noman Store</t>
  </si>
  <si>
    <t>Ali General Store</t>
  </si>
  <si>
    <t>Mussa Sons Store</t>
  </si>
  <si>
    <t>Kashif Store</t>
  </si>
  <si>
    <t>Rao Store</t>
  </si>
  <si>
    <t>Nawaz Store</t>
  </si>
  <si>
    <t>Basit Ali Store</t>
  </si>
  <si>
    <t>Faizi Store</t>
  </si>
  <si>
    <t>Jammal Store</t>
  </si>
  <si>
    <t>Raza Store</t>
  </si>
  <si>
    <t>Sitara Bakers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</si>
</sst>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  <font>
      <b/>
      <sz val="9"/>
      <color indexed="81"/>
      <name val="Tahoma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opLeftCell="A4" workbookViewId="0">
      <selection activeCell="H12" sqref="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513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46269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Cantt Medical Store</v>
      </c>
      <c r="T3" s="301">
        <f>+'1'!P35</f>
        <v>12989.17262905932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Chalet Bakers</v>
      </c>
      <c r="T4" s="301">
        <f>+'2'!P35</f>
        <v>4617.2102716525415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Shaheen Bakers</v>
      </c>
      <c r="T5" s="301">
        <f>+'3'!P35</f>
        <v>1669.1779134915255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Al Makkah Store</v>
      </c>
      <c r="T6" s="301">
        <f>+'4'!P35</f>
        <v>2265.051582838983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105</v>
      </c>
      <c r="I7" s="235">
        <f>(G7*D7)*F7+H7*F7</f>
        <v>5508.5625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440.68500000000012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192.79968749999995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4875.0778124999997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1041.101694915254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29.580897537076282</v>
      </c>
      <c r="P7" s="310">
        <f>M7+N7+O7</f>
        <v>5945.7604049523306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Abid Store</v>
      </c>
      <c r="T7" s="301">
        <f>+'5'!P35</f>
        <v>339.75773742584738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99</v>
      </c>
      <c r="I8" s="236">
        <f t="shared" ref="I8:I14" si="0">(G8*D8)*F8+H8*F8</f>
        <v>5193.7874999999995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415.5030000000001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181.78256249999998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4596.5019374999993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981.6101694915252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27.89056053495764</v>
      </c>
      <c r="P8" s="311">
        <f t="shared" ref="P8:P15" si="2">M8+N8+O8</f>
        <v>5606.0026675264817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</v>
      </c>
      <c r="R8" s="314">
        <v>6</v>
      </c>
      <c r="S8" s="300" t="str">
        <f>+'6'!A6:A6</f>
        <v>Tanvir Store</v>
      </c>
      <c r="T8" s="301">
        <f>+'6'!P35</f>
        <v>339.75773742584738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115</v>
      </c>
      <c r="I9" s="236">
        <f t="shared" si="0"/>
        <v>6033.1875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482.65500000000009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211.16156249999992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5339.3709374999999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1140.2542372881353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32.398125873940693</v>
      </c>
      <c r="P9" s="311">
        <f t="shared" si="2"/>
        <v>6512.0233006620756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Shadab Store</v>
      </c>
      <c r="T9" s="301">
        <f>+'7'!P35</f>
        <v>339.75773742584738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54</v>
      </c>
      <c r="I10" s="236">
        <f t="shared" si="0"/>
        <v>3922.56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313.8048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137.28960000000001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3471.4656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741.3559322033899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21.064107661016948</v>
      </c>
      <c r="P10" s="311">
        <f t="shared" si="2"/>
        <v>4233.8856398644075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</v>
      </c>
      <c r="R10" s="314">
        <v>8</v>
      </c>
      <c r="S10" s="300" t="str">
        <f>+'8'!A6:A6</f>
        <v>Ikhlaq Store</v>
      </c>
      <c r="T10" s="301">
        <f>+'8'!P35</f>
        <v>339.75773742584738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55</v>
      </c>
      <c r="I11" s="236">
        <f t="shared" si="0"/>
        <v>3995.2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319.61599999999999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139.83200000000002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3535.752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755.08474576271192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21.454183728813561</v>
      </c>
      <c r="P11" s="311">
        <f t="shared" si="2"/>
        <v>4312.2909294915253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Muzammil Store</v>
      </c>
      <c r="T11" s="301">
        <f>+'9'!P35</f>
        <v>339.75773742584738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</v>
      </c>
      <c r="R12" s="314">
        <v>10</v>
      </c>
      <c r="S12" s="300" t="str">
        <f>+'10'!A6:A6</f>
        <v>Noman Store</v>
      </c>
      <c r="T12" s="301">
        <f>+'10'!P35</f>
        <v>339.75773742584738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80</v>
      </c>
      <c r="I13" s="236">
        <f t="shared" si="0"/>
        <v>3138.4000000000005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156.92000000000004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109.84400000000002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160.05840000000001</v>
      </c>
      <c r="M13" s="230">
        <f t="shared" si="1"/>
        <v>2711.5776000000005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610.16949152542338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16.60873545762712</v>
      </c>
      <c r="P13" s="311">
        <f t="shared" si="2"/>
        <v>3338.355826983051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Ali General Store</v>
      </c>
      <c r="T13" s="301">
        <f>+'11'!P35</f>
        <v>339.75773742584738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Mussa Sons Store</v>
      </c>
      <c r="T14" s="301">
        <f>+'12'!P35</f>
        <v>339.75773742584738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Kashif Store</v>
      </c>
      <c r="T15" s="301">
        <f>+'13'!P35</f>
        <v>339.75773742584738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12.7</v>
      </c>
      <c r="H16" s="113">
        <f t="shared" ref="H16:M16" si="3">SUM(H7:H15)</f>
        <v>508</v>
      </c>
      <c r="I16" s="114">
        <f t="shared" si="3"/>
        <v>27791.697500000002</v>
      </c>
      <c r="J16" s="274">
        <f>SUM(J7:J15)</f>
        <v>2129.1838000000002</v>
      </c>
      <c r="K16" s="275">
        <f t="shared" si="3"/>
        <v>972.70941249999998</v>
      </c>
      <c r="L16" s="276">
        <f t="shared" si="3"/>
        <v>160.05840000000001</v>
      </c>
      <c r="M16" s="232">
        <f t="shared" si="3"/>
        <v>24529.745887500001</v>
      </c>
      <c r="N16" s="233">
        <f>SUM(N7:N15)</f>
        <v>5269.576271186439</v>
      </c>
      <c r="O16" s="101">
        <f>SUM(O7:O15)</f>
        <v>148.99661079343224</v>
      </c>
      <c r="P16" s="113">
        <f>SUM(P7:P15)</f>
        <v>29948.318769479869</v>
      </c>
      <c r="Q16" s="128">
        <f>SUM(Q7:Q15)</f>
        <v>3</v>
      </c>
      <c r="R16" s="314">
        <v>14</v>
      </c>
      <c r="S16" s="318" t="str">
        <f>+'14'!A6:A6</f>
        <v>Rao Store</v>
      </c>
      <c r="T16" s="301">
        <f>+'14'!P35</f>
        <v>339.75773742584738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Nawaz Store</v>
      </c>
      <c r="T17" s="301">
        <f>+'15'!P35</f>
        <v>622.88918528072031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Basit Ali Store</v>
      </c>
      <c r="T18" s="301">
        <f>+'16'!P35</f>
        <v>679.51547485169476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27791.697500000002</v>
      </c>
      <c r="R19" s="299">
        <v>17</v>
      </c>
      <c r="S19" s="300" t="str">
        <f>+'17'!A6:A6</f>
        <v>Faizi Store</v>
      </c>
      <c r="T19" s="301">
        <f>+'17'!P35</f>
        <v>679.51547485169476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2129.1838000000002</v>
      </c>
      <c r="R20" s="299">
        <v>18</v>
      </c>
      <c r="S20" s="300" t="str">
        <f>+'18'!A6:A6</f>
        <v>Jammal Store</v>
      </c>
      <c r="T20" s="301">
        <f>+'18'!P35</f>
        <v>679.51547485169476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1132.7678125</v>
      </c>
      <c r="R21" s="299">
        <v>19</v>
      </c>
      <c r="S21" s="300" t="str">
        <f>+'19'!A6:A6</f>
        <v>Raza Store</v>
      </c>
      <c r="T21" s="301">
        <f>+'19'!P35</f>
        <v>679.51547485169476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24529.745887500005</v>
      </c>
      <c r="R22" s="299">
        <v>20</v>
      </c>
      <c r="S22" s="300" t="str">
        <f>+'20'!A6:A6</f>
        <v>Sitara Bakers</v>
      </c>
      <c r="T22" s="301">
        <f>+'20'!P35</f>
        <v>1669.1779134915255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5269.576271186439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29799.322158686446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148.99661079343224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29948.318769479876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29948.318769479869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4" workbookViewId="0">
      <selection activeCell="Q19" sqref="Q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</v>
      </c>
      <c r="I18" s="236">
        <f t="shared" ref="I18:I21" si="7">(G18*D18)*F18+H18*F18</f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311">
        <f t="shared" si="5"/>
        <v>2265.051582838983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39</v>
      </c>
      <c r="I19" s="236">
        <f t="shared" si="7"/>
        <v>2832.96</v>
      </c>
      <c r="J19" s="272">
        <f t="shared" si="1"/>
        <v>226.63679999999999</v>
      </c>
      <c r="K19" s="128">
        <f t="shared" si="1"/>
        <v>99.153600000000012</v>
      </c>
      <c r="L19" s="119">
        <f t="shared" si="1"/>
        <v>0</v>
      </c>
      <c r="M19" s="230">
        <f t="shared" si="2"/>
        <v>2507.1696000000002</v>
      </c>
      <c r="N19" s="277">
        <f t="shared" si="3"/>
        <v>535.42372881355936</v>
      </c>
      <c r="O19" s="239">
        <f t="shared" si="4"/>
        <v>15.212966644067796</v>
      </c>
      <c r="P19" s="311">
        <f t="shared" si="5"/>
        <v>3057.8062954576271</v>
      </c>
      <c r="Q19" s="156">
        <v>1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199</v>
      </c>
      <c r="I25" s="114">
        <f t="shared" ref="I25:M25" si="10">SUM(I16:I24)</f>
        <v>12034.06</v>
      </c>
      <c r="J25" s="274">
        <f>SUM(J16:J24)</f>
        <v>962.72479999999996</v>
      </c>
      <c r="K25" s="275">
        <f t="shared" si="10"/>
        <v>421.1921000000001</v>
      </c>
      <c r="L25" s="276">
        <f t="shared" si="10"/>
        <v>0</v>
      </c>
      <c r="M25" s="232">
        <f t="shared" si="10"/>
        <v>10650.143100000001</v>
      </c>
      <c r="N25" s="233">
        <f>SUM(N16:N24)</f>
        <v>2274.4067796610166</v>
      </c>
      <c r="O25" s="101">
        <f>SUM(O16:O24)</f>
        <v>64.622749398305089</v>
      </c>
      <c r="P25" s="113">
        <f>SUM(P16:P24)</f>
        <v>12989.172629059321</v>
      </c>
      <c r="Q25" s="128">
        <f>SUM(Q16:Q24)</f>
        <v>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12034.06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962.72479999999996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421.1921000000001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10650.143099999999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2274.4067796610166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12924.549879661015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64.622749398305075</v>
      </c>
    </row>
    <row r="35" spans="2:16" ht="15.75" customHeight="1" thickBot="1" x14ac:dyDescent="0.4">
      <c r="N35" s="373" t="s">
        <v>88</v>
      </c>
      <c r="O35" s="374"/>
      <c r="P35" s="297">
        <f>+P33+P34</f>
        <v>12989.17262905932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311">
        <f t="shared" si="5"/>
        <v>1132.5257914194915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70</v>
      </c>
      <c r="I25" s="114">
        <f t="shared" si="7"/>
        <v>4277.7</v>
      </c>
      <c r="J25" s="274">
        <f>SUM(J16:J24)</f>
        <v>342.21600000000001</v>
      </c>
      <c r="K25" s="275">
        <f t="shared" si="7"/>
        <v>149.71950000000001</v>
      </c>
      <c r="L25" s="276">
        <f t="shared" si="7"/>
        <v>0</v>
      </c>
      <c r="M25" s="232">
        <f t="shared" si="7"/>
        <v>3785.7644999999998</v>
      </c>
      <c r="N25" s="233">
        <f>SUM(N16:N24)</f>
        <v>808.47457627118627</v>
      </c>
      <c r="O25" s="101">
        <f>SUM(O16:O24)</f>
        <v>22.971195381355933</v>
      </c>
      <c r="P25" s="113">
        <f>SUM(P16:P24)</f>
        <v>4617.2102716525424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4277.7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342.21600000000001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149.71950000000001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3785.7644999999998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808.47457627118627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4594.2390762711857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22.97119538135593</v>
      </c>
    </row>
    <row r="35" spans="2:16" ht="15.75" customHeight="1" thickBot="1" x14ac:dyDescent="0.4">
      <c r="N35" s="373" t="s">
        <v>88</v>
      </c>
      <c r="O35" s="374"/>
      <c r="P35" s="297">
        <f>+P33+P34</f>
        <v>4617.2102716525415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3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1569.2000000000003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78.460000000000022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134.95120000000003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1355.7888000000003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1660.873545762712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3" t="s">
        <v>88</v>
      </c>
      <c r="O35" s="374"/>
      <c r="P35" s="297">
        <f>+P33+P34</f>
        <v>1669.1779134915255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13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310">
        <f>M16+N16+O16</f>
        <v>849.39434356461845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311">
        <f t="shared" si="5"/>
        <v>849.39434356461845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73.447500000000019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2265.0515828389825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2098.5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167.88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73.447500000000019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1857.1724999999999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2253.7826694915252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3" t="s">
        <v>88</v>
      </c>
      <c r="O35" s="374"/>
      <c r="P35" s="297">
        <f>+P33+P34</f>
        <v>2265.051582838983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4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310">
        <f>M16+N16+O16</f>
        <v>113.25257914194913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311">
        <f t="shared" ref="P17:P24" si="5">M17+N17+O17</f>
        <v>113.25257914194913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</v>
      </c>
      <c r="I18" s="236">
        <f t="shared" si="0"/>
        <v>104.925</v>
      </c>
      <c r="J18" s="272">
        <f t="shared" si="1"/>
        <v>8.3940000000000001</v>
      </c>
      <c r="K18" s="128">
        <f t="shared" si="1"/>
        <v>3.6723750000000002</v>
      </c>
      <c r="L18" s="119">
        <f t="shared" si="1"/>
        <v>0</v>
      </c>
      <c r="M18" s="230">
        <f t="shared" si="2"/>
        <v>92.858624999999989</v>
      </c>
      <c r="N18" s="277">
        <f t="shared" si="3"/>
        <v>19.830508474576263</v>
      </c>
      <c r="O18" s="239">
        <f t="shared" si="4"/>
        <v>0.56344566737288126</v>
      </c>
      <c r="P18" s="311">
        <f t="shared" si="5"/>
        <v>113.25257914194913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25.182000000000002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113">
        <f>SUM(P16:P24)</f>
        <v>339.75773742584738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314.77499999999998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25.182000000000002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11.017125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278.57587499999994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338.06740042372871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73" t="s">
        <v>88</v>
      </c>
      <c r="O35" s="374"/>
      <c r="P35" s="297">
        <f>+P33+P34</f>
        <v>339.75773742584738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8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310">
        <f>M16+N16+O16</f>
        <v>113.25257914194913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311">
        <f t="shared" ref="P17:P24" si="5">M17+N17+O17</f>
        <v>113.25257914194913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</v>
      </c>
      <c r="I18" s="236">
        <f t="shared" si="0"/>
        <v>104.925</v>
      </c>
      <c r="J18" s="272">
        <f t="shared" si="1"/>
        <v>8.3940000000000001</v>
      </c>
      <c r="K18" s="128">
        <f t="shared" si="1"/>
        <v>3.6723750000000002</v>
      </c>
      <c r="L18" s="119">
        <f t="shared" si="1"/>
        <v>0</v>
      </c>
      <c r="M18" s="230">
        <f t="shared" si="2"/>
        <v>92.858624999999989</v>
      </c>
      <c r="N18" s="277">
        <f t="shared" si="3"/>
        <v>19.830508474576263</v>
      </c>
      <c r="O18" s="239">
        <f t="shared" si="4"/>
        <v>0.56344566737288126</v>
      </c>
      <c r="P18" s="311">
        <f t="shared" si="5"/>
        <v>113.25257914194913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25.182000000000002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113">
        <f>SUM(P16:P24)</f>
        <v>339.75773742584738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314.77499999999998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25.182000000000002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11.017125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278.57587499999994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338.06740042372871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73" t="s">
        <v>88</v>
      </c>
      <c r="O35" s="374"/>
      <c r="P35" s="297">
        <f>+P33+P34</f>
        <v>339.75773742584738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310">
        <f>M16+N16+O16</f>
        <v>113.25257914194913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311">
        <f t="shared" ref="P17:P24" si="5">M17+N17+O17</f>
        <v>113.25257914194913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</v>
      </c>
      <c r="I18" s="236">
        <f t="shared" si="0"/>
        <v>104.925</v>
      </c>
      <c r="J18" s="272">
        <f t="shared" si="1"/>
        <v>8.3940000000000001</v>
      </c>
      <c r="K18" s="128">
        <f t="shared" si="1"/>
        <v>3.6723750000000002</v>
      </c>
      <c r="L18" s="119">
        <f t="shared" si="1"/>
        <v>0</v>
      </c>
      <c r="M18" s="230">
        <f t="shared" si="2"/>
        <v>92.858624999999989</v>
      </c>
      <c r="N18" s="277">
        <f t="shared" si="3"/>
        <v>19.830508474576263</v>
      </c>
      <c r="O18" s="239">
        <f t="shared" si="4"/>
        <v>0.56344566737288126</v>
      </c>
      <c r="P18" s="311">
        <f t="shared" si="5"/>
        <v>113.25257914194913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25.182000000000002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113">
        <f>SUM(P16:P24)</f>
        <v>339.75773742584738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314.77499999999998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25.182000000000002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11.017125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278.57587499999994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338.06740042372871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73" t="s">
        <v>88</v>
      </c>
      <c r="O35" s="374"/>
      <c r="P35" s="297">
        <f>+P33+P34</f>
        <v>339.75773742584738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12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310">
        <f>M16+N16+O16</f>
        <v>113.25257914194913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311">
        <f t="shared" ref="P17:P24" si="5">M17+N17+O17</f>
        <v>113.25257914194913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</v>
      </c>
      <c r="I18" s="236">
        <f t="shared" si="0"/>
        <v>104.925</v>
      </c>
      <c r="J18" s="272">
        <f t="shared" si="1"/>
        <v>8.3940000000000001</v>
      </c>
      <c r="K18" s="128">
        <f t="shared" si="1"/>
        <v>3.6723750000000002</v>
      </c>
      <c r="L18" s="119">
        <f t="shared" si="1"/>
        <v>0</v>
      </c>
      <c r="M18" s="230">
        <f t="shared" si="2"/>
        <v>92.858624999999989</v>
      </c>
      <c r="N18" s="277">
        <f t="shared" si="3"/>
        <v>19.830508474576263</v>
      </c>
      <c r="O18" s="239">
        <f t="shared" si="4"/>
        <v>0.56344566737288126</v>
      </c>
      <c r="P18" s="311">
        <f t="shared" si="5"/>
        <v>113.25257914194913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25.182000000000002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113">
        <f>SUM(P16:P24)</f>
        <v>339.75773742584738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314.77499999999998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25.182000000000002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11.017125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278.57587499999994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338.06740042372871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73" t="s">
        <v>88</v>
      </c>
      <c r="O35" s="374"/>
      <c r="P35" s="297">
        <f>+P33+P34</f>
        <v>339.75773742584738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7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310">
        <f>M16+N16+O16</f>
        <v>113.25257914194913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311">
        <f t="shared" ref="P17:P24" si="5">M17+N17+O17</f>
        <v>113.25257914194913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</v>
      </c>
      <c r="I18" s="236">
        <f t="shared" si="0"/>
        <v>104.925</v>
      </c>
      <c r="J18" s="272">
        <f t="shared" si="1"/>
        <v>8.3940000000000001</v>
      </c>
      <c r="K18" s="128">
        <f t="shared" si="1"/>
        <v>3.6723750000000002</v>
      </c>
      <c r="L18" s="119">
        <f t="shared" si="1"/>
        <v>0</v>
      </c>
      <c r="M18" s="230">
        <f t="shared" si="2"/>
        <v>92.858624999999989</v>
      </c>
      <c r="N18" s="277">
        <f t="shared" si="3"/>
        <v>19.830508474576263</v>
      </c>
      <c r="O18" s="239">
        <f t="shared" si="4"/>
        <v>0.56344566737288126</v>
      </c>
      <c r="P18" s="311">
        <f t="shared" si="5"/>
        <v>113.25257914194913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25.182000000000002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113">
        <f>SUM(P16:P24)</f>
        <v>339.75773742584738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314.77499999999998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25.182000000000002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11.017125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278.57587499999994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338.06740042372871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73" t="s">
        <v>88</v>
      </c>
      <c r="O35" s="374"/>
      <c r="P35" s="297">
        <f>+P33+P34</f>
        <v>339.75773742584738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13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310">
        <f>M16+N16+O16</f>
        <v>113.25257914194913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311">
        <f t="shared" ref="P17:P24" si="5">M17+N17+O17</f>
        <v>113.25257914194913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2</v>
      </c>
      <c r="I18" s="236">
        <f t="shared" si="0"/>
        <v>104.925</v>
      </c>
      <c r="J18" s="272">
        <f t="shared" si="1"/>
        <v>8.3940000000000001</v>
      </c>
      <c r="K18" s="128">
        <f t="shared" si="1"/>
        <v>3.6723750000000002</v>
      </c>
      <c r="L18" s="119">
        <f t="shared" si="1"/>
        <v>0</v>
      </c>
      <c r="M18" s="230">
        <f t="shared" si="2"/>
        <v>92.858624999999989</v>
      </c>
      <c r="N18" s="277">
        <f t="shared" si="3"/>
        <v>19.830508474576263</v>
      </c>
      <c r="O18" s="239">
        <f t="shared" si="4"/>
        <v>0.56344566737288126</v>
      </c>
      <c r="P18" s="311">
        <f t="shared" si="5"/>
        <v>113.25257914194913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25.182000000000002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113">
        <f>SUM(P16:P24)</f>
        <v>339.75773742584738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314.77499999999998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25.182000000000002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11.017125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278.57587499999994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338.06740042372871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73" t="s">
        <v>88</v>
      </c>
      <c r="O35" s="374"/>
      <c r="P35" s="297">
        <f>+P33+P34</f>
        <v>339.75773742584738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12" workbookViewId="0">
      <selection sqref="A1:Q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310">
        <f>M16+N16+O16</f>
        <v>113.25257914194913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311">
        <f t="shared" ref="P17:P24" si="5">M17+N17+O17</f>
        <v>113.25257914194913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2</v>
      </c>
      <c r="I18" s="236">
        <f t="shared" si="0"/>
        <v>104.925</v>
      </c>
      <c r="J18" s="272">
        <f t="shared" si="1"/>
        <v>8.3940000000000001</v>
      </c>
      <c r="K18" s="128">
        <f t="shared" si="1"/>
        <v>3.6723750000000002</v>
      </c>
      <c r="L18" s="119">
        <f t="shared" si="1"/>
        <v>0</v>
      </c>
      <c r="M18" s="230">
        <f t="shared" si="2"/>
        <v>92.858624999999989</v>
      </c>
      <c r="N18" s="277">
        <f t="shared" si="3"/>
        <v>19.830508474576263</v>
      </c>
      <c r="O18" s="239">
        <f t="shared" si="4"/>
        <v>0.56344566737288126</v>
      </c>
      <c r="P18" s="311">
        <f t="shared" si="5"/>
        <v>113.25257914194913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25.182000000000002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113">
        <f>SUM(P16:P24)</f>
        <v>339.75773742584738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314.77499999999998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25.182000000000002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11.017125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278.57587499999994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338.06740042372871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73" t="s">
        <v>88</v>
      </c>
      <c r="O35" s="374"/>
      <c r="P35" s="297">
        <f>+P33+P34</f>
        <v>339.75773742584738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17" workbookViewId="0">
      <selection sqref="A1:Q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310">
        <f>M16+N16+O16</f>
        <v>113.25257914194913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311">
        <f t="shared" ref="P17:P24" si="5">M17+N17+O17</f>
        <v>113.25257914194913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2</v>
      </c>
      <c r="I18" s="236">
        <f t="shared" si="0"/>
        <v>104.925</v>
      </c>
      <c r="J18" s="272">
        <f t="shared" si="1"/>
        <v>8.3940000000000001</v>
      </c>
      <c r="K18" s="128">
        <f t="shared" si="1"/>
        <v>3.6723750000000002</v>
      </c>
      <c r="L18" s="119">
        <f t="shared" si="1"/>
        <v>0</v>
      </c>
      <c r="M18" s="230">
        <f t="shared" si="2"/>
        <v>92.858624999999989</v>
      </c>
      <c r="N18" s="277">
        <f t="shared" si="3"/>
        <v>19.830508474576263</v>
      </c>
      <c r="O18" s="239">
        <f t="shared" si="4"/>
        <v>0.56344566737288126</v>
      </c>
      <c r="P18" s="311">
        <f t="shared" si="5"/>
        <v>113.25257914194913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25.182000000000002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113">
        <f>SUM(P16:P24)</f>
        <v>339.75773742584738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314.77499999999998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25.182000000000002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11.017125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278.57587499999994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338.06740042372871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73" t="s">
        <v>88</v>
      </c>
      <c r="O35" s="374"/>
      <c r="P35" s="297">
        <f>+P33+P34</f>
        <v>339.75773742584738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B13" workbookViewId="0">
      <selection sqref="A1:Q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310">
        <f>M16+N16+O16</f>
        <v>113.25257914194913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311">
        <f t="shared" ref="P17:P24" si="5">M17+N17+O17</f>
        <v>113.25257914194913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</v>
      </c>
      <c r="I18" s="236">
        <f t="shared" si="0"/>
        <v>104.925</v>
      </c>
      <c r="J18" s="272">
        <f t="shared" si="1"/>
        <v>8.3940000000000001</v>
      </c>
      <c r="K18" s="128">
        <f t="shared" si="1"/>
        <v>3.6723750000000002</v>
      </c>
      <c r="L18" s="119">
        <f t="shared" si="1"/>
        <v>0</v>
      </c>
      <c r="M18" s="230">
        <f t="shared" si="2"/>
        <v>92.858624999999989</v>
      </c>
      <c r="N18" s="277">
        <f t="shared" si="3"/>
        <v>19.830508474576263</v>
      </c>
      <c r="O18" s="239">
        <f t="shared" si="4"/>
        <v>0.56344566737288126</v>
      </c>
      <c r="P18" s="311">
        <f t="shared" si="5"/>
        <v>113.25257914194913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25.182000000000002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113">
        <f>SUM(P16:P24)</f>
        <v>339.75773742584738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314.77499999999998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25.182000000000002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11.017125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278.57587499999994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338.06740042372871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73" t="s">
        <v>88</v>
      </c>
      <c r="O35" s="374"/>
      <c r="P35" s="297">
        <f>+P33+P34</f>
        <v>339.75773742584738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11" workbookViewId="0">
      <selection sqref="A1:Q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310">
        <f>M16+N16+O16</f>
        <v>113.25257914194913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311">
        <f t="shared" ref="P17:P24" si="5">M17+N17+O17</f>
        <v>113.25257914194913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</v>
      </c>
      <c r="I18" s="236">
        <f t="shared" si="0"/>
        <v>104.925</v>
      </c>
      <c r="J18" s="272">
        <f t="shared" si="1"/>
        <v>8.3940000000000001</v>
      </c>
      <c r="K18" s="128">
        <f t="shared" si="1"/>
        <v>3.6723750000000002</v>
      </c>
      <c r="L18" s="119">
        <f t="shared" si="1"/>
        <v>0</v>
      </c>
      <c r="M18" s="230">
        <f t="shared" si="2"/>
        <v>92.858624999999989</v>
      </c>
      <c r="N18" s="277">
        <f t="shared" si="3"/>
        <v>19.830508474576263</v>
      </c>
      <c r="O18" s="239">
        <f t="shared" si="4"/>
        <v>0.56344566737288126</v>
      </c>
      <c r="P18" s="311">
        <f t="shared" si="5"/>
        <v>113.25257914194913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25.182000000000002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113">
        <f>SUM(P16:P24)</f>
        <v>339.75773742584738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314.77499999999998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25.182000000000002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11.017125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278.57587499999994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338.06740042372871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73" t="s">
        <v>88</v>
      </c>
      <c r="O35" s="374"/>
      <c r="P35" s="297">
        <f>+P33+P34</f>
        <v>339.75773742584738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abSelected="1" topLeftCell="A9" workbookViewId="0">
      <selection activeCell="Q21" sqref="Q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310">
        <f>M16+N16+O16</f>
        <v>226.50515828389825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311">
        <f t="shared" ref="P17:P24" si="5">M17+N17+O17</f>
        <v>169.87886871292372</v>
      </c>
      <c r="Q17" s="156">
        <v>1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311">
        <f t="shared" si="5"/>
        <v>226.50515828389825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1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11</v>
      </c>
      <c r="I25" s="114">
        <f t="shared" si="7"/>
        <v>577.08749999999998</v>
      </c>
      <c r="J25" s="274">
        <f>SUM(J16:J24)</f>
        <v>46.167000000000002</v>
      </c>
      <c r="K25" s="275">
        <f t="shared" si="7"/>
        <v>20.198062500000002</v>
      </c>
      <c r="L25" s="276">
        <f t="shared" si="7"/>
        <v>0</v>
      </c>
      <c r="M25" s="232">
        <f t="shared" si="7"/>
        <v>510.72243749999996</v>
      </c>
      <c r="N25" s="233">
        <f>SUM(N16:N24)</f>
        <v>109.06779661016944</v>
      </c>
      <c r="O25" s="101">
        <f>SUM(O16:O24)</f>
        <v>3.0989511705508468</v>
      </c>
      <c r="P25" s="113">
        <f>SUM(P16:P24)</f>
        <v>622.8891852807202</v>
      </c>
      <c r="Q25" s="128">
        <f>SUM(Q16:Q24)</f>
        <v>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577.08749999999998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46.167000000000002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20.198062500000002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510.72243749999996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109.06779661016944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619.79023411016942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3.0989511705508472</v>
      </c>
    </row>
    <row r="35" spans="2:16" ht="15.75" customHeight="1" thickBot="1" x14ac:dyDescent="0.4">
      <c r="N35" s="373" t="s">
        <v>88</v>
      </c>
      <c r="O35" s="374"/>
      <c r="P35" s="297">
        <f>+P33+P34</f>
        <v>622.88918528072031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25" workbookViewId="0">
      <selection sqref="A1:Q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310">
        <f>M16+N16+O16</f>
        <v>226.50515828389825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311">
        <f t="shared" ref="P17:P24" si="5">M17+N17+O17</f>
        <v>226.50515828389825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311">
        <f t="shared" si="5"/>
        <v>226.50515828389825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50.364000000000004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113">
        <f>SUM(P16:P24)</f>
        <v>679.51547485169476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629.54999999999995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50.364000000000004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22.03425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557.15174999999988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676.13480084745743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73" t="s">
        <v>88</v>
      </c>
      <c r="O35" s="374"/>
      <c r="P35" s="297">
        <f>+P33+P34</f>
        <v>679.51547485169476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23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310">
        <f>M16+N16+O16</f>
        <v>226.50515828389825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311">
        <f t="shared" ref="P17:P24" si="5">M17+N17+O17</f>
        <v>226.50515828389825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311">
        <f t="shared" si="5"/>
        <v>226.50515828389825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50.364000000000004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113">
        <f>SUM(P16:P24)</f>
        <v>679.51547485169476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629.54999999999995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50.364000000000004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22.03425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557.15174999999988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676.13480084745743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73" t="s">
        <v>88</v>
      </c>
      <c r="O35" s="374"/>
      <c r="P35" s="297">
        <f>+P33+P34</f>
        <v>679.51547485169476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533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310">
        <f>M16+N16+O16</f>
        <v>226.50515828389825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311">
        <f t="shared" ref="P17:P24" si="5">M17+N17+O17</f>
        <v>226.50515828389825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311">
        <f t="shared" si="5"/>
        <v>226.50515828389825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50.364000000000004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113">
        <f>SUM(P16:P24)</f>
        <v>679.51547485169476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629.54999999999995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50.364000000000004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22.03425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557.15174999999988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676.13480084745743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73" t="s">
        <v>88</v>
      </c>
      <c r="O35" s="374"/>
      <c r="P35" s="297">
        <f>+P33+P34</f>
        <v>679.51547485169476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22" workbookViewId="0">
      <selection sqref="A1:Q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534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310">
        <f>M16+N16+O16</f>
        <v>226.50515828389825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311">
        <f t="shared" ref="P17:P24" si="5">M17+N17+O17</f>
        <v>226.50515828389825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311">
        <f t="shared" si="5"/>
        <v>226.50515828389825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50.364000000000004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113">
        <f>SUM(P16:P24)</f>
        <v>679.51547485169476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629.54999999999995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50.364000000000004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22.03425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557.15174999999988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676.13480084745743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73" t="s">
        <v>88</v>
      </c>
      <c r="O35" s="374"/>
      <c r="P35" s="297">
        <f>+P33+P34</f>
        <v>679.51547485169476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21" workbookViewId="0">
      <selection sqref="A1:Q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8.75" customHeight="1" x14ac:dyDescent="0.4">
      <c r="A6" s="399" t="s">
        <v>535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1569.2000000000003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78.460000000000022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134.95120000000003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1355.7888000000003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1660.873545762712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3" t="s">
        <v>88</v>
      </c>
      <c r="O35" s="374"/>
      <c r="P35" s="297">
        <f>+P33+P34</f>
        <v>1669.1779134915255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sqref="A1:G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46271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46270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2026-09-05T04:47:42Z</dcterms:modified>
</cp:coreProperties>
</file>