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29AEDA7-C466-47E0-BFA7-F392470A22D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64" l="1"/>
  <c r="O22" i="64" s="1"/>
  <c r="P22" i="64" s="1"/>
  <c r="M16" i="64"/>
  <c r="M17" i="61"/>
  <c r="O17" i="61" s="1"/>
  <c r="P17" i="61" s="1"/>
  <c r="M16" i="59"/>
  <c r="O16" i="59" s="1"/>
  <c r="P16" i="59" s="1"/>
  <c r="M21" i="51"/>
  <c r="M18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<sst xmlns="http://schemas.openxmlformats.org/spreadsheetml/2006/main" count="3948" uniqueCount="536">
  <si>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</si>
  <si>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</si>
  <si>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</si>
  <si>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</si>
  <si>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</si>
  <si>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</si>
  <si>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</si>
  <si>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</si>
  <si>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</si>
  <si>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</si>
  <si>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</si>
  <si>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</si>
  <si>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</si>
  <si>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</si>
  <si>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</si>
  <si>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</si>
  <si>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</si>
  <si>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</si>
  <si>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</si>
  <si>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</si>
  <si>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</si>
  <si>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</si>
  <si>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</si>
  <si>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</si>
  <si>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</si>
  <si>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</si>
  <si>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</si>
  <si>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</si>
  <si>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</si>
  <si>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</si>
  <si>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</si>
  <si>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</si>
  <si>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</si>
  <si>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</si>
  <si>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</si>
  <si>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</si>
  <si>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</si>
  <si>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</si>
  <si>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</si>
  <si>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</si>
  <si>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</si>
  <si>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</si>
  <si>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</si>
  <si>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</si>
  <si>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</si>
  <si>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</si>
  <si>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</si>
  <si>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</si>
  <si>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</si>
  <si>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</si>
  <si>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</si>
  <si>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</si>
  <si>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</si>
  <si>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</si>
  <si>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</si>
  <si>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</si>
  <si>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</si>
  <si>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</si>
  <si>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</si>
  <si>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</si>
  <si>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</si>
  <si>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</si>
  <si>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</si>
  <si>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</si>
  <si>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</si>
  <si>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</si>
  <si>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</si>
  <si>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</si>
  <si>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</si>
  <si>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</si>
  <si>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</si>
  <si>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</si>
  <si>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</si>
  <si>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</si>
  <si>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</si>
  <si>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</si>
  <si>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</si>
  <si>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</si>
  <si>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</si>
  <si>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</si>
  <si>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</si>
  <si>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</si>
  <si>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</si>
  <si>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</si>
  <si>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</si>
  <si>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</si>
  <si>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</si>
  <si>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</si>
  <si>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</si>
  <si>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</si>
  <si>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</si>
  <si>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</si>
  <si>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</si>
  <si>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</si>
  <si>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</si>
  <si>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</si>
  <si>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</si>
  <si>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</si>
  <si>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</si>
  <si>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</si>
  <si>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</si>
  <si>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</si>
  <si>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</si>
  <si>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</si>
  <si>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</si>
  <si>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</si>
  <si>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</si>
  <si>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</si>
  <si>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</si>
  <si>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</si>
  <si>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</si>
  <si>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</si>
  <si>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</si>
  <si>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</si>
  <si>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</si>
  <si>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</si>
  <si>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</si>
  <si>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</si>
  <si>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</si>
  <si>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</si>
  <si>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</si>
  <si>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</si>
  <si>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</si>
  <si>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</si>
  <si>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</si>
  <si>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</si>
  <si>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</si>
  <si>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</si>
  <si>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</si>
  <si>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</si>
  <si>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</si>
  <si>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</si>
  <si>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</si>
  <si>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</si>
  <si>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</si>
  <si>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</si>
  <si>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</si>
  <si>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</si>
  <si>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</si>
  <si>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</si>
  <si>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</si>
  <si>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</si>
  <si>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</si>
  <si>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</si>
  <si>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</si>
  <si>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</si>
  <si>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</si>
  <si>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</si>
  <si>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</si>
  <si>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</si>
  <si>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</si>
  <si>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</si>
  <si>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</si>
  <si>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</si>
  <si>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</si>
  <si>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</si>
  <si>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</si>
  <si>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</si>
  <si>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</si>
  <si>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</si>
  <si>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</si>
  <si>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</si>
  <si>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</si>
  <si>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</si>
  <si>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</si>
  <si>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</si>
  <si>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</si>
  <si>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</si>
  <si>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</si>
  <si>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</si>
  <si>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</si>
  <si>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</si>
  <si>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</si>
  <si>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</si>
  <si>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</si>
  <si>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</si>
  <si>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</si>
  <si>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</si>
  <si>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</si>
  <si>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</si>
  <si>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</si>
  <si>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</si>
  <si>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</si>
  <si>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</si>
  <si>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</si>
  <si>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</si>
  <si>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</si>
  <si>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</si>
  <si>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</si>
  <si>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</si>
  <si>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</si>
  <si>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</si>
  <si>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</si>
  <si>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</si>
  <si>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</si>
  <si>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</si>
  <si>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</si>
  <si>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</si>
  <si>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</si>
  <si>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</si>
  <si>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</si>
  <si>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</si>
  <si>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</si>
  <si>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</si>
  <si>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</si>
  <si>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</si>
  <si>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</si>
  <si>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</si>
  <si>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</si>
  <si>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</si>
  <si>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</si>
  <si>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</si>
  <si>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</si>
  <si>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</si>
  <si>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</si>
  <si>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</si>
  <si>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</si>
  <si>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</si>
  <si>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</si>
  <si>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</si>
  <si>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</si>
  <si>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</si>
  <si>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</si>
  <si>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</si>
  <si>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</si>
  <si>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</si>
  <si>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</si>
  <si>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</si>
  <si>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</si>
  <si>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</si>
  <si>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</si>
  <si>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</si>
  <si>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</si>
  <si>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</si>
  <si>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</si>
  <si>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</si>
  <si>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</si>
  <si>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</si>
  <si>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</si>
  <si>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</si>
  <si>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</si>
  <si>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</si>
  <si>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</si>
  <si>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</si>
  <si>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</si>
  <si>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</si>
  <si>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</si>
  <si>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</si>
  <si>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</si>
  <si>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</si>
  <si>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</si>
  <si>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</si>
  <si>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</si>
  <si>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</si>
  <si>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</si>
  <si>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</si>
  <si>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</si>
  <si>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</si>
  <si>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</si>
  <si>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</si>
  <si>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</si>
  <si>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</si>
  <si>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</si>
  <si>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</si>
  <si>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</si>
  <si>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</si>
  <si>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</si>
  <si>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</si>
  <si>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</si>
  <si>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</si>
  <si>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</si>
  <si>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</si>
  <si>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</si>
  <si>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</si>
  <si>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</si>
  <si>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</si>
  <si>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</si>
  <si>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</si>
  <si>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</si>
  <si>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</si>
  <si>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</si>
  <si>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</si>
  <si>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</si>
  <si>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</si>
  <si>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</si>
  <si>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</si>
  <si>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</si>
  <si>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</si>
  <si>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</si>
  <si>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</si>
  <si>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</si>
  <si>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</si>
  <si>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</si>
  <si>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</si>
  <si>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</si>
  <si>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</si>
  <si>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</si>
  <si>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</si>
  <si>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</si>
  <si>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</si>
  <si>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</si>
  <si>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</si>
  <si>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</si>
  <si>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</si>
  <si>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</si>
  <si>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</si>
  <si>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</si>
  <si>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</si>
  <si>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</si>
  <si>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</si>
  <si>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</si>
  <si>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</si>
  <si>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</si>
  <si>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</si>
  <si>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</si>
  <si>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</si>
  <si>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</si>
  <si>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</si>
  <si>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</si>
  <si>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</si>
  <si>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</si>
  <si>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</si>
  <si>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</si>
  <si>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</si>
  <si>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</si>
  <si>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</si>
  <si>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</si>
  <si>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</si>
  <si>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</si>
  <si>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</si>
  <si>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</si>
  <si>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</si>
  <si>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</si>
  <si>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</si>
  <si>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</si>
  <si>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</si>
  <si>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</si>
  <si>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</si>
  <si>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</si>
  <si>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</si>
  <si>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</si>
  <si>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</si>
  <si>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</si>
  <si>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</si>
  <si>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</si>
  <si>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</si>
  <si>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</si>
  <si>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</si>
  <si>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</si>
  <si>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</si>
  <si>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</si>
  <si>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</si>
  <si>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</si>
  <si>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</si>
  <si>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</si>
  <si>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</si>
  <si>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</si>
  <si>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</si>
  <si>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</si>
  <si>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</si>
  <si>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</si>
  <si>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</si>
  <si>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</si>
  <si>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</si>
  <si>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</si>
  <si>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</si>
  <si>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</si>
  <si>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</si>
  <si>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</si>
  <si>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</si>
  <si>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</si>
  <si>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</si>
  <si>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</si>
  <si>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</si>
  <si>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</si>
  <si>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</si>
  <si>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</si>
  <si>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</si>
  <si>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</si>
  <si>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</si>
  <si>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</si>
  <si>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</si>
  <si>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</si>
  <si>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</si>
  <si>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</si>
  <si>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</si>
  <si>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</si>
  <si>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</si>
  <si>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</si>
  <si>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</si>
  <si>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</si>
  <si>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</si>
  <si>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</si>
  <si>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</si>
  <si>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</si>
  <si>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</si>
  <si>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</si>
  <si>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</si>
  <si>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</si>
  <si>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</si>
  <si>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</si>
  <si>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</si>
  <si>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</si>
  <si>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</si>
  <si>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</si>
  <si>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</si>
  <si>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</si>
  <si>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</si>
  <si>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</si>
  <si>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</si>
  <si>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</si>
  <si>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</si>
  <si>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</si>
  <si>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</si>
  <si>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</si>
  <si>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</si>
  <si>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</si>
  <si>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</si>
  <si>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</si>
  <si>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</si>
  <si>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</si>
  <si>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</si>
  <si>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</si>
  <si>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</si>
  <si>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</si>
  <si>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</si>
  <si>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</si>
  <si>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</si>
  <si>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</si>
  <si>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</si>
  <si>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</si>
  <si>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</si>
  <si>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</si>
  <si>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</si>
  <si>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</si>
  <si>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</si>
  <si>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</si>
  <si>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</si>
  <si>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</si>
  <si>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</si>
  <si>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</si>
  <si>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</si>
  <si>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</si>
  <si>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</si>
  <si>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</si>
  <si>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</si>
  <si>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</si>
  <si>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</si>
  <si>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</si>
  <si>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</si>
  <si>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</si>
  <si>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</si>
  <si>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</si>
  <si>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</si>
  <si>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</si>
  <si>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</si>
  <si>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</si>
  <si>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</si>
  <si>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</si>
  <si>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</si>
  <si>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</si>
  <si>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</si>
  <si>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</si>
  <si>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</si>
  <si>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</si>
  <si>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</si>
  <si>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</si>
  <si>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</si>
  <si>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</si>
  <si>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</si>
  <si>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</si>
  <si>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</si>
  <si>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</si>
  <si>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</si>
  <si>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</si>
  <si>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</si>
  <si>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</si>
  <si>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</si>
  <si>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</si>
  <si>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</si>
  <si>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</si>
  <si>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</si>
  <si>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</si>
  <si>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</si>
  <si>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</si>
  <si>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</si>
  <si>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</si>
  <si>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</si>
  <si>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</si>
  <si>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</si>
  <si>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</si>
  <si>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</si>
  <si>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</si>
  <si>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</si>
  <si>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</si>
  <si>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</si>
  <si>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</si>
  <si>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</si>
  <si>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</si>
  <si>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</si>
  <si>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</si>
  <si>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</si>
  <si>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</si>
  <si>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</si>
  <si>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</si>
  <si>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</si>
  <si>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</si>
  <si>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</si>
  <si>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</si>
  <si>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</si>
  <si>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</si>
  <si>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</si>
  <si>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</si>
  <si>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</si>
  <si>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Pepsi Road</t>
  </si>
  <si>
    <t>Mahfooz Store</t>
  </si>
  <si>
    <t>Ali Waris Store</t>
  </si>
  <si>
    <t>Imdad Store</t>
  </si>
  <si>
    <t>Wasif Store</t>
  </si>
  <si>
    <t>Nisar Store</t>
  </si>
  <si>
    <t>Iqra Store</t>
  </si>
  <si>
    <t>Saif GS</t>
  </si>
  <si>
    <t>Farman Store</t>
  </si>
  <si>
    <t>Akram Store</t>
  </si>
  <si>
    <t>Khan Store</t>
  </si>
  <si>
    <t>Sabir Store</t>
  </si>
  <si>
    <t>Walayat store</t>
  </si>
  <si>
    <t>Ahmad Store]</t>
  </si>
  <si>
    <t>Huzaifa Store</t>
  </si>
  <si>
    <t>Shah G Store</t>
  </si>
  <si>
    <t xml:space="preserve">Smart pharmacy </t>
  </si>
  <si>
    <t xml:space="preserve">Classic Mart </t>
  </si>
  <si>
    <t>United Store</t>
  </si>
  <si>
    <t xml:space="preserve">Bin Dawood Mart </t>
  </si>
  <si>
    <t xml:space="preserve">Best One Mart </t>
  </si>
  <si>
    <t>Cantt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</si>
</sst>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3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Mahfooz Store</v>
      </c>
      <c r="T3" s="301">
        <f>+'1'!P35</f>
        <v>392.02644813559323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Ali Waris Store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Imdad Store</v>
      </c>
      <c r="T5" s="301">
        <f>+'3'!P35</f>
        <v>675.15789599046616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Wasif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</v>
      </c>
      <c r="R7" s="313">
        <v>5</v>
      </c>
      <c r="S7" s="300" t="str">
        <f>+'5'!A6:A6</f>
        <v>Nisar Store</v>
      </c>
      <c r="T7" s="301">
        <f>+'5'!P35</f>
        <v>675.15789599046616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3">
        <v>6</v>
      </c>
      <c r="S8" s="300" t="str">
        <f>+'6'!A6:A6</f>
        <v>Iqra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90</v>
      </c>
      <c r="I9" s="236">
        <f t="shared" si="0"/>
        <v>4721.625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377.73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165.25687499999998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4178.6381249999995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892.37288135593178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25.35505503177966</v>
      </c>
      <c r="P9" s="311">
        <f t="shared" si="2"/>
        <v>5096.3660613877109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12</v>
      </c>
      <c r="R9" s="313">
        <v>7</v>
      </c>
      <c r="S9" s="300" t="str">
        <f>+'7'!A6:A6</f>
        <v>Saif GS</v>
      </c>
      <c r="T9" s="301">
        <f>+'7'!P35</f>
        <v>283.13144785487287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76</v>
      </c>
      <c r="I10" s="236">
        <f t="shared" si="0"/>
        <v>5520.64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441.65120000000002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193.22240000000002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4885.7664000000004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1043.3898305084747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29.645781152542369</v>
      </c>
      <c r="P10" s="311">
        <f t="shared" si="2"/>
        <v>5958.8020116610178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14</v>
      </c>
      <c r="R10" s="313">
        <v>8</v>
      </c>
      <c r="S10" s="300" t="str">
        <f>+'8'!A6:A6</f>
        <v>Farman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26</v>
      </c>
      <c r="I11" s="236">
        <f t="shared" si="0"/>
        <v>1888.64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151.09120000000001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66.102400000000003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1671.4464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356.94915254237287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10.141977762711864</v>
      </c>
      <c r="P11" s="311">
        <f t="shared" si="2"/>
        <v>2038.5375303050848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</v>
      </c>
      <c r="R11" s="313">
        <v>9</v>
      </c>
      <c r="S11" s="300" t="str">
        <f>+'9'!A6:A6</f>
        <v>Akram Store</v>
      </c>
      <c r="T11" s="301">
        <f>+'9'!P35</f>
        <v>509.63660613877113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89</v>
      </c>
      <c r="I12" s="236">
        <f t="shared" si="0"/>
        <v>6464.96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517.19680000000005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226.27360000000004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5721.4895999999999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1221.8644067796611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34.716770033898307</v>
      </c>
      <c r="P12" s="311">
        <f t="shared" si="2"/>
        <v>6978.0707768135599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41</v>
      </c>
      <c r="R12" s="313">
        <v>10</v>
      </c>
      <c r="S12" s="300" t="str">
        <f>+'10'!A6:A6</f>
        <v>Khan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Sabir Store</v>
      </c>
      <c r="T13" s="301">
        <f>+'11'!P35</f>
        <v>675.15789599046616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Walayat store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Ahmad Store]</v>
      </c>
      <c r="T15" s="301">
        <f>+'13'!P35</f>
        <v>392.02644813559323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7.0250000000000004</v>
      </c>
      <c r="H16" s="113">
        <f t="shared" ref="H16:M16" si="3">SUM(H7:H15)</f>
        <v>281</v>
      </c>
      <c r="I16" s="114">
        <f t="shared" si="3"/>
        <v>18595.864999999998</v>
      </c>
      <c r="J16" s="274">
        <f>SUM(J7:J15)</f>
        <v>1487.6692000000003</v>
      </c>
      <c r="K16" s="275">
        <f t="shared" si="3"/>
        <v>650.85527500000012</v>
      </c>
      <c r="L16" s="276">
        <f t="shared" si="3"/>
        <v>0</v>
      </c>
      <c r="M16" s="232">
        <f t="shared" si="3"/>
        <v>16457.340525</v>
      </c>
      <c r="N16" s="233">
        <f>SUM(N7:N15)</f>
        <v>3514.57627118644</v>
      </c>
      <c r="O16" s="101">
        <f>SUM(O7:O15)</f>
        <v>99.8595839809322</v>
      </c>
      <c r="P16" s="113">
        <f>SUM(P7:P15)</f>
        <v>20071.776380167372</v>
      </c>
      <c r="Q16" s="128">
        <f>SUM(Q7:Q15)</f>
        <v>83</v>
      </c>
      <c r="R16" s="313">
        <v>14</v>
      </c>
      <c r="S16" s="315" t="str">
        <f>+'14'!A6:A6</f>
        <v>Huzaifa Store</v>
      </c>
      <c r="T16" s="301">
        <f>+'14'!P35</f>
        <v>392.02644813559323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Shah G Store</v>
      </c>
      <c r="T17" s="301">
        <f>+'15'!P35</f>
        <v>566.26289570974575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Smart pharmacy </v>
      </c>
      <c r="T18" s="301">
        <f>+'16'!P35</f>
        <v>1568.1057925423731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18595.864999999998</v>
      </c>
      <c r="R19" s="299">
        <v>17</v>
      </c>
      <c r="S19" s="300" t="str">
        <f>+'17'!A6:A6</f>
        <v xml:space="preserve">Classic Mart </v>
      </c>
      <c r="T19" s="301">
        <f>+'17'!P35</f>
        <v>1620.3789503771186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1487.6692000000003</v>
      </c>
      <c r="R20" s="299">
        <v>18</v>
      </c>
      <c r="S20" s="300" t="str">
        <f>+'18'!A6:A6</f>
        <v>United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650.85527500000012</v>
      </c>
      <c r="R21" s="299">
        <v>19</v>
      </c>
      <c r="S21" s="300" t="str">
        <f>+'19'!A6:A6</f>
        <v xml:space="preserve">Bin Dawood Mart 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16457.340524999996</v>
      </c>
      <c r="R22" s="299">
        <v>20</v>
      </c>
      <c r="S22" s="300" t="str">
        <f>+'20'!A6:A6</f>
        <v xml:space="preserve">Best One Mart </v>
      </c>
      <c r="T22" s="301">
        <f>+'20'!P35</f>
        <v>8402.4431738103831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3514.57627118644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19971.916796186437</v>
      </c>
      <c r="R24" s="299">
        <v>22</v>
      </c>
      <c r="S24" s="300" t="str">
        <f>+'22'!A6:A6</f>
        <v>Cantt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99.8595839809322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20071.776380167368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20071.776380167375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363.2</v>
      </c>
      <c r="J25" s="274">
        <f>SUM(J16:J24)</f>
        <v>29.056000000000001</v>
      </c>
      <c r="K25" s="275">
        <f t="shared" si="10"/>
        <v>12.712000000000002</v>
      </c>
      <c r="L25" s="276">
        <f t="shared" si="10"/>
        <v>0</v>
      </c>
      <c r="M25" s="232">
        <f t="shared" si="10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625.51250000000005</v>
      </c>
      <c r="J25" s="274">
        <f>SUM(J16:J24)</f>
        <v>50.040999999999997</v>
      </c>
      <c r="K25" s="275">
        <f t="shared" si="7"/>
        <v>21.892937500000002</v>
      </c>
      <c r="L25" s="276">
        <f t="shared" si="7"/>
        <v>0</v>
      </c>
      <c r="M25" s="232">
        <f t="shared" si="7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625.51250000000005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50.040999999999997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21.892937500000002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553.57856250000009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671.79890148305094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45" t="s">
        <v>88</v>
      </c>
      <c r="O35" s="346"/>
      <c r="P35" s="297">
        <f>+P33+P34</f>
        <v>675.15789599046616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625.51250000000005</v>
      </c>
      <c r="J25" s="274">
        <f>SUM(J16:J24)</f>
        <v>50.040999999999997</v>
      </c>
      <c r="K25" s="275">
        <f t="shared" si="7"/>
        <v>21.892937500000002</v>
      </c>
      <c r="L25" s="276">
        <f t="shared" si="7"/>
        <v>0</v>
      </c>
      <c r="M25" s="232">
        <f t="shared" si="7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625.51250000000005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50.040999999999997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21.892937500000002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553.57856250000009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671.79890148305094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45" t="s">
        <v>88</v>
      </c>
      <c r="O35" s="346"/>
      <c r="P35" s="297">
        <f>+P33+P34</f>
        <v>675.15789599046616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6" workbookViewId="0">
      <selection activeCell="P35" sqref="P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9</v>
      </c>
      <c r="I18" s="236">
        <f t="shared" si="0"/>
        <v>472.16249999999997</v>
      </c>
      <c r="J18" s="272">
        <f t="shared" si="1"/>
        <v>37.772999999999996</v>
      </c>
      <c r="K18" s="128">
        <f t="shared" si="1"/>
        <v>16.5256875</v>
      </c>
      <c r="L18" s="119">
        <f t="shared" si="1"/>
        <v>0</v>
      </c>
      <c r="M18" s="230">
        <f t="shared" si="2"/>
        <v>417.86381249999999</v>
      </c>
      <c r="N18" s="277">
        <f t="shared" si="3"/>
        <v>89.23728813559319</v>
      </c>
      <c r="O18" s="239">
        <f t="shared" si="4"/>
        <v>2.5355055031779661</v>
      </c>
      <c r="P18" s="119">
        <f t="shared" si="5"/>
        <v>509.63660613877113</v>
      </c>
      <c r="Q18" s="319">
        <v>1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</v>
      </c>
      <c r="I25" s="114">
        <f t="shared" si="7"/>
        <v>472.16249999999997</v>
      </c>
      <c r="J25" s="274">
        <f>SUM(J16:J24)</f>
        <v>37.772999999999996</v>
      </c>
      <c r="K25" s="275">
        <f t="shared" si="7"/>
        <v>16.5256875</v>
      </c>
      <c r="L25" s="276">
        <f t="shared" si="7"/>
        <v>0</v>
      </c>
      <c r="M25" s="232">
        <f t="shared" si="7"/>
        <v>417.86381249999999</v>
      </c>
      <c r="N25" s="233">
        <f>SUM(N16:N24)</f>
        <v>89.23728813559319</v>
      </c>
      <c r="O25" s="101">
        <f>SUM(O16:O24)</f>
        <v>2.5355055031779661</v>
      </c>
      <c r="P25" s="234">
        <f>SUM(P16:P24)</f>
        <v>509.63660613877113</v>
      </c>
      <c r="Q25" s="239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472.16249999999997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37.772999999999996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16.5256875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417.86381249999999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89.23728813559319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507.10110063559318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2.5355055031779661</v>
      </c>
    </row>
    <row r="35" spans="2:16" ht="15.75" customHeight="1" thickBot="1" x14ac:dyDescent="0.4">
      <c r="N35" s="345" t="s">
        <v>88</v>
      </c>
      <c r="O35" s="346"/>
      <c r="P35" s="297">
        <f>+P33+P34</f>
        <v>509.63660613877113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625.51250000000005</v>
      </c>
      <c r="J25" s="274">
        <f>SUM(J16:J24)</f>
        <v>50.040999999999997</v>
      </c>
      <c r="K25" s="275">
        <f t="shared" si="7"/>
        <v>21.892937500000002</v>
      </c>
      <c r="L25" s="276">
        <f t="shared" si="7"/>
        <v>0</v>
      </c>
      <c r="M25" s="232">
        <f t="shared" si="7"/>
        <v>553.57856250000009</v>
      </c>
      <c r="N25" s="233">
        <f>SUM(N16:N24)</f>
        <v>118.22033898305082</v>
      </c>
      <c r="O25" s="101">
        <f>SUM(O16:O24)</f>
        <v>3.3589945074152543</v>
      </c>
      <c r="P25" s="234">
        <f>SUM(P16:P24)</f>
        <v>675.15789599046616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625.51250000000005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50.040999999999997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21.892937500000002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553.57856250000009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118.22033898305082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671.79890148305094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3.3589945074152547</v>
      </c>
    </row>
    <row r="35" spans="2:16" ht="15.75" customHeight="1" thickBot="1" x14ac:dyDescent="0.4">
      <c r="N35" s="345" t="s">
        <v>88</v>
      </c>
      <c r="O35" s="346"/>
      <c r="P35" s="297">
        <f>+P33+P34</f>
        <v>675.15789599046616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1452.8000000000002</v>
      </c>
      <c r="J25" s="274">
        <f>SUM(J16:J24)</f>
        <v>116.22400000000002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7.8015213559322047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1568.1057925423731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1501.23</v>
      </c>
      <c r="J25" s="274">
        <f>SUM(J16:J24)</f>
        <v>120.0984</v>
      </c>
      <c r="K25" s="275">
        <f t="shared" si="7"/>
        <v>52.543050000000008</v>
      </c>
      <c r="L25" s="276">
        <f t="shared" si="7"/>
        <v>0</v>
      </c>
      <c r="M25" s="232">
        <f t="shared" si="7"/>
        <v>1328.5885499999999</v>
      </c>
      <c r="N25" s="233">
        <f>SUM(N16:N24)</f>
        <v>283.72881355932202</v>
      </c>
      <c r="O25" s="101">
        <f>SUM(O16:O24)</f>
        <v>8.0615868177966092</v>
      </c>
      <c r="P25" s="234">
        <f>SUM(P16:P24)</f>
        <v>1620.3789503771186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1501.23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120.0984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52.543050000000008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1328.5885499999999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283.72881355932202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1612.3173635593221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8.061586817796611</v>
      </c>
    </row>
    <row r="35" spans="2:16" ht="15.75" customHeight="1" thickBot="1" x14ac:dyDescent="0.4">
      <c r="N35" s="345" t="s">
        <v>88</v>
      </c>
      <c r="O35" s="346"/>
      <c r="P35" s="297">
        <f>+P33+P34</f>
        <v>1620.3789503771186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4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4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6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9" sqref="H19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30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3" workbookViewId="0">
      <selection activeCell="Q19" sqref="Q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8.7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39</v>
      </c>
      <c r="I18" s="236">
        <f t="shared" si="0"/>
        <v>2046.0374999999999</v>
      </c>
      <c r="J18" s="272">
        <f t="shared" si="1"/>
        <v>163.68299999999999</v>
      </c>
      <c r="K18" s="128">
        <f t="shared" si="1"/>
        <v>71.611312499999997</v>
      </c>
      <c r="L18" s="119">
        <f t="shared" si="1"/>
        <v>0</v>
      </c>
      <c r="M18" s="230">
        <f t="shared" si="2"/>
        <v>1810.7431875</v>
      </c>
      <c r="N18" s="277">
        <f t="shared" si="3"/>
        <v>386.69491525423712</v>
      </c>
      <c r="O18" s="239">
        <f t="shared" si="4"/>
        <v>10.987190513771186</v>
      </c>
      <c r="P18" s="119">
        <f t="shared" si="5"/>
        <v>2208.4252932680083</v>
      </c>
      <c r="Q18" s="319">
        <v>1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39</v>
      </c>
      <c r="I21" s="236">
        <f t="shared" si="0"/>
        <v>2832.96</v>
      </c>
      <c r="J21" s="272">
        <f t="shared" si="1"/>
        <v>226.63679999999999</v>
      </c>
      <c r="K21" s="128">
        <f t="shared" si="1"/>
        <v>99.153600000000012</v>
      </c>
      <c r="L21" s="119">
        <f t="shared" si="1"/>
        <v>0</v>
      </c>
      <c r="M21" s="230">
        <f t="shared" si="2"/>
        <v>2507.1696000000002</v>
      </c>
      <c r="N21" s="277">
        <f t="shared" si="3"/>
        <v>535.42372881355936</v>
      </c>
      <c r="O21" s="239">
        <f t="shared" si="4"/>
        <v>15.212966644067796</v>
      </c>
      <c r="P21" s="119">
        <f t="shared" si="5"/>
        <v>3057.8062954576271</v>
      </c>
      <c r="Q21" s="319">
        <v>1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118</v>
      </c>
      <c r="I25" s="114">
        <f t="shared" si="7"/>
        <v>7784.5974999999999</v>
      </c>
      <c r="J25" s="274">
        <f>SUM(J16:J24)</f>
        <v>622.76779999999997</v>
      </c>
      <c r="K25" s="275">
        <f t="shared" si="7"/>
        <v>272.46091250000006</v>
      </c>
      <c r="L25" s="276">
        <f t="shared" si="7"/>
        <v>0</v>
      </c>
      <c r="M25" s="232">
        <f t="shared" si="7"/>
        <v>6889.3687875000005</v>
      </c>
      <c r="N25" s="233">
        <f>SUM(N16:N24)</f>
        <v>1471.2711864406779</v>
      </c>
      <c r="O25" s="101">
        <f>SUM(O16:O24)</f>
        <v>41.803199869703391</v>
      </c>
      <c r="P25" s="234">
        <f>SUM(P16:P24)</f>
        <v>8402.4431738103813</v>
      </c>
      <c r="Q25" s="239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7784.5974999999999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622.76779999999997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272.46091250000006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6889.3687875000005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1471.2711864406779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8360.6399739406788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41.803199869703398</v>
      </c>
    </row>
    <row r="35" spans="2:16" ht="15.75" customHeight="1" thickBot="1" x14ac:dyDescent="0.4">
      <c r="N35" s="345" t="s">
        <v>88</v>
      </c>
      <c r="O35" s="346"/>
      <c r="P35" s="297">
        <f>+P33+P34</f>
        <v>8402.4431738103831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7" workbookViewId="0">
      <selection activeCell="G14" sqref="G14:H1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2026-09-23T05:13:54Z</dcterms:modified>
</cp:coreProperties>
</file>