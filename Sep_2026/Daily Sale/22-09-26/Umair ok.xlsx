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6826EE2-BB70-47B6-87DB-9E253D9B1707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7" l="1"/>
  <c r="O20" i="47" s="1"/>
  <c r="P20" i="47" s="1"/>
  <c r="R20" i="4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<sst xmlns="http://schemas.openxmlformats.org/spreadsheetml/2006/main" count="3948" uniqueCount="526">
  <si>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</si>
  <si>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</si>
  <si>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</si>
  <si>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</si>
  <si>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</si>
  <si>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</si>
  <si>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</si>
  <si>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</si>
  <si>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</si>
  <si>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</si>
  <si>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</si>
  <si>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</si>
  <si>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</si>
  <si>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</si>
  <si>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</si>
  <si>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</si>
  <si>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</si>
  <si>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</si>
  <si>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</si>
  <si>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</si>
  <si>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</si>
  <si>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</si>
  <si>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</si>
  <si>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</si>
  <si>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</si>
  <si>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</si>
  <si>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</si>
  <si>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</si>
  <si>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</si>
  <si>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</si>
  <si>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</si>
  <si>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</si>
  <si>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</si>
  <si>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</si>
  <si>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</si>
  <si>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</si>
  <si>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</si>
  <si>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</si>
  <si>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</si>
  <si>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</si>
  <si>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</si>
  <si>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</si>
  <si>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</si>
  <si>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</si>
  <si>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</si>
  <si>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</si>
  <si>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</si>
  <si>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</si>
  <si>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</si>
  <si>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</si>
  <si>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</si>
  <si>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</si>
  <si>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</si>
  <si>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</si>
  <si>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</si>
  <si>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</si>
  <si>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</si>
  <si>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</si>
  <si>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</si>
  <si>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</si>
  <si>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</si>
  <si>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</si>
  <si>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</si>
  <si>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</si>
  <si>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</si>
  <si>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</si>
  <si>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</si>
  <si>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</si>
  <si>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</si>
  <si>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</si>
  <si>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</si>
  <si>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</si>
  <si>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</si>
  <si>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</si>
  <si>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</si>
  <si>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</si>
  <si>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</si>
  <si>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</si>
  <si>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</si>
  <si>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</si>
  <si>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</si>
  <si>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</si>
  <si>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</si>
  <si>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</si>
  <si>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</si>
  <si>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</si>
  <si>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</si>
  <si>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</si>
  <si>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</si>
  <si>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</si>
  <si>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</si>
  <si>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</si>
  <si>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</si>
  <si>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</si>
  <si>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</si>
  <si>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</si>
  <si>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</si>
  <si>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</si>
  <si>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</si>
  <si>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</si>
  <si>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</si>
  <si>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</si>
  <si>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</si>
  <si>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</si>
  <si>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</si>
  <si>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</si>
  <si>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</si>
  <si>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</si>
  <si>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</si>
  <si>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</si>
  <si>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</si>
  <si>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</si>
  <si>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</si>
  <si>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</si>
  <si>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</si>
  <si>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</si>
  <si>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</si>
  <si>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</si>
  <si>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</si>
  <si>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</si>
  <si>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</si>
  <si>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</si>
  <si>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</si>
  <si>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</si>
  <si>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</si>
  <si>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</si>
  <si>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</si>
  <si>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</si>
  <si>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</si>
  <si>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</si>
  <si>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</si>
  <si>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</si>
  <si>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</si>
  <si>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</si>
  <si>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</si>
  <si>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</si>
  <si>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</si>
  <si>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</si>
  <si>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</si>
  <si>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</si>
  <si>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</si>
  <si>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</si>
  <si>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</si>
  <si>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</si>
  <si>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</si>
  <si>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</si>
  <si>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</si>
  <si>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</si>
  <si>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</si>
  <si>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</si>
  <si>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</si>
  <si>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</si>
  <si>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</si>
  <si>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</si>
  <si>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</si>
  <si>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</si>
  <si>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</si>
  <si>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</si>
  <si>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</si>
  <si>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</si>
  <si>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</si>
  <si>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</si>
  <si>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</si>
  <si>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</si>
  <si>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</si>
  <si>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</si>
  <si>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</si>
  <si>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</si>
  <si>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</si>
  <si>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</si>
  <si>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</si>
  <si>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</si>
  <si>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</si>
  <si>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</si>
  <si>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</si>
  <si>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</si>
  <si>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</si>
  <si>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</si>
  <si>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</si>
  <si>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</si>
  <si>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</si>
  <si>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</si>
  <si>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</si>
  <si>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</si>
  <si>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</si>
  <si>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</si>
  <si>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</si>
  <si>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</si>
  <si>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</si>
  <si>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</si>
  <si>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</si>
  <si>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</si>
  <si>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</si>
  <si>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</si>
  <si>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</si>
  <si>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</si>
  <si>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</si>
  <si>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</si>
  <si>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</si>
  <si>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</si>
  <si>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</si>
  <si>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</si>
  <si>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</si>
  <si>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</si>
  <si>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</si>
  <si>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</si>
  <si>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</si>
  <si>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</si>
  <si>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</si>
  <si>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</si>
  <si>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</si>
  <si>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</si>
  <si>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</si>
  <si>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</si>
  <si>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</si>
  <si>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</si>
  <si>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</si>
  <si>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</si>
  <si>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</si>
  <si>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</si>
  <si>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</si>
  <si>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</si>
  <si>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</si>
  <si>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</si>
  <si>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</si>
  <si>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</si>
  <si>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</si>
  <si>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</si>
  <si>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</si>
  <si>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</si>
  <si>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</si>
  <si>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</si>
  <si>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</si>
  <si>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</si>
  <si>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</si>
  <si>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</si>
  <si>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</si>
  <si>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</si>
  <si>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</si>
  <si>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</si>
  <si>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</si>
  <si>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</si>
  <si>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</si>
  <si>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</si>
  <si>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</si>
  <si>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</si>
  <si>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</si>
  <si>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</si>
  <si>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</si>
  <si>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</si>
  <si>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</si>
  <si>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</si>
  <si>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</si>
  <si>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</si>
  <si>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</si>
  <si>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</si>
  <si>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</si>
  <si>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</si>
  <si>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</si>
  <si>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</si>
  <si>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</si>
  <si>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</si>
  <si>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</si>
  <si>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</si>
  <si>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</si>
  <si>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</si>
  <si>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</si>
  <si>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</si>
  <si>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</si>
  <si>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</si>
  <si>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</si>
  <si>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</si>
  <si>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</si>
  <si>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</si>
  <si>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</si>
  <si>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</si>
  <si>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</si>
  <si>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</si>
  <si>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</si>
  <si>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</si>
  <si>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</si>
  <si>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</si>
  <si>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</si>
  <si>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</si>
  <si>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</si>
  <si>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</si>
  <si>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</si>
  <si>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</si>
  <si>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</si>
  <si>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</si>
  <si>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</si>
  <si>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</si>
  <si>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</si>
  <si>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</si>
  <si>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</si>
  <si>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</si>
  <si>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</si>
  <si>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</si>
  <si>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</si>
  <si>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</si>
  <si>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</si>
  <si>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</si>
  <si>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</si>
  <si>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</si>
  <si>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</si>
  <si>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</si>
  <si>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</si>
  <si>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</si>
  <si>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</si>
  <si>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</si>
  <si>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</si>
  <si>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</si>
  <si>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</si>
  <si>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</si>
  <si>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</si>
  <si>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</si>
  <si>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</si>
  <si>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</si>
  <si>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</si>
  <si>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</si>
  <si>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</si>
  <si>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</si>
  <si>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</si>
  <si>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</si>
  <si>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</si>
  <si>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</si>
  <si>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</si>
  <si>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</si>
  <si>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</si>
  <si>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</si>
  <si>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</si>
  <si>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</si>
  <si>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</si>
  <si>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</si>
  <si>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</si>
  <si>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</si>
  <si>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</si>
  <si>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</si>
  <si>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</si>
  <si>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</si>
  <si>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</si>
  <si>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</si>
  <si>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</si>
  <si>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</si>
  <si>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</si>
  <si>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</si>
  <si>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</si>
  <si>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</si>
  <si>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</si>
  <si>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</si>
  <si>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</si>
  <si>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</si>
  <si>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</si>
  <si>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</si>
  <si>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</si>
  <si>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</si>
  <si>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</si>
  <si>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</si>
  <si>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</si>
  <si>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</si>
  <si>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</si>
  <si>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</si>
  <si>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</si>
  <si>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</si>
  <si>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</si>
  <si>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</si>
  <si>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</si>
  <si>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</si>
  <si>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</si>
  <si>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</si>
  <si>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</si>
  <si>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</si>
  <si>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</si>
  <si>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</si>
  <si>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</si>
  <si>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</si>
  <si>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</si>
  <si>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</si>
  <si>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</si>
  <si>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</si>
  <si>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</si>
  <si>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</si>
  <si>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</si>
  <si>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</si>
  <si>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</si>
  <si>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</si>
  <si>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</si>
  <si>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</si>
  <si>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</si>
  <si>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</si>
  <si>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</si>
  <si>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</si>
  <si>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</si>
  <si>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</si>
  <si>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</si>
  <si>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</si>
  <si>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</si>
  <si>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</si>
  <si>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</si>
  <si>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</si>
  <si>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</si>
  <si>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</si>
  <si>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</si>
  <si>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</si>
  <si>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</si>
  <si>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</si>
  <si>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</si>
  <si>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</si>
  <si>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</si>
  <si>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</si>
  <si>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</si>
  <si>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</si>
  <si>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</si>
  <si>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</si>
  <si>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</si>
  <si>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</si>
  <si>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</si>
  <si>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</si>
  <si>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</si>
  <si>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</si>
  <si>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</si>
  <si>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</si>
  <si>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</si>
  <si>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</si>
  <si>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</si>
  <si>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</si>
  <si>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</si>
  <si>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</si>
  <si>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</si>
  <si>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</si>
  <si>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</si>
  <si>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</si>
  <si>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</si>
  <si>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</si>
  <si>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</si>
  <si>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</si>
  <si>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</si>
  <si>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</si>
  <si>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</si>
  <si>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</si>
  <si>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</si>
  <si>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</si>
  <si>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</si>
  <si>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</si>
  <si>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</si>
  <si>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</si>
  <si>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</si>
  <si>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</si>
  <si>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</si>
  <si>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</si>
  <si>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</si>
  <si>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</si>
  <si>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</si>
  <si>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</si>
  <si>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</si>
  <si>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</si>
  <si>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</si>
  <si>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</si>
  <si>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</si>
  <si>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</si>
  <si>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</si>
  <si>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</si>
  <si>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</si>
  <si>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</si>
  <si>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</si>
  <si>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</si>
  <si>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</si>
  <si>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</si>
  <si>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</si>
  <si>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</si>
  <si>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</si>
  <si>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</si>
  <si>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</si>
  <si>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</si>
  <si>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</si>
  <si>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</si>
  <si>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</si>
  <si>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</si>
  <si>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</si>
  <si>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</si>
  <si>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</si>
  <si>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</si>
  <si>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</si>
  <si>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</si>
  <si>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</si>
  <si>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</si>
  <si>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</si>
  <si>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</si>
  <si>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</si>
  <si>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</si>
  <si>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</si>
  <si>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</si>
  <si>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</si>
  <si>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</si>
  <si>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</si>
  <si>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</si>
  <si>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</si>
  <si>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</si>
  <si>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</si>
  <si>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</si>
  <si>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</si>
  <si>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</si>
  <si>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</si>
  <si>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</si>
  <si>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</si>
  <si>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</si>
  <si>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</si>
  <si>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</si>
  <si>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</si>
  <si>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</si>
  <si>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</si>
  <si>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</si>
  <si>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</si>
  <si>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</si>
  <si>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Address: Qanchi Bazar</t>
  </si>
  <si>
    <t>Khan Store</t>
  </si>
  <si>
    <t>Noman GS</t>
  </si>
  <si>
    <t>Imran Kareyana Store</t>
  </si>
  <si>
    <t>Address: Shokat Town</t>
  </si>
  <si>
    <t>Dua Book Store</t>
  </si>
  <si>
    <t xml:space="preserve">Address: Shoker Town </t>
  </si>
  <si>
    <t>Ahmad GS</t>
  </si>
  <si>
    <t>Punjab Store</t>
  </si>
  <si>
    <t xml:space="preserve">Address: Punjab Society </t>
  </si>
  <si>
    <t xml:space="preserve">HK Maart </t>
  </si>
  <si>
    <t>Marhaba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</si>
</sst>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activeCell="H31" sqref="H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Khan Store</v>
      </c>
      <c r="T3" s="301">
        <f>+'1'!P35</f>
        <v>705.64760664406776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Noman GS</v>
      </c>
      <c r="T4" s="301">
        <f>+'2'!P35</f>
        <v>679.51547485169476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Imran Kareyana Store</v>
      </c>
      <c r="T5" s="301">
        <f>+'3'!P35</f>
        <v>940.86347552542372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Dua Book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</v>
      </c>
      <c r="I7" s="235">
        <f>(G7*D7)*F7+H7*F7</f>
        <v>209.85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16.788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7.3447500000000003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185.71724999999998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39.661016949152526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1.1268913347457625</v>
      </c>
      <c r="P7" s="310">
        <f>M7+N7+O7</f>
        <v>226.50515828389825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Ahmad GS</v>
      </c>
      <c r="T7" s="301">
        <f>+'5'!P35</f>
        <v>679.51547485169476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</v>
      </c>
      <c r="I8" s="236">
        <f t="shared" ref="I8:I14" si="0">(G8*D8)*F8+H8*F8</f>
        <v>209.85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16.788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7.3447500000000003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185.71724999999998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39.661016949152526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1.1268913347457625</v>
      </c>
      <c r="P8" s="311">
        <f t="shared" ref="P8:P15" si="2">M8+N8+O8</f>
        <v>226.50515828389825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Punjab Store</v>
      </c>
      <c r="T8" s="301">
        <f>+'6'!P35</f>
        <v>9408.6347552542375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</v>
      </c>
      <c r="I9" s="236">
        <f t="shared" si="0"/>
        <v>839.4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67.152000000000001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29.379000000000001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742.86899999999991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158.6440677966101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4.5075653389830501</v>
      </c>
      <c r="P9" s="311">
        <f t="shared" si="2"/>
        <v>906.02063313559302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HK Maart </v>
      </c>
      <c r="T9" s="301">
        <f>+'7'!P35</f>
        <v>3136.2115850847458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100</v>
      </c>
      <c r="I10" s="236">
        <f t="shared" si="0"/>
        <v>7264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581.12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254.24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6428.64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1372.8813559322034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39.007606779661018</v>
      </c>
      <c r="P10" s="311">
        <f t="shared" si="2"/>
        <v>7840.5289627118646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15</v>
      </c>
      <c r="R10" s="313">
        <v>8</v>
      </c>
      <c r="S10" s="300" t="str">
        <f>+'8'!A6:A6</f>
        <v>Marhaba Store</v>
      </c>
      <c r="T10" s="301">
        <f>+'8'!P35</f>
        <v>1568.1057925423729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53</v>
      </c>
      <c r="I11" s="236">
        <f t="shared" si="0"/>
        <v>3849.92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307.99360000000001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134.74720000000002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3407.1792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727.62711864406776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20.674031593220338</v>
      </c>
      <c r="P11" s="311">
        <f t="shared" si="2"/>
        <v>4155.4803502372879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12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48</v>
      </c>
      <c r="I12" s="236">
        <f t="shared" si="0"/>
        <v>3486.7200000000003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278.93760000000003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122.03520000000002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3085.7472000000002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658.98305084745766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18.723651254237289</v>
      </c>
      <c r="P12" s="311">
        <f t="shared" si="2"/>
        <v>3763.4539021016949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13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5.625</v>
      </c>
      <c r="H16" s="113">
        <f t="shared" ref="H16:M16" si="3">SUM(H7:H15)</f>
        <v>225</v>
      </c>
      <c r="I16" s="114">
        <f t="shared" si="3"/>
        <v>15859.740000000002</v>
      </c>
      <c r="J16" s="274">
        <f>SUM(J7:J15)</f>
        <v>1268.7791999999999</v>
      </c>
      <c r="K16" s="275">
        <f t="shared" si="3"/>
        <v>555.09090000000003</v>
      </c>
      <c r="L16" s="276">
        <f t="shared" si="3"/>
        <v>0</v>
      </c>
      <c r="M16" s="232">
        <f t="shared" si="3"/>
        <v>14035.8699</v>
      </c>
      <c r="N16" s="233">
        <f>SUM(N7:N15)</f>
        <v>2997.4576271186443</v>
      </c>
      <c r="O16" s="101">
        <f>SUM(O7:O15)</f>
        <v>85.166637635593219</v>
      </c>
      <c r="P16" s="113">
        <f>SUM(P7:P15)</f>
        <v>17118.494164754236</v>
      </c>
      <c r="Q16" s="128">
        <f>SUM(Q7:Q15)</f>
        <v>40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15859.740000000002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1268.7791999999999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555.09090000000003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14035.869900000002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2997.4576271186443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17033.327527118647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85.166637635593219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17118.49416475424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17118.494164754236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B39" sqref="B3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7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7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7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9</v>
      </c>
      <c r="I25" s="114">
        <f t="shared" ref="I25:M25" si="10">SUM(I16:I24)</f>
        <v>653.76</v>
      </c>
      <c r="J25" s="274">
        <f>SUM(J16:J24)</f>
        <v>52.30080000000001</v>
      </c>
      <c r="K25" s="275">
        <f t="shared" si="10"/>
        <v>22.881600000000002</v>
      </c>
      <c r="L25" s="276">
        <f t="shared" si="10"/>
        <v>0</v>
      </c>
      <c r="M25" s="232">
        <f t="shared" si="10"/>
        <v>578.57760000000007</v>
      </c>
      <c r="N25" s="233">
        <f>SUM(N16:N24)</f>
        <v>123.55932203389831</v>
      </c>
      <c r="O25" s="101">
        <f>SUM(O16:O24)</f>
        <v>3.5106846101694917</v>
      </c>
      <c r="P25" s="234">
        <f>SUM(P16:P24)</f>
        <v>705.64760664406776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653.76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52.30080000000001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22.881600000000002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578.57759999999996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123.55932203389831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702.13692203389826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3.5106846101694913</v>
      </c>
    </row>
    <row r="35" spans="2:16" ht="15.75" customHeight="1" thickBot="1" x14ac:dyDescent="0.4">
      <c r="N35" s="345" t="s">
        <v>88</v>
      </c>
      <c r="O35" s="346"/>
      <c r="P35" s="297">
        <f>+P33+P34</f>
        <v>705.64760664406776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B39" sqref="B3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50.364000000000004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679.51547485169476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629.54999999999995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50.364000000000004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22.03425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557.15174999999988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676.13480084745743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5" t="s">
        <v>88</v>
      </c>
      <c r="O35" s="346"/>
      <c r="P35" s="297">
        <f>+P33+P34</f>
        <v>679.51547485169476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activeCell="B39" sqref="B3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871.68000000000006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69.734400000000008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30.508800000000004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771.43680000000006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936.18256271186442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45" t="s">
        <v>88</v>
      </c>
      <c r="O35" s="346"/>
      <c r="P35" s="297">
        <f>+P33+P34</f>
        <v>940.86347552542372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12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13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629.54999999999995</v>
      </c>
      <c r="J25" s="274">
        <f>SUM(J16:J24)</f>
        <v>50.363999999999997</v>
      </c>
      <c r="K25" s="275">
        <f t="shared" si="7"/>
        <v>22.03425</v>
      </c>
      <c r="L25" s="276">
        <f t="shared" si="7"/>
        <v>0</v>
      </c>
      <c r="M25" s="232">
        <f t="shared" si="7"/>
        <v>557.15174999999999</v>
      </c>
      <c r="N25" s="233">
        <f>SUM(N16:N24)</f>
        <v>118.98305084745758</v>
      </c>
      <c r="O25" s="101">
        <f>SUM(O16:O24)</f>
        <v>3.3806740042372878</v>
      </c>
      <c r="P25" s="234">
        <f>SUM(P16:P24)</f>
        <v>679.51547485169488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629.54999999999995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50.363999999999997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22.03425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557.15174999999988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118.98305084745758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676.13480084745743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3.3806740042372874</v>
      </c>
    </row>
    <row r="35" spans="2:16" ht="15.75" customHeight="1" thickBot="1" x14ac:dyDescent="0.4">
      <c r="N35" s="345" t="s">
        <v>88</v>
      </c>
      <c r="O35" s="346"/>
      <c r="P35" s="297">
        <f>+P33+P34</f>
        <v>679.51547485169476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697.34400000000005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7714.3679999999995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9361.8256271186438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45" t="s">
        <v>88</v>
      </c>
      <c r="O35" s="346"/>
      <c r="P35" s="297">
        <f>+P33+P34</f>
        <v>9408.6347552542375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1452.8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116.224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50.848000000000006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1285.7280000000001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1560.3042711864407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45" t="s">
        <v>88</v>
      </c>
      <c r="O35" s="346"/>
      <c r="P35" s="297">
        <f>+P33+P34</f>
        <v>1568.1057925423729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46288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46287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2026-09-22T10:22:52Z</dcterms:modified>
</cp:coreProperties>
</file>