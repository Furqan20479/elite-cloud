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B7F50C-5357-4405-9502-A95B85A2B0D9}" xr6:coauthVersionLast="47" xr6:coauthVersionMax="47" xr10:uidLastSave="{00000000-0000-0000-0000-000000000000}"/>
  <bookViews>
    <workbookView xWindow="-110" yWindow="-110" windowWidth="19420" windowHeight="10420" tabRatio="948" firstSheet="3" activeTab="2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15" i="64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4" l="1"/>
  <c r="M16" i="64"/>
  <c r="M22" i="64"/>
  <c r="O22" i="64" s="1"/>
  <c r="P22" i="64" s="1"/>
  <c r="M16" i="60"/>
  <c r="M16" i="59"/>
  <c r="M16" i="58"/>
  <c r="M17" i="56"/>
  <c r="O17" i="56" s="1"/>
  <c r="P17" i="56" s="1"/>
  <c r="M18" i="53"/>
  <c r="O18" i="53" s="1"/>
  <c r="P18" i="53" s="1"/>
  <c r="M21" i="53"/>
  <c r="O21" i="53" s="1"/>
  <c r="P21" i="53" s="1"/>
  <c r="M20" i="53"/>
  <c r="O20" i="53" s="1"/>
  <c r="P20" i="53" s="1"/>
  <c r="R20" i="53" s="1"/>
  <c r="J7" i="62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<sst xmlns="http://schemas.openxmlformats.org/spreadsheetml/2006/main" count="3952" uniqueCount="538">
  <si>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</si>
  <si>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</si>
  <si>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</si>
  <si>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</si>
  <si>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</si>
  <si>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</si>
  <si>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</si>
  <si>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</si>
  <si>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</si>
  <si>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</si>
  <si>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</si>
  <si>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</si>
  <si>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</si>
  <si>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</si>
  <si>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</si>
  <si>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</si>
  <si>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</si>
  <si>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</si>
  <si>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</si>
  <si>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</si>
  <si>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</si>
  <si>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</si>
  <si>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</si>
  <si>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</si>
  <si>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</si>
  <si>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</si>
  <si>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</si>
  <si>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</si>
  <si>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</si>
  <si>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</si>
  <si>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</si>
  <si>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</si>
  <si>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</si>
  <si>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</si>
  <si>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</si>
  <si>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</si>
  <si>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</si>
  <si>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</si>
  <si>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</si>
  <si>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</si>
  <si>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</si>
  <si>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</si>
  <si>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</si>
  <si>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</si>
  <si>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</si>
  <si>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</si>
  <si>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</si>
  <si>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</si>
  <si>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</si>
  <si>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</si>
  <si>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</si>
  <si>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</si>
  <si>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</si>
  <si>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</si>
  <si>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</si>
  <si>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</si>
  <si>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</si>
  <si>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</si>
  <si>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</si>
  <si>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</si>
  <si>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</si>
  <si>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</si>
  <si>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</si>
  <si>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</si>
  <si>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</si>
  <si>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</si>
  <si>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</si>
  <si>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</si>
  <si>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</si>
  <si>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</si>
  <si>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</si>
  <si>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</si>
  <si>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</si>
  <si>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</si>
  <si>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</si>
  <si>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</si>
  <si>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</si>
  <si>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</si>
  <si>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</si>
  <si>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</si>
  <si>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</si>
  <si>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</si>
  <si>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</si>
  <si>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</si>
  <si>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</si>
  <si>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</si>
  <si>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</si>
  <si>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</si>
  <si>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</si>
  <si>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</si>
  <si>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</si>
  <si>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</si>
  <si>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</si>
  <si>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</si>
  <si>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</si>
  <si>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</si>
  <si>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</si>
  <si>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</si>
  <si>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</si>
  <si>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</si>
  <si>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</si>
  <si>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</si>
  <si>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</si>
  <si>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</si>
  <si>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</si>
  <si>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</si>
  <si>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</si>
  <si>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</si>
  <si>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</si>
  <si>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</si>
  <si>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</si>
  <si>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</si>
  <si>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</si>
  <si>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</si>
  <si>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</si>
  <si>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</si>
  <si>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</si>
  <si>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</si>
  <si>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</si>
  <si>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</si>
  <si>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</si>
  <si>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</si>
  <si>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</si>
  <si>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</si>
  <si>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</si>
  <si>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</si>
  <si>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</si>
  <si>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</si>
  <si>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</si>
  <si>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</si>
  <si>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</si>
  <si>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</si>
  <si>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</si>
  <si>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</si>
  <si>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</si>
  <si>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</si>
  <si>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</si>
  <si>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</si>
  <si>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</si>
  <si>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</si>
  <si>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</si>
  <si>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</si>
  <si>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</si>
  <si>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</si>
  <si>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</si>
  <si>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</si>
  <si>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</si>
  <si>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</si>
  <si>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</si>
  <si>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</si>
  <si>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</si>
  <si>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</si>
  <si>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</si>
  <si>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</si>
  <si>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</si>
  <si>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</si>
  <si>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</si>
  <si>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</si>
  <si>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</si>
  <si>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</si>
  <si>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</si>
  <si>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</si>
  <si>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</si>
  <si>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</si>
  <si>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</si>
  <si>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</si>
  <si>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</si>
  <si>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</si>
  <si>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</si>
  <si>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</si>
  <si>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</si>
  <si>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</si>
  <si>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</si>
  <si>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</si>
  <si>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</si>
  <si>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</si>
  <si>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</si>
  <si>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</si>
  <si>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</si>
  <si>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</si>
  <si>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</si>
  <si>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</si>
  <si>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</si>
  <si>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</si>
  <si>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</si>
  <si>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</si>
  <si>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</si>
  <si>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</si>
  <si>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</si>
  <si>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</si>
  <si>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</si>
  <si>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</si>
  <si>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</si>
  <si>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</si>
  <si>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</si>
  <si>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</si>
  <si>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</si>
  <si>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</si>
  <si>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</si>
  <si>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</si>
  <si>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</si>
  <si>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</si>
  <si>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</si>
  <si>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</si>
  <si>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</si>
  <si>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</si>
  <si>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</si>
  <si>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</si>
  <si>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</si>
  <si>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</si>
  <si>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</si>
  <si>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</si>
  <si>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</si>
  <si>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</si>
  <si>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</si>
  <si>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</si>
  <si>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</si>
  <si>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</si>
  <si>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</si>
  <si>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</si>
  <si>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</si>
  <si>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</si>
  <si>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</si>
  <si>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</si>
  <si>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</si>
  <si>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</si>
  <si>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</si>
  <si>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</si>
  <si>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</si>
  <si>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</si>
  <si>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</si>
  <si>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</si>
  <si>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</si>
  <si>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</si>
  <si>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</si>
  <si>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</si>
  <si>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</si>
  <si>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</si>
  <si>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</si>
  <si>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</si>
  <si>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</si>
  <si>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</si>
  <si>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</si>
  <si>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</si>
  <si>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</si>
  <si>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</si>
  <si>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</si>
  <si>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</si>
  <si>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</si>
  <si>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</si>
  <si>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</si>
  <si>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</si>
  <si>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</si>
  <si>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</si>
  <si>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</si>
  <si>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</si>
  <si>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</si>
  <si>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</si>
  <si>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</si>
  <si>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</si>
  <si>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</si>
  <si>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</si>
  <si>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</si>
  <si>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</si>
  <si>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</si>
  <si>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</si>
  <si>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</si>
  <si>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</si>
  <si>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</si>
  <si>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</si>
  <si>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</si>
  <si>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</si>
  <si>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</si>
  <si>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</si>
  <si>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</si>
  <si>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</si>
  <si>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</si>
  <si>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</si>
  <si>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</si>
  <si>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</si>
  <si>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</si>
  <si>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</si>
  <si>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</si>
  <si>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</si>
  <si>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</si>
  <si>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</si>
  <si>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</si>
  <si>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</si>
  <si>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</si>
  <si>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</si>
  <si>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</si>
  <si>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</si>
  <si>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</si>
  <si>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</si>
  <si>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</si>
  <si>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</si>
  <si>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</si>
  <si>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</si>
  <si>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</si>
  <si>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</si>
  <si>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</si>
  <si>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</si>
  <si>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</si>
  <si>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</si>
  <si>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</si>
  <si>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</si>
  <si>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</si>
  <si>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</si>
  <si>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</si>
  <si>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</si>
  <si>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</si>
  <si>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</si>
  <si>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</si>
  <si>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</si>
  <si>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</si>
  <si>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</si>
  <si>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</si>
  <si>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</si>
  <si>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</si>
  <si>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</si>
  <si>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</si>
  <si>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</si>
  <si>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</si>
  <si>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</si>
  <si>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</si>
  <si>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</si>
  <si>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</si>
  <si>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</si>
  <si>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</si>
  <si>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</si>
  <si>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</si>
  <si>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</si>
  <si>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</si>
  <si>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</si>
  <si>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</si>
  <si>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</si>
  <si>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</si>
  <si>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</si>
  <si>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</si>
  <si>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</si>
  <si>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</si>
  <si>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</si>
  <si>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</si>
  <si>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</si>
  <si>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</si>
  <si>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</si>
  <si>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</si>
  <si>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</si>
  <si>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</si>
  <si>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</si>
  <si>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</si>
  <si>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</si>
  <si>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</si>
  <si>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</si>
  <si>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</si>
  <si>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</si>
  <si>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</si>
  <si>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</si>
  <si>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</si>
  <si>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</si>
  <si>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</si>
  <si>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</si>
  <si>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</si>
  <si>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</si>
  <si>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</si>
  <si>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</si>
  <si>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</si>
  <si>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</si>
  <si>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</si>
  <si>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</si>
  <si>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</si>
  <si>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</si>
  <si>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</si>
  <si>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</si>
  <si>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</si>
  <si>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</si>
  <si>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</si>
  <si>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</si>
  <si>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</si>
  <si>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</si>
  <si>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</si>
  <si>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</si>
  <si>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</si>
  <si>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</si>
  <si>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</si>
  <si>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</si>
  <si>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</si>
  <si>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</si>
  <si>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</si>
  <si>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</si>
  <si>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</si>
  <si>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</si>
  <si>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</si>
  <si>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</si>
  <si>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</si>
  <si>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</si>
  <si>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</si>
  <si>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</si>
  <si>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</si>
  <si>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</si>
  <si>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</si>
  <si>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</si>
  <si>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</si>
  <si>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</si>
  <si>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</si>
  <si>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</si>
  <si>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</si>
  <si>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</si>
  <si>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</si>
  <si>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</si>
  <si>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</si>
  <si>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</si>
  <si>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</si>
  <si>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</si>
  <si>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</si>
  <si>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</si>
  <si>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</si>
  <si>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</si>
  <si>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</si>
  <si>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</si>
  <si>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</si>
  <si>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</si>
  <si>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</si>
  <si>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</si>
  <si>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</si>
  <si>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</si>
  <si>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</si>
  <si>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</si>
  <si>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</si>
  <si>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</si>
  <si>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</si>
  <si>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</si>
  <si>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</si>
  <si>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</si>
  <si>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</si>
  <si>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</si>
  <si>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</si>
  <si>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</si>
  <si>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</si>
  <si>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</si>
  <si>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</si>
  <si>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</si>
  <si>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</si>
  <si>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</si>
  <si>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</si>
  <si>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</si>
  <si>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</si>
  <si>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</si>
  <si>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</si>
  <si>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</si>
  <si>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</si>
  <si>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</si>
  <si>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</si>
  <si>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</si>
  <si>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</si>
  <si>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</si>
  <si>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</si>
  <si>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</si>
  <si>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</si>
  <si>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</si>
  <si>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</si>
  <si>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</si>
  <si>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</si>
  <si>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</si>
  <si>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</si>
  <si>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</si>
  <si>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</si>
  <si>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</si>
  <si>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</si>
  <si>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</si>
  <si>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</si>
  <si>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</si>
  <si>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</si>
  <si>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</si>
  <si>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</si>
  <si>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</si>
  <si>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</si>
  <si>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</si>
  <si>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</si>
  <si>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</si>
  <si>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</si>
  <si>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</si>
  <si>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</si>
  <si>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</si>
  <si>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</si>
  <si>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</si>
  <si>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</si>
  <si>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</si>
  <si>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</si>
  <si>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</si>
  <si>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</si>
  <si>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</si>
  <si>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</si>
  <si>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</si>
  <si>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</si>
  <si>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</si>
  <si>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</si>
  <si>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</si>
  <si>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</si>
  <si>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</si>
  <si>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</si>
  <si>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</si>
  <si>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</si>
  <si>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</si>
  <si>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</si>
  <si>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</si>
  <si>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</si>
  <si>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</si>
  <si>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</si>
  <si>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</si>
  <si>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</si>
  <si>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</si>
  <si>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</si>
  <si>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</si>
  <si>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Rifal Range Road</t>
  </si>
  <si>
    <t>Daim Store</t>
  </si>
  <si>
    <t xml:space="preserve">Ahamd Mart </t>
  </si>
  <si>
    <t>Al Makkah store</t>
  </si>
  <si>
    <t>Hyker Store</t>
  </si>
  <si>
    <t>Khan Store</t>
  </si>
  <si>
    <t xml:space="preserve">Mirch Mahal </t>
  </si>
  <si>
    <t>Ashraf Store</t>
  </si>
  <si>
    <t>Awan Strore</t>
  </si>
  <si>
    <t xml:space="preserve">Best Mart </t>
  </si>
  <si>
    <t xml:space="preserve">Address: Royal Vilas </t>
  </si>
  <si>
    <t>Shamza Bakers</t>
  </si>
  <si>
    <t>Khuja Store</t>
  </si>
  <si>
    <t>Shamza Store</t>
  </si>
  <si>
    <t>Shabir Store</t>
  </si>
  <si>
    <t>Address: Peer Colony</t>
  </si>
  <si>
    <t>Rehmat Store</t>
  </si>
  <si>
    <t xml:space="preserve">Shehraz Baekrs </t>
  </si>
  <si>
    <t>Noor store</t>
  </si>
  <si>
    <t>Ahmad Store</t>
  </si>
  <si>
    <t>Address: Peer colony</t>
  </si>
  <si>
    <t xml:space="preserve">Kashmir Bakers </t>
  </si>
  <si>
    <t xml:space="preserve">Rana Mart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</si>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</sst>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Q1" sqref="Q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Daim Store</v>
      </c>
      <c r="T3" s="301">
        <f>+'1'!P35</f>
        <v>1350.3157919809323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Ahamd Mart 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Makkah store</v>
      </c>
      <c r="T5" s="301">
        <f>+'3'!P35</f>
        <v>3985.6059286493642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Hyker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126</v>
      </c>
      <c r="I7" s="235">
        <f>(G7*D7)*F7+H7*F7</f>
        <v>6610.2749999999996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570.79200000000003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231.35962499999999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5808.1233749999992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1249.3220338983044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35.287227044491516</v>
      </c>
      <c r="P7" s="310">
        <f>M7+N7+O7</f>
        <v>7092.7326359427952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116</v>
      </c>
      <c r="I8" s="236">
        <f t="shared" ref="I8:I14" si="0">(G8*D8)*F8+H8*F8</f>
        <v>6085.65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528.822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212.99775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5343.83025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1150.1694915254232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32.469998707627113</v>
      </c>
      <c r="P8" s="311">
        <f t="shared" ref="P8:P15" si="2">M8+N8+O8</f>
        <v>6526.4697402330503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Mirch Mahal 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183</v>
      </c>
      <c r="I9" s="236">
        <f t="shared" si="0"/>
        <v>9600.6374999999989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851.99099999999999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336.02231250000006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8412.6241874999996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1814.491525423728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51.13557856461864</v>
      </c>
      <c r="P9" s="311">
        <f t="shared" si="2"/>
        <v>10278.251291488346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Ashraf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102</v>
      </c>
      <c r="I10" s="236">
        <f t="shared" si="0"/>
        <v>7409.28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650.85439999999994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259.32479999999998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6499.1008000000002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1400.3389830508477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39.497198915254238</v>
      </c>
      <c r="P10" s="311">
        <f t="shared" si="2"/>
        <v>7938.9369819661024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Strore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126</v>
      </c>
      <c r="I11" s="236">
        <f t="shared" si="0"/>
        <v>9152.64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848.43520000000001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320.3424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7983.8624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1729.8305084745766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48.568464542372887</v>
      </c>
      <c r="P11" s="311">
        <f t="shared" si="2"/>
        <v>9762.2613730169505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142</v>
      </c>
      <c r="I12" s="236">
        <f t="shared" si="0"/>
        <v>10314.879999999999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941.4144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361.02080000000001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9012.4447999999993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1949.4915254237289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54.80968162711865</v>
      </c>
      <c r="P12" s="311">
        <f t="shared" si="2"/>
        <v>11016.746007050848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Shamza Bakers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Khuja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Shamza Store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Shabir Store</v>
      </c>
      <c r="T15" s="301">
        <f>+'13'!P35</f>
        <v>566.26289570974575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19.875</v>
      </c>
      <c r="H16" s="113">
        <f t="shared" ref="H16:M16" si="3">SUM(H7:H15)</f>
        <v>795</v>
      </c>
      <c r="I16" s="114">
        <f t="shared" si="3"/>
        <v>49173.362499999996</v>
      </c>
      <c r="J16" s="274">
        <f>SUM(J7:J15)</f>
        <v>4392.3089999999993</v>
      </c>
      <c r="K16" s="275">
        <f t="shared" si="3"/>
        <v>1721.0676875000001</v>
      </c>
      <c r="L16" s="276">
        <f t="shared" si="3"/>
        <v>0</v>
      </c>
      <c r="M16" s="232">
        <f t="shared" si="3"/>
        <v>43059.985812499996</v>
      </c>
      <c r="N16" s="233">
        <f>SUM(N7:N15)</f>
        <v>9293.6440677966093</v>
      </c>
      <c r="O16" s="101">
        <f>SUM(O7:O15)</f>
        <v>261.76814940148302</v>
      </c>
      <c r="P16" s="113">
        <f>SUM(P7:P15)</f>
        <v>52615.398029698095</v>
      </c>
      <c r="Q16" s="128">
        <f>SUM(Q7:Q15)</f>
        <v>0</v>
      </c>
      <c r="R16" s="313">
        <v>14</v>
      </c>
      <c r="S16" s="315" t="str">
        <f>+'14'!A6:A6</f>
        <v>Rehmat Store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Shehraz Baekrs 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Noor store</v>
      </c>
      <c r="T18" s="301">
        <f>+'16'!P35</f>
        <v>566.26289570974575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49173.362499999996</v>
      </c>
      <c r="R19" s="299">
        <v>17</v>
      </c>
      <c r="S19" s="300" t="str">
        <f>+'17'!A6:A6</f>
        <v>Ahmad Store</v>
      </c>
      <c r="T19" s="301">
        <f>+'17'!P35</f>
        <v>5401.2631679237284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4392.3089999999993</v>
      </c>
      <c r="R20" s="299">
        <v>18</v>
      </c>
      <c r="S20" s="300" t="str">
        <f>+'18'!A6:A6</f>
        <v xml:space="preserve">Kashmir Bakers </v>
      </c>
      <c r="T20" s="301">
        <f>+'18'!P35</f>
        <v>24280.532056779659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1721.0676875000001</v>
      </c>
      <c r="R21" s="299">
        <v>19</v>
      </c>
      <c r="S21" s="300" t="str">
        <f>+'19'!A6:A6</f>
        <v xml:space="preserve">Rana Mart </v>
      </c>
      <c r="T21" s="301">
        <f>+'19'!P35</f>
        <v>4050.947375942796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43059.985812499996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9293.6440677966093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52353.629880296605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261.76814940148302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52615.398029698088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52615.398029698074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1251.0250000000001</v>
      </c>
      <c r="J25" s="274">
        <f>SUM(J16:J24)</f>
        <v>100.08199999999999</v>
      </c>
      <c r="K25" s="275">
        <f t="shared" si="10"/>
        <v>43.785875000000004</v>
      </c>
      <c r="L25" s="276">
        <f t="shared" si="10"/>
        <v>0</v>
      </c>
      <c r="M25" s="232">
        <f t="shared" si="10"/>
        <v>1107.157125</v>
      </c>
      <c r="N25" s="233">
        <f>SUM(N16:N24)</f>
        <v>236.4406779661017</v>
      </c>
      <c r="O25" s="101">
        <f>SUM(O16:O24)</f>
        <v>6.7179890148305095</v>
      </c>
      <c r="P25" s="234">
        <f>SUM(P16:P24)</f>
        <v>1350.3157919809319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55</v>
      </c>
      <c r="I25" s="114">
        <f t="shared" si="7"/>
        <v>3692.5374999999999</v>
      </c>
      <c r="J25" s="274">
        <f>SUM(J16:J24)</f>
        <v>295.40299999999996</v>
      </c>
      <c r="K25" s="275">
        <f t="shared" si="7"/>
        <v>129.23881250000002</v>
      </c>
      <c r="L25" s="276">
        <f t="shared" si="7"/>
        <v>0</v>
      </c>
      <c r="M25" s="232">
        <f t="shared" si="7"/>
        <v>3267.8956874999999</v>
      </c>
      <c r="N25" s="233">
        <f>SUM(N16:N24)</f>
        <v>697.88135593220341</v>
      </c>
      <c r="O25" s="101">
        <f>SUM(O16:O24)</f>
        <v>19.828885217161016</v>
      </c>
      <c r="P25" s="234">
        <f>SUM(P16:P24)</f>
        <v>3985.6059286493646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3692.5374999999999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295.40299999999996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129.23881250000002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3267.8956874999999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697.88135593220341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3965.7770434322033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19.828885217161016</v>
      </c>
    </row>
    <row r="35" spans="2:16" ht="15.75" customHeight="1" thickBot="1" x14ac:dyDescent="0.4">
      <c r="N35" s="374" t="s">
        <v>88</v>
      </c>
      <c r="O35" s="375"/>
      <c r="P35" s="297">
        <f>+P33+P34</f>
        <v>3985.6059286493642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9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D38"/>
  <sheetViews>
    <sheetView topLeftCell="A4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A1" t="s">
        <v>537</v>
      </c>
    </row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2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360</v>
      </c>
      <c r="I25" s="114">
        <f t="shared" si="7"/>
        <v>22922</v>
      </c>
      <c r="J25" s="274">
        <f>SUM(J16:J24)</f>
        <v>2292.1999999999998</v>
      </c>
      <c r="K25" s="275">
        <f t="shared" si="7"/>
        <v>802.2700000000001</v>
      </c>
      <c r="L25" s="276">
        <f t="shared" si="7"/>
        <v>0</v>
      </c>
      <c r="M25" s="232">
        <f t="shared" si="7"/>
        <v>19827.53</v>
      </c>
      <c r="N25" s="233">
        <f>SUM(N16:N24)</f>
        <v>4332.2033898305081</v>
      </c>
      <c r="O25" s="101">
        <f>SUM(O16:O24)</f>
        <v>120.79866694915253</v>
      </c>
      <c r="P25" s="234">
        <f>SUM(P16:P24)</f>
        <v>24280.532056779659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22922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2292.1999999999998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802.2700000000001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19827.53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4332.2033898305081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24159.733389830508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120.79866694915255</v>
      </c>
    </row>
    <row r="35" spans="2:16" ht="15.75" customHeight="1" thickBot="1" x14ac:dyDescent="0.4">
      <c r="N35" s="374" t="s">
        <v>88</v>
      </c>
      <c r="O35" s="375"/>
      <c r="P35" s="297">
        <f>+P33+P34</f>
        <v>24280.532056779659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3753.0750000000003</v>
      </c>
      <c r="J25" s="274">
        <f>SUM(J16:J24)</f>
        <v>300.24599999999998</v>
      </c>
      <c r="K25" s="275">
        <f t="shared" si="7"/>
        <v>131.35762500000001</v>
      </c>
      <c r="L25" s="276">
        <f t="shared" si="7"/>
        <v>0</v>
      </c>
      <c r="M25" s="232">
        <f t="shared" si="7"/>
        <v>3321.4713750000001</v>
      </c>
      <c r="N25" s="233">
        <f>SUM(N16:N24)</f>
        <v>709.32203389830488</v>
      </c>
      <c r="O25" s="101">
        <f>SUM(O16:O24)</f>
        <v>20.153967044491523</v>
      </c>
      <c r="P25" s="234">
        <f>SUM(P16:P24)</f>
        <v>4050.9473759427965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3753.0750000000003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300.24599999999998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131.35762500000001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3321.4713750000001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709.32203389830488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4030.7934088983047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20.153967044491523</v>
      </c>
    </row>
    <row r="35" spans="2:16" ht="15.75" customHeight="1" thickBot="1" x14ac:dyDescent="0.4">
      <c r="N35" s="374" t="s">
        <v>88</v>
      </c>
      <c r="O35" s="375"/>
      <c r="P35" s="297">
        <f>+P33+P34</f>
        <v>4050.947375942796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IF(B11="Filer",2.5%)</f>
        <v>2.5000000000000001E-2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2026-09-30T08:54:20Z</dcterms:modified>
</cp:coreProperties>
</file>