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08AFF3A5-6E0D-4CA3-B222-599D15D1EE9E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50" l="1"/>
  <c r="O20" i="50" s="1"/>
  <c r="P20" i="50" s="1"/>
  <c r="R20" i="50" s="1"/>
  <c r="M16" i="48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<sst xmlns="http://schemas.openxmlformats.org/spreadsheetml/2006/main" count="3948" uniqueCount="528">
  <si>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</si>
  <si>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</si>
  <si>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</si>
  <si>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</si>
  <si>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</si>
  <si>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</si>
  <si>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</si>
  <si>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</si>
  <si>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</si>
  <si>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</si>
  <si>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</si>
  <si>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</si>
  <si>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</si>
  <si>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</si>
  <si>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</si>
  <si>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</si>
  <si>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</si>
  <si>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</si>
  <si>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</si>
  <si>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</si>
  <si>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</si>
  <si>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</si>
  <si>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</si>
  <si>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</si>
  <si>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</si>
  <si>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</si>
  <si>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</si>
  <si>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</si>
  <si>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</si>
  <si>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</si>
  <si>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</si>
  <si>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</si>
  <si>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</si>
  <si>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</si>
  <si>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</si>
  <si>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</si>
  <si>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</si>
  <si>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</si>
  <si>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</si>
  <si>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</si>
  <si>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</si>
  <si>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</si>
  <si>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</si>
  <si>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</si>
  <si>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</si>
  <si>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</si>
  <si>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</si>
  <si>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</si>
  <si>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</si>
  <si>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</si>
  <si>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</si>
  <si>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</si>
  <si>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</si>
  <si>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</si>
  <si>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</si>
  <si>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</si>
  <si>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</si>
  <si>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</si>
  <si>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</si>
  <si>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</si>
  <si>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</si>
  <si>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</si>
  <si>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</si>
  <si>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</si>
  <si>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</si>
  <si>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</si>
  <si>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</si>
  <si>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</si>
  <si>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</si>
  <si>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</si>
  <si>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</si>
  <si>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</si>
  <si>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</si>
  <si>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</si>
  <si>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</si>
  <si>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</si>
  <si>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</si>
  <si>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</si>
  <si>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</si>
  <si>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</si>
  <si>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</si>
  <si>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</si>
  <si>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</si>
  <si>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</si>
  <si>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</si>
  <si>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</si>
  <si>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</si>
  <si>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</si>
  <si>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</si>
  <si>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</si>
  <si>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</si>
  <si>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</si>
  <si>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</si>
  <si>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</si>
  <si>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</si>
  <si>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</si>
  <si>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</si>
  <si>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</si>
  <si>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</si>
  <si>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</si>
  <si>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</si>
  <si>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</si>
  <si>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</si>
  <si>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</si>
  <si>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</si>
  <si>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</si>
  <si>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</si>
  <si>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</si>
  <si>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</si>
  <si>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</si>
  <si>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</si>
  <si>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</si>
  <si>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</si>
  <si>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</si>
  <si>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</si>
  <si>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</si>
  <si>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</si>
  <si>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</si>
  <si>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</si>
  <si>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</si>
  <si>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</si>
  <si>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</si>
  <si>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</si>
  <si>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</si>
  <si>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</si>
  <si>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</si>
  <si>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</si>
  <si>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</si>
  <si>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</si>
  <si>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</si>
  <si>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</si>
  <si>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</si>
  <si>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</si>
  <si>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</si>
  <si>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</si>
  <si>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</si>
  <si>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</si>
  <si>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</si>
  <si>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</si>
  <si>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</si>
  <si>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</si>
  <si>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</si>
  <si>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</si>
  <si>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</si>
  <si>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</si>
  <si>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</si>
  <si>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</si>
  <si>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</si>
  <si>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</si>
  <si>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</si>
  <si>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</si>
  <si>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</si>
  <si>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</si>
  <si>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</si>
  <si>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</si>
  <si>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</si>
  <si>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</si>
  <si>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</si>
  <si>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</si>
  <si>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</si>
  <si>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</si>
  <si>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</si>
  <si>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</si>
  <si>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</si>
  <si>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</si>
  <si>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</si>
  <si>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</si>
  <si>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</si>
  <si>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</si>
  <si>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</si>
  <si>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</si>
  <si>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</si>
  <si>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</si>
  <si>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</si>
  <si>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</si>
  <si>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</si>
  <si>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</si>
  <si>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</si>
  <si>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</si>
  <si>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</si>
  <si>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</si>
  <si>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</si>
  <si>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</si>
  <si>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</si>
  <si>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</si>
  <si>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</si>
  <si>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</si>
  <si>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</si>
  <si>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</si>
  <si>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</si>
  <si>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</si>
  <si>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</si>
  <si>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</si>
  <si>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</si>
  <si>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</si>
  <si>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</si>
  <si>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</si>
  <si>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</si>
  <si>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</si>
  <si>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</si>
  <si>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</si>
  <si>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</si>
  <si>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</si>
  <si>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</si>
  <si>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</si>
  <si>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</si>
  <si>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</si>
  <si>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</si>
  <si>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</si>
  <si>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</si>
  <si>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</si>
  <si>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</si>
  <si>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</si>
  <si>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</si>
  <si>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</si>
  <si>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</si>
  <si>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</si>
  <si>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</si>
  <si>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</si>
  <si>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</si>
  <si>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</si>
  <si>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</si>
  <si>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</si>
  <si>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</si>
  <si>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</si>
  <si>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</si>
  <si>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</si>
  <si>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</si>
  <si>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</si>
  <si>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</si>
  <si>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</si>
  <si>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</si>
  <si>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</si>
  <si>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</si>
  <si>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</si>
  <si>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</si>
  <si>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</si>
  <si>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</si>
  <si>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</si>
  <si>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</si>
  <si>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</si>
  <si>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</si>
  <si>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</si>
  <si>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</si>
  <si>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</si>
  <si>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</si>
  <si>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</si>
  <si>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</si>
  <si>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</si>
  <si>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</si>
  <si>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</si>
  <si>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</si>
  <si>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</si>
  <si>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</si>
  <si>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</si>
  <si>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</si>
  <si>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</si>
  <si>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</si>
  <si>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</si>
  <si>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</si>
  <si>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</si>
  <si>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</si>
  <si>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</si>
  <si>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</si>
  <si>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</si>
  <si>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</si>
  <si>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</si>
  <si>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</si>
  <si>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</si>
  <si>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</si>
  <si>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</si>
  <si>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</si>
  <si>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</si>
  <si>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</si>
  <si>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</si>
  <si>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</si>
  <si>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</si>
  <si>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</si>
  <si>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</si>
  <si>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</si>
  <si>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</si>
  <si>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</si>
  <si>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</si>
  <si>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</si>
  <si>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</si>
  <si>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</si>
  <si>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</si>
  <si>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</si>
  <si>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</si>
  <si>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</si>
  <si>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</si>
  <si>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</si>
  <si>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</si>
  <si>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</si>
  <si>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</si>
  <si>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</si>
  <si>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</si>
  <si>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</si>
  <si>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</si>
  <si>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</si>
  <si>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</si>
  <si>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</si>
  <si>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</si>
  <si>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</si>
  <si>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</si>
  <si>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</si>
  <si>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</si>
  <si>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</si>
  <si>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</si>
  <si>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</si>
  <si>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</si>
  <si>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</si>
  <si>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</si>
  <si>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</si>
  <si>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</si>
  <si>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</si>
  <si>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</si>
  <si>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</si>
  <si>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</si>
  <si>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</si>
  <si>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</si>
  <si>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</si>
  <si>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</si>
  <si>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</si>
  <si>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</si>
  <si>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</si>
  <si>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</si>
  <si>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</si>
  <si>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</si>
  <si>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</si>
  <si>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</si>
  <si>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</si>
  <si>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</si>
  <si>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</si>
  <si>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</si>
  <si>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</si>
  <si>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</si>
  <si>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</si>
  <si>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</si>
  <si>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</si>
  <si>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</si>
  <si>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</si>
  <si>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</si>
  <si>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</si>
  <si>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</si>
  <si>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</si>
  <si>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</si>
  <si>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</si>
  <si>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</si>
  <si>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</si>
  <si>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</si>
  <si>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</si>
  <si>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</si>
  <si>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</si>
  <si>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</si>
  <si>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</si>
  <si>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</si>
  <si>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</si>
  <si>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</si>
  <si>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</si>
  <si>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</si>
  <si>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</si>
  <si>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</si>
  <si>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</si>
  <si>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</si>
  <si>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</si>
  <si>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</si>
  <si>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</si>
  <si>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</si>
  <si>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</si>
  <si>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</si>
  <si>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</si>
  <si>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</si>
  <si>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</si>
  <si>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</si>
  <si>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</si>
  <si>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</si>
  <si>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</si>
  <si>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</si>
  <si>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</si>
  <si>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</si>
  <si>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</si>
  <si>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</si>
  <si>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</si>
  <si>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</si>
  <si>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</si>
  <si>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</si>
  <si>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</si>
  <si>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</si>
  <si>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</si>
  <si>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</si>
  <si>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</si>
  <si>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</si>
  <si>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</si>
  <si>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</si>
  <si>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</si>
  <si>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</si>
  <si>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</si>
  <si>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</si>
  <si>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</si>
  <si>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</si>
  <si>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</si>
  <si>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</si>
  <si>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</si>
  <si>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</si>
  <si>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</si>
  <si>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</si>
  <si>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</si>
  <si>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</si>
  <si>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</si>
  <si>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</si>
  <si>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</si>
  <si>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</si>
  <si>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</si>
  <si>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</si>
  <si>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</si>
  <si>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</si>
  <si>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</si>
  <si>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</si>
  <si>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</si>
  <si>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</si>
  <si>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</si>
  <si>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</si>
  <si>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</si>
  <si>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</si>
  <si>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</si>
  <si>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</si>
  <si>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</si>
  <si>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</si>
  <si>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</si>
  <si>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</si>
  <si>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</si>
  <si>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</si>
  <si>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</si>
  <si>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</si>
  <si>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</si>
  <si>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</si>
  <si>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</si>
  <si>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</si>
  <si>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</si>
  <si>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</si>
  <si>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</si>
  <si>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</si>
  <si>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</si>
  <si>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</si>
  <si>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</si>
  <si>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</si>
  <si>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</si>
  <si>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</si>
  <si>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</si>
  <si>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</si>
  <si>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</si>
  <si>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</si>
  <si>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</si>
  <si>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</si>
  <si>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</si>
  <si>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</si>
  <si>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</si>
  <si>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</si>
  <si>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</si>
  <si>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</si>
  <si>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</si>
  <si>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</si>
  <si>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</si>
  <si>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</si>
  <si>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</si>
  <si>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</si>
  <si>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</si>
  <si>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</si>
  <si>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</si>
  <si>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</si>
  <si>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</si>
  <si>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</si>
  <si>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</si>
  <si>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</si>
  <si>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</si>
  <si>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</si>
  <si>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</si>
  <si>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</si>
  <si>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</si>
  <si>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</si>
  <si>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</si>
  <si>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</si>
  <si>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</si>
  <si>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</si>
  <si>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</si>
  <si>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</si>
  <si>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</si>
  <si>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</si>
  <si>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</si>
  <si>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</si>
  <si>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</si>
  <si>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</si>
  <si>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</si>
  <si>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</si>
  <si>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</si>
  <si>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</si>
  <si>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</si>
  <si>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</si>
  <si>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</si>
  <si>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</si>
  <si>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</si>
  <si>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</si>
  <si>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</si>
  <si>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</si>
  <si>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</si>
  <si>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</si>
  <si>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</si>
  <si>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</si>
  <si>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</si>
  <si>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</si>
  <si>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</si>
  <si>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</si>
  <si>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Jabbar</t>
  </si>
  <si>
    <t>Atttae Haq</t>
  </si>
  <si>
    <t xml:space="preserve">Address: Sajid Garden </t>
  </si>
  <si>
    <t xml:space="preserve">Joya Mart </t>
  </si>
  <si>
    <t>Chaudry Store</t>
  </si>
  <si>
    <t>Umer Store</t>
  </si>
  <si>
    <t xml:space="preserve">Address: Nazeer Garden </t>
  </si>
  <si>
    <t xml:space="preserve">FGC Mart </t>
  </si>
  <si>
    <t xml:space="preserve">Address: Rehman Garden </t>
  </si>
  <si>
    <t xml:space="preserve">Discount Mart </t>
  </si>
  <si>
    <t>Address: Canal Fort</t>
  </si>
  <si>
    <t xml:space="preserve">Dulce Bakery </t>
  </si>
  <si>
    <t>Hamza Store</t>
  </si>
  <si>
    <t xml:space="preserve">Address: Nazeer  Garden </t>
  </si>
  <si>
    <t>Family Mart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</si>
</sst>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9" workbookViewId="0">
      <selection activeCell="E37" sqref="E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513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46287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Atttae Haq</v>
      </c>
      <c r="T3" s="301">
        <f>+'1'!P35</f>
        <v>9408.6347552542375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Joya Mart </v>
      </c>
      <c r="T4" s="301">
        <f>+'2'!P35</f>
        <v>9408.6347552542375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Chaudry Store</v>
      </c>
      <c r="T5" s="301">
        <f>+'3'!P35</f>
        <v>940.86347552542372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Umer Store</v>
      </c>
      <c r="T6" s="301">
        <f>+'4'!P35</f>
        <v>1359.0309497033895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38</v>
      </c>
      <c r="I7" s="235">
        <f>(G7*D7)*F7+H7*F7</f>
        <v>1993.575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159.48599999999999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69.775125000000003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1764.3138750000001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376.77966101694898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10.705467680084745</v>
      </c>
      <c r="P7" s="310">
        <f>M7+N7+O7</f>
        <v>2151.7990036970341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 xml:space="preserve">FGC Mart </v>
      </c>
      <c r="T7" s="301">
        <f>+'5'!P35</f>
        <v>2265.051582838983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28</v>
      </c>
      <c r="I8" s="236">
        <f t="shared" ref="I8:I14" si="0">(G8*D8)*F8+H8*F8</f>
        <v>1468.95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117.51599999999999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51.413250000000005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1300.0207500000001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277.62711864406771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7.8882393432203379</v>
      </c>
      <c r="P8" s="311">
        <f t="shared" ref="P8:P15" si="2">M8+N8+O8</f>
        <v>1585.5361079872882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 xml:space="preserve">Discount Mart </v>
      </c>
      <c r="T8" s="301">
        <f>+'6'!P35</f>
        <v>3136.2115850847458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38</v>
      </c>
      <c r="I9" s="236">
        <f t="shared" si="0"/>
        <v>1993.575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159.48599999999999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69.775125000000003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1764.3138750000001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376.77966101694898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10.705467680084745</v>
      </c>
      <c r="P9" s="311">
        <f t="shared" si="2"/>
        <v>2151.7990036970341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 xml:space="preserve">Dulce Bakery </v>
      </c>
      <c r="T9" s="301">
        <f>+'7'!P35</f>
        <v>2265.051582838983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179</v>
      </c>
      <c r="I10" s="236">
        <f t="shared" si="0"/>
        <v>13002.56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1040.2048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455.08960000000002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11507.265599999999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2457.4576271186443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69.823616135593227</v>
      </c>
      <c r="P10" s="311">
        <f t="shared" si="2"/>
        <v>14034.546843254237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Hamza Store</v>
      </c>
      <c r="T10" s="301">
        <f>+'8'!P35</f>
        <v>6272.4231701694916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134</v>
      </c>
      <c r="I11" s="236">
        <f t="shared" si="0"/>
        <v>9733.76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778.70079999999996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340.68160000000006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8614.3775999999998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1839.6610169491528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52.27019308474577</v>
      </c>
      <c r="P11" s="311">
        <f t="shared" si="2"/>
        <v>10506.308810033897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Family Mart</v>
      </c>
      <c r="T11" s="301">
        <f>+'9'!P35</f>
        <v>6272.4231701694916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139</v>
      </c>
      <c r="I12" s="236">
        <f t="shared" si="0"/>
        <v>10096.960000000001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807.7568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353.39360000000005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8935.8096000000005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1908.3050847457625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54.220573423728808</v>
      </c>
      <c r="P12" s="311">
        <f t="shared" si="2"/>
        <v>10898.335258169493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13.9</v>
      </c>
      <c r="H16" s="113">
        <f t="shared" ref="H16:M16" si="3">SUM(H7:H15)</f>
        <v>556</v>
      </c>
      <c r="I16" s="114">
        <f t="shared" si="3"/>
        <v>38289.379999999997</v>
      </c>
      <c r="J16" s="274">
        <f>SUM(J7:J15)</f>
        <v>3063.1504</v>
      </c>
      <c r="K16" s="275">
        <f t="shared" si="3"/>
        <v>1340.1283000000003</v>
      </c>
      <c r="L16" s="276">
        <f t="shared" si="3"/>
        <v>0</v>
      </c>
      <c r="M16" s="232">
        <f t="shared" si="3"/>
        <v>33886.101299999995</v>
      </c>
      <c r="N16" s="233">
        <f>SUM(N7:N15)</f>
        <v>7236.610169491526</v>
      </c>
      <c r="O16" s="101">
        <f>SUM(O7:O15)</f>
        <v>205.61355734745763</v>
      </c>
      <c r="P16" s="113">
        <f>SUM(P7:P15)</f>
        <v>41328.325026838982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38289.379999999997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3063.1504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1340.1283000000003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33886.101299999995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7236.610169491526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41122.711469491522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205.61355734745763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41328.325026838982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41328.325026838982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9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7.2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120</v>
      </c>
      <c r="I25" s="114">
        <f t="shared" ref="I25:M25" si="10">SUM(I16:I24)</f>
        <v>8716.7999999999993</v>
      </c>
      <c r="J25" s="274">
        <f>SUM(J16:J24)</f>
        <v>697.34400000000005</v>
      </c>
      <c r="K25" s="275">
        <f t="shared" si="10"/>
        <v>305.08800000000002</v>
      </c>
      <c r="L25" s="276">
        <f t="shared" si="10"/>
        <v>0</v>
      </c>
      <c r="M25" s="232">
        <f t="shared" si="10"/>
        <v>7714.3680000000004</v>
      </c>
      <c r="N25" s="233">
        <f>SUM(N16:N24)</f>
        <v>1647.4576271186443</v>
      </c>
      <c r="O25" s="101">
        <f>SUM(O16:O24)</f>
        <v>46.809128135593227</v>
      </c>
      <c r="P25" s="234">
        <f>SUM(P16:P24)</f>
        <v>9408.6347552542375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8716.7999999999993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697.34400000000005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305.08800000000002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7714.3679999999995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9361.8256271186438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46.80912813559322</v>
      </c>
    </row>
    <row r="35" spans="2:16" ht="15.75" customHeight="1" thickBot="1" x14ac:dyDescent="0.4">
      <c r="N35" s="374" t="s">
        <v>88</v>
      </c>
      <c r="O35" s="375"/>
      <c r="P35" s="297">
        <f>+P33+P34</f>
        <v>9408.6347552542375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120</v>
      </c>
      <c r="I25" s="114">
        <f t="shared" si="7"/>
        <v>8716.7999999999993</v>
      </c>
      <c r="J25" s="274">
        <f>SUM(J16:J24)</f>
        <v>697.34400000000005</v>
      </c>
      <c r="K25" s="275">
        <f t="shared" si="7"/>
        <v>305.08800000000002</v>
      </c>
      <c r="L25" s="276">
        <f t="shared" si="7"/>
        <v>0</v>
      </c>
      <c r="M25" s="232">
        <f t="shared" si="7"/>
        <v>7714.3680000000004</v>
      </c>
      <c r="N25" s="233">
        <f>SUM(N16:N24)</f>
        <v>1647.4576271186443</v>
      </c>
      <c r="O25" s="101">
        <f>SUM(O16:O24)</f>
        <v>46.809128135593227</v>
      </c>
      <c r="P25" s="234">
        <f>SUM(P16:P24)</f>
        <v>9408.6347552542375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8716.7999999999993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697.34400000000005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305.08800000000002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7714.3679999999995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9361.8256271186438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46.80912813559322</v>
      </c>
    </row>
    <row r="35" spans="2:16" ht="15.75" customHeight="1" thickBot="1" x14ac:dyDescent="0.4">
      <c r="N35" s="374" t="s">
        <v>88</v>
      </c>
      <c r="O35" s="375"/>
      <c r="P35" s="297">
        <f>+P33+P34</f>
        <v>9408.6347552542375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8.7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</v>
      </c>
      <c r="I19" s="236">
        <f t="shared" si="0"/>
        <v>290.56</v>
      </c>
      <c r="J19" s="272">
        <f t="shared" si="1"/>
        <v>23.244800000000001</v>
      </c>
      <c r="K19" s="128">
        <f t="shared" si="1"/>
        <v>10.169600000000001</v>
      </c>
      <c r="L19" s="119">
        <f t="shared" si="1"/>
        <v>0</v>
      </c>
      <c r="M19" s="230">
        <f t="shared" si="2"/>
        <v>257.1456</v>
      </c>
      <c r="N19" s="277">
        <f t="shared" si="3"/>
        <v>54.915254237288138</v>
      </c>
      <c r="O19" s="239">
        <f t="shared" si="4"/>
        <v>1.5603042711864408</v>
      </c>
      <c r="P19" s="119">
        <f t="shared" si="5"/>
        <v>313.62115850847459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</v>
      </c>
      <c r="I20" s="236">
        <f t="shared" si="0"/>
        <v>290.56</v>
      </c>
      <c r="J20" s="272">
        <f t="shared" si="1"/>
        <v>23.244800000000001</v>
      </c>
      <c r="K20" s="128">
        <f t="shared" si="1"/>
        <v>10.169600000000001</v>
      </c>
      <c r="L20" s="119">
        <f t="shared" si="1"/>
        <v>0</v>
      </c>
      <c r="M20" s="230">
        <f t="shared" si="2"/>
        <v>257.1456</v>
      </c>
      <c r="N20" s="277">
        <f t="shared" si="3"/>
        <v>54.915254237288138</v>
      </c>
      <c r="O20" s="239">
        <f t="shared" si="4"/>
        <v>1.5603042711864408</v>
      </c>
      <c r="P20" s="119">
        <f t="shared" si="5"/>
        <v>313.62115850847459</v>
      </c>
      <c r="Q20" s="319"/>
      <c r="R20">
        <f>P20/21</f>
        <v>14.934340881355933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</v>
      </c>
      <c r="I21" s="236">
        <f t="shared" si="0"/>
        <v>290.56</v>
      </c>
      <c r="J21" s="272">
        <f t="shared" si="1"/>
        <v>23.244800000000001</v>
      </c>
      <c r="K21" s="128">
        <f t="shared" si="1"/>
        <v>10.169600000000001</v>
      </c>
      <c r="L21" s="119">
        <f t="shared" si="1"/>
        <v>0</v>
      </c>
      <c r="M21" s="230">
        <f t="shared" si="2"/>
        <v>257.1456</v>
      </c>
      <c r="N21" s="277">
        <f t="shared" si="3"/>
        <v>54.915254237288138</v>
      </c>
      <c r="O21" s="239">
        <f t="shared" si="4"/>
        <v>1.5603042711864408</v>
      </c>
      <c r="P21" s="119">
        <f t="shared" si="5"/>
        <v>313.62115850847459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</v>
      </c>
      <c r="I25" s="114">
        <f t="shared" si="7"/>
        <v>871.68000000000006</v>
      </c>
      <c r="J25" s="274">
        <f>SUM(J16:J24)</f>
        <v>69.734400000000008</v>
      </c>
      <c r="K25" s="275">
        <f t="shared" si="7"/>
        <v>30.508800000000001</v>
      </c>
      <c r="L25" s="276">
        <f t="shared" si="7"/>
        <v>0</v>
      </c>
      <c r="M25" s="232">
        <f t="shared" si="7"/>
        <v>771.43679999999995</v>
      </c>
      <c r="N25" s="233">
        <f>SUM(N16:N24)</f>
        <v>164.74576271186442</v>
      </c>
      <c r="O25" s="101">
        <f>SUM(O16:O24)</f>
        <v>4.6809128135593223</v>
      </c>
      <c r="P25" s="234">
        <f>SUM(P16:P24)</f>
        <v>940.86347552542384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871.68000000000006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69.734400000000008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30.508800000000001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771.43680000000006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164.74576271186442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936.18256271186442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4.6809128135593223</v>
      </c>
    </row>
    <row r="35" spans="2:16" ht="15.75" customHeight="1" thickBot="1" x14ac:dyDescent="0.4">
      <c r="N35" s="374" t="s">
        <v>88</v>
      </c>
      <c r="O35" s="375"/>
      <c r="P35" s="297">
        <f>+P33+P34</f>
        <v>940.86347552542372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519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</v>
      </c>
      <c r="I16" s="235">
        <f>(G16*D16)*F16+H16*F16</f>
        <v>419.7</v>
      </c>
      <c r="J16" s="271">
        <f>$I16*S16</f>
        <v>33.576000000000001</v>
      </c>
      <c r="K16" s="127">
        <f>$I16*T16</f>
        <v>14.689500000000001</v>
      </c>
      <c r="L16" s="118">
        <f>$I16*U16</f>
        <v>0</v>
      </c>
      <c r="M16" s="229">
        <f>I16-SUM(J16:L16)</f>
        <v>371.43449999999996</v>
      </c>
      <c r="N16" s="248">
        <f>+(G16*D16+H16)*V16</f>
        <v>79.322033898305051</v>
      </c>
      <c r="O16" s="238">
        <f>(N16+M16)*$O$15</f>
        <v>2.2537826694915251</v>
      </c>
      <c r="P16" s="118">
        <f>M16+N16+O16</f>
        <v>453.01031656779651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</v>
      </c>
      <c r="I17" s="236">
        <f t="shared" ref="I17:I23" si="0">(G17*D17)*F17+H17*F17</f>
        <v>419.7</v>
      </c>
      <c r="J17" s="272">
        <f t="shared" ref="J17:L24" si="1">$I17*S17</f>
        <v>33.576000000000001</v>
      </c>
      <c r="K17" s="128">
        <f>$I17*T17</f>
        <v>14.689500000000001</v>
      </c>
      <c r="L17" s="119">
        <f>$I17*U17</f>
        <v>0</v>
      </c>
      <c r="M17" s="230">
        <f t="shared" ref="M17:M24" si="2">I17-SUM(J17:L17)</f>
        <v>371.43449999999996</v>
      </c>
      <c r="N17" s="277">
        <f t="shared" ref="N17:N24" si="3">+(G17*D17+H17)*V17</f>
        <v>79.322033898305051</v>
      </c>
      <c r="O17" s="239">
        <f t="shared" ref="O17:O24" si="4">(N17+M17)*$O$15</f>
        <v>2.2537826694915251</v>
      </c>
      <c r="P17" s="119">
        <f t="shared" ref="P17:P24" si="5">M17+N17+O17</f>
        <v>453.01031656779651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</v>
      </c>
      <c r="I18" s="236">
        <f t="shared" si="0"/>
        <v>419.7</v>
      </c>
      <c r="J18" s="272">
        <f t="shared" si="1"/>
        <v>33.576000000000001</v>
      </c>
      <c r="K18" s="128">
        <f t="shared" si="1"/>
        <v>14.689500000000001</v>
      </c>
      <c r="L18" s="119">
        <f t="shared" si="1"/>
        <v>0</v>
      </c>
      <c r="M18" s="230">
        <f t="shared" si="2"/>
        <v>371.43449999999996</v>
      </c>
      <c r="N18" s="277">
        <f t="shared" si="3"/>
        <v>79.322033898305051</v>
      </c>
      <c r="O18" s="239">
        <f t="shared" si="4"/>
        <v>2.2537826694915251</v>
      </c>
      <c r="P18" s="119">
        <f t="shared" si="5"/>
        <v>453.01031656779651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24</v>
      </c>
      <c r="I25" s="114">
        <f t="shared" si="7"/>
        <v>1259.0999999999999</v>
      </c>
      <c r="J25" s="274">
        <f>SUM(J16:J24)</f>
        <v>100.72800000000001</v>
      </c>
      <c r="K25" s="275">
        <f t="shared" si="7"/>
        <v>44.0685</v>
      </c>
      <c r="L25" s="276">
        <f t="shared" si="7"/>
        <v>0</v>
      </c>
      <c r="M25" s="232">
        <f t="shared" si="7"/>
        <v>1114.3035</v>
      </c>
      <c r="N25" s="233">
        <f>SUM(N16:N24)</f>
        <v>237.96610169491515</v>
      </c>
      <c r="O25" s="101">
        <f>SUM(O16:O24)</f>
        <v>6.7613480084745756</v>
      </c>
      <c r="P25" s="234">
        <f>SUM(P16:P24)</f>
        <v>1359.0309497033895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1259.0999999999999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100.72800000000001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44.0685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1114.3034999999998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237.96610169491515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1352.2696016949149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6.7613480084745747</v>
      </c>
    </row>
    <row r="35" spans="2:16" ht="15.75" customHeight="1" thickBot="1" x14ac:dyDescent="0.4">
      <c r="N35" s="374" t="s">
        <v>88</v>
      </c>
      <c r="O35" s="375"/>
      <c r="P35" s="297">
        <f>+P33+P34</f>
        <v>1359.0309497033895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9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521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118">
        <f>M16+N16+O16</f>
        <v>849.39434356461845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si="0"/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119">
        <f t="shared" si="5"/>
        <v>849.39434356461845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73.447500000000019</v>
      </c>
      <c r="L25" s="276">
        <f t="shared" si="7"/>
        <v>0</v>
      </c>
      <c r="M25" s="232">
        <f t="shared" si="7"/>
        <v>1857.1724999999999</v>
      </c>
      <c r="N25" s="233">
        <f>SUM(N16:N24)</f>
        <v>396.61016949152526</v>
      </c>
      <c r="O25" s="101">
        <f>SUM(O16:O24)</f>
        <v>11.268913347457627</v>
      </c>
      <c r="P25" s="234">
        <f>SUM(P16:P24)</f>
        <v>2265.0515828389825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2098.5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167.88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73.447500000000019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1857.1724999999999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2253.7826694915252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74" t="s">
        <v>88</v>
      </c>
      <c r="O35" s="375"/>
      <c r="P35" s="297">
        <f>+P33+P34</f>
        <v>2265.051582838983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232.44799999999998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524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118">
        <f>M16+N16+O16</f>
        <v>849.39434356461845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si="0"/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119">
        <f t="shared" si="5"/>
        <v>849.39434356461845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73.447500000000019</v>
      </c>
      <c r="L25" s="276">
        <f t="shared" si="7"/>
        <v>0</v>
      </c>
      <c r="M25" s="232">
        <f t="shared" si="7"/>
        <v>1857.1724999999999</v>
      </c>
      <c r="N25" s="233">
        <f>SUM(N16:N24)</f>
        <v>396.61016949152526</v>
      </c>
      <c r="O25" s="101">
        <f>SUM(O16:O24)</f>
        <v>11.268913347457627</v>
      </c>
      <c r="P25" s="234">
        <f>SUM(P16:P24)</f>
        <v>2265.0515828389825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2098.5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167.88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73.447500000000019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1857.1724999999999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2253.7826694915252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74" t="s">
        <v>88</v>
      </c>
      <c r="O35" s="375"/>
      <c r="P35" s="297">
        <f>+P33+P34</f>
        <v>2265.051582838983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525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0"/>
        <v>5811.2</v>
      </c>
      <c r="J19" s="272">
        <f t="shared" si="1"/>
        <v>464.89600000000002</v>
      </c>
      <c r="K19" s="128">
        <f t="shared" si="1"/>
        <v>203.39200000000002</v>
      </c>
      <c r="L19" s="119">
        <f t="shared" si="1"/>
        <v>0</v>
      </c>
      <c r="M19" s="230">
        <f t="shared" si="2"/>
        <v>5142.9120000000003</v>
      </c>
      <c r="N19" s="277">
        <f t="shared" si="3"/>
        <v>1098.3050847457628</v>
      </c>
      <c r="O19" s="239">
        <f t="shared" si="4"/>
        <v>31.206085423728815</v>
      </c>
      <c r="P19" s="119">
        <f t="shared" si="5"/>
        <v>6272.4231701694916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464.89600000000002</v>
      </c>
      <c r="K25" s="275">
        <f t="shared" si="7"/>
        <v>203.39200000000002</v>
      </c>
      <c r="L25" s="276">
        <f t="shared" si="7"/>
        <v>0</v>
      </c>
      <c r="M25" s="232">
        <f t="shared" si="7"/>
        <v>5142.9120000000003</v>
      </c>
      <c r="N25" s="233">
        <f>SUM(N16:N24)</f>
        <v>1098.3050847457628</v>
      </c>
      <c r="O25" s="101">
        <f>SUM(O16:O24)</f>
        <v>31.206085423728815</v>
      </c>
      <c r="P25" s="234">
        <f>SUM(P16:P24)</f>
        <v>6272.4231701694916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5811.2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464.89600000000002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203.39200000000002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5142.9120000000003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6241.2170847457628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74" t="s">
        <v>88</v>
      </c>
      <c r="O35" s="375"/>
      <c r="P35" s="297">
        <f>+P33+P34</f>
        <v>6272.4231701694916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18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527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464.89600000000002</v>
      </c>
      <c r="K25" s="275">
        <f t="shared" si="7"/>
        <v>203.39200000000002</v>
      </c>
      <c r="L25" s="276">
        <f t="shared" si="7"/>
        <v>0</v>
      </c>
      <c r="M25" s="232">
        <f t="shared" si="7"/>
        <v>5142.9120000000003</v>
      </c>
      <c r="N25" s="233">
        <f>SUM(N16:N24)</f>
        <v>1098.3050847457628</v>
      </c>
      <c r="O25" s="101">
        <f>SUM(O16:O24)</f>
        <v>31.206085423728815</v>
      </c>
      <c r="P25" s="234">
        <f>SUM(P16:P24)</f>
        <v>6272.4231701694916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5811.2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464.89600000000002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203.39200000000002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5142.9120000000003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6241.2170847457628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74" t="s">
        <v>88</v>
      </c>
      <c r="O35" s="375"/>
      <c r="P35" s="297">
        <f>+P33+P34</f>
        <v>6272.4231701694916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J10" sqref="J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J10" sqref="J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J10" sqref="J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J10" sqref="J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J10" sqref="J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J10" sqref="J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J10" sqref="J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J10" sqref="J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J10" sqref="J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J10" sqref="J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J10" sqref="J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J10" sqref="J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J10" sqref="J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J10" sqref="J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J10" sqref="J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J10" sqref="J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J10" sqref="J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J10" sqref="J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J10" sqref="J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J10" sqref="J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J10" sqref="J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46287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46286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2026-09-21T11:34:20Z</dcterms:modified>
</cp:coreProperties>
</file>