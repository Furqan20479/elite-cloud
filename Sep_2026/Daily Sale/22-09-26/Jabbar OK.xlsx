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A6FD97D-F369-4F0C-806F-C960ACB7ABDE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N23" i="11"/>
  <c r="N14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50" l="1"/>
  <c r="O20" i="50" s="1"/>
  <c r="P20" i="50" s="1"/>
  <c r="R20" i="50" s="1"/>
  <c r="M16" i="48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<sst xmlns="http://schemas.openxmlformats.org/spreadsheetml/2006/main" count="3948" uniqueCount="528">
  <si>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</si>
  <si>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</si>
  <si>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</si>
  <si>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</si>
  <si>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</si>
  <si>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</si>
  <si>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</si>
  <si>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</si>
  <si>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</si>
  <si>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</si>
  <si>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</si>
  <si>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</si>
  <si>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</si>
  <si>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</si>
  <si>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</si>
  <si>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</si>
  <si>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</si>
  <si>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</si>
  <si>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</si>
  <si>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</si>
  <si>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</si>
  <si>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</si>
  <si>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</si>
  <si>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</si>
  <si>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</si>
  <si>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</si>
  <si>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</si>
  <si>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</si>
  <si>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</si>
  <si>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</si>
  <si>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</si>
  <si>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</si>
  <si>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</si>
  <si>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</si>
  <si>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</si>
  <si>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</si>
  <si>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</si>
  <si>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</si>
  <si>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</si>
  <si>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</si>
  <si>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</si>
  <si>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</si>
  <si>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</si>
  <si>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</si>
  <si>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</si>
  <si>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</si>
  <si>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</si>
  <si>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</si>
  <si>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</si>
  <si>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</si>
  <si>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</si>
  <si>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</si>
  <si>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</si>
  <si>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</si>
  <si>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</si>
  <si>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</si>
  <si>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</si>
  <si>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</si>
  <si>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</si>
  <si>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</si>
  <si>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</si>
  <si>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</si>
  <si>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</si>
  <si>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</si>
  <si>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</si>
  <si>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</si>
  <si>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</si>
  <si>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</si>
  <si>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</si>
  <si>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</si>
  <si>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</si>
  <si>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</si>
  <si>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</si>
  <si>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</si>
  <si>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</si>
  <si>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</si>
  <si>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</si>
  <si>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</si>
  <si>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</si>
  <si>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</si>
  <si>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</si>
  <si>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</si>
  <si>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</si>
  <si>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</si>
  <si>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</si>
  <si>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</si>
  <si>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</si>
  <si>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</si>
  <si>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</si>
  <si>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</si>
  <si>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</si>
  <si>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</si>
  <si>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</si>
  <si>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</si>
  <si>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</si>
  <si>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</si>
  <si>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</si>
  <si>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</si>
  <si>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</si>
  <si>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</si>
  <si>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</si>
  <si>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</si>
  <si>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</si>
  <si>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</si>
  <si>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</si>
  <si>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</si>
  <si>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</si>
  <si>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</si>
  <si>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</si>
  <si>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</si>
  <si>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</si>
  <si>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</si>
  <si>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</si>
  <si>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</si>
  <si>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</si>
  <si>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</si>
  <si>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</si>
  <si>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</si>
  <si>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</si>
  <si>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</si>
  <si>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</si>
  <si>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</si>
  <si>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</si>
  <si>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</si>
  <si>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</si>
  <si>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</si>
  <si>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</si>
  <si>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</si>
  <si>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</si>
  <si>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</si>
  <si>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</si>
  <si>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</si>
  <si>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</si>
  <si>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</si>
  <si>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</si>
  <si>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</si>
  <si>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</si>
  <si>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</si>
  <si>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</si>
  <si>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</si>
  <si>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</si>
  <si>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</si>
  <si>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</si>
  <si>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</si>
  <si>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</si>
  <si>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</si>
  <si>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</si>
  <si>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</si>
  <si>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</si>
  <si>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</si>
  <si>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</si>
  <si>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</si>
  <si>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</si>
  <si>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</si>
  <si>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</si>
  <si>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</si>
  <si>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</si>
  <si>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</si>
  <si>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</si>
  <si>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</si>
  <si>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</si>
  <si>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</si>
  <si>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</si>
  <si>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</si>
  <si>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</si>
  <si>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</si>
  <si>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</si>
  <si>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</si>
  <si>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</si>
  <si>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</si>
  <si>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</si>
  <si>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</si>
  <si>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</si>
  <si>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</si>
  <si>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</si>
  <si>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</si>
  <si>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</si>
  <si>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</si>
  <si>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</si>
  <si>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</si>
  <si>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</si>
  <si>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</si>
  <si>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</si>
  <si>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</si>
  <si>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</si>
  <si>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</si>
  <si>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</si>
  <si>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</si>
  <si>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</si>
  <si>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</si>
  <si>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</si>
  <si>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</si>
  <si>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</si>
  <si>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</si>
  <si>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</si>
  <si>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</si>
  <si>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</si>
  <si>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</si>
  <si>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</si>
  <si>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</si>
  <si>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</si>
  <si>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</si>
  <si>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</si>
  <si>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</si>
  <si>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</si>
  <si>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</si>
  <si>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</si>
  <si>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</si>
  <si>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</si>
  <si>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</si>
  <si>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</si>
  <si>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</si>
  <si>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</si>
  <si>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</si>
  <si>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</si>
  <si>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</si>
  <si>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</si>
  <si>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</si>
  <si>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</si>
  <si>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</si>
  <si>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</si>
  <si>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</si>
  <si>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</si>
  <si>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</si>
  <si>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</si>
  <si>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</si>
  <si>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</si>
  <si>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</si>
  <si>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</si>
  <si>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</si>
  <si>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</si>
  <si>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</si>
  <si>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</si>
  <si>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</si>
  <si>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</si>
  <si>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</si>
  <si>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</si>
  <si>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</si>
  <si>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</si>
  <si>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</si>
  <si>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</si>
  <si>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</si>
  <si>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</si>
  <si>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</si>
  <si>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</si>
  <si>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</si>
  <si>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</si>
  <si>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</si>
  <si>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</si>
  <si>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</si>
  <si>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</si>
  <si>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</si>
  <si>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</si>
  <si>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</si>
  <si>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</si>
  <si>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</si>
  <si>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</si>
  <si>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</si>
  <si>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</si>
  <si>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</si>
  <si>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</si>
  <si>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</si>
  <si>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</si>
  <si>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</si>
  <si>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</si>
  <si>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</si>
  <si>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</si>
  <si>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</si>
  <si>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</si>
  <si>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</si>
  <si>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</si>
  <si>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</si>
  <si>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</si>
  <si>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</si>
  <si>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</si>
  <si>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</si>
  <si>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</si>
  <si>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</si>
  <si>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</si>
  <si>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</si>
  <si>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</si>
  <si>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</si>
  <si>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</si>
  <si>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</si>
  <si>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</si>
  <si>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</si>
  <si>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</si>
  <si>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</si>
  <si>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</si>
  <si>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</si>
  <si>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</si>
  <si>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</si>
  <si>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</si>
  <si>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</si>
  <si>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</si>
  <si>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</si>
  <si>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</si>
  <si>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</si>
  <si>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</si>
  <si>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</si>
  <si>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</si>
  <si>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</si>
  <si>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</si>
  <si>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</si>
  <si>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</si>
  <si>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</si>
  <si>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</si>
  <si>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</si>
  <si>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</si>
  <si>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</si>
  <si>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</si>
  <si>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</si>
  <si>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</si>
  <si>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</si>
  <si>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</si>
  <si>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</si>
  <si>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</si>
  <si>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</si>
  <si>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</si>
  <si>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</si>
  <si>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</si>
  <si>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</si>
  <si>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</si>
  <si>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</si>
  <si>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</si>
  <si>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</si>
  <si>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</si>
  <si>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</si>
  <si>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</si>
  <si>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</si>
  <si>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</si>
  <si>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</si>
  <si>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</si>
  <si>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</si>
  <si>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</si>
  <si>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</si>
  <si>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</si>
  <si>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</si>
  <si>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</si>
  <si>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</si>
  <si>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</si>
  <si>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</si>
  <si>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</si>
  <si>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</si>
  <si>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</si>
  <si>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</si>
  <si>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</si>
  <si>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</si>
  <si>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</si>
  <si>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</si>
  <si>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</si>
  <si>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</si>
  <si>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</si>
  <si>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</si>
  <si>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</si>
  <si>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</si>
  <si>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</si>
  <si>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</si>
  <si>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</si>
  <si>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</si>
  <si>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</si>
  <si>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</si>
  <si>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</si>
  <si>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</si>
  <si>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</si>
  <si>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</si>
  <si>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</si>
  <si>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</si>
  <si>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</si>
  <si>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</si>
  <si>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</si>
  <si>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</si>
  <si>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</si>
  <si>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</si>
  <si>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</si>
  <si>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</si>
  <si>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</si>
  <si>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</si>
  <si>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</si>
  <si>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</si>
  <si>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</si>
  <si>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</si>
  <si>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</si>
  <si>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</si>
  <si>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</si>
  <si>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</si>
  <si>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</si>
  <si>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</si>
  <si>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</si>
  <si>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</si>
  <si>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</si>
  <si>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</si>
  <si>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</si>
  <si>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</si>
  <si>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</si>
  <si>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</si>
  <si>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</si>
  <si>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</si>
  <si>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</si>
  <si>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</si>
  <si>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</si>
  <si>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</si>
  <si>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</si>
  <si>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</si>
  <si>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</si>
  <si>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</si>
  <si>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</si>
  <si>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</si>
  <si>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</si>
  <si>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</si>
  <si>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</si>
  <si>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</si>
  <si>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</si>
  <si>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</si>
  <si>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</si>
  <si>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</si>
  <si>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</si>
  <si>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</si>
  <si>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</si>
  <si>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</si>
  <si>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</si>
  <si>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</si>
  <si>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</si>
  <si>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</si>
  <si>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</si>
  <si>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</si>
  <si>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</si>
  <si>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</si>
  <si>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</si>
  <si>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</si>
  <si>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</si>
  <si>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</si>
  <si>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</si>
  <si>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</si>
  <si>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</si>
  <si>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</si>
  <si>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</si>
  <si>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</si>
  <si>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</si>
  <si>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</si>
  <si>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</si>
  <si>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</si>
  <si>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</si>
  <si>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</si>
  <si>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</si>
  <si>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</si>
  <si>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</si>
  <si>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</si>
  <si>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</si>
  <si>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</si>
  <si>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</si>
  <si>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</si>
  <si>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</si>
  <si>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</si>
  <si>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</si>
  <si>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</si>
  <si>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</si>
  <si>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</si>
  <si>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</si>
  <si>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</si>
  <si>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</si>
  <si>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</si>
  <si>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</si>
  <si>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</si>
  <si>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</si>
  <si>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</si>
  <si>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</si>
  <si>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</si>
  <si>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</si>
  <si>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</si>
  <si>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</si>
  <si>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</si>
  <si>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</si>
  <si>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</si>
  <si>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</si>
  <si>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</si>
  <si>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</si>
  <si>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</si>
  <si>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</si>
  <si>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</si>
  <si>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</si>
  <si>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</si>
  <si>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</si>
  <si>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</si>
  <si>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</si>
  <si>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</si>
  <si>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</si>
  <si>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</si>
  <si>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</si>
  <si>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</si>
  <si>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</si>
  <si>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</si>
  <si>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</si>
  <si>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</si>
  <si>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</si>
  <si>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</si>
  <si>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</si>
  <si>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</si>
  <si>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</si>
  <si>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</si>
  <si>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</si>
  <si>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</si>
  <si>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</si>
  <si>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</si>
  <si>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</si>
  <si>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</si>
  <si>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</si>
  <si>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</si>
  <si>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</si>
  <si>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</si>
  <si>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</si>
  <si>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</si>
  <si>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</si>
  <si>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Jabbar</t>
  </si>
  <si>
    <t>Atttae Haq</t>
  </si>
  <si>
    <t xml:space="preserve">Address: Sajid Garden </t>
  </si>
  <si>
    <t xml:space="preserve">Joya Mart </t>
  </si>
  <si>
    <t>Chaudry Store</t>
  </si>
  <si>
    <t>Umer Store</t>
  </si>
  <si>
    <t xml:space="preserve">Address: Nazeer Garden </t>
  </si>
  <si>
    <t xml:space="preserve">FGC Mart </t>
  </si>
  <si>
    <t xml:space="preserve">Address: Rehman Garden </t>
  </si>
  <si>
    <t xml:space="preserve">Discount Mart </t>
  </si>
  <si>
    <t>Address: Canal Fort</t>
  </si>
  <si>
    <t xml:space="preserve">Dulce Bakery </t>
  </si>
  <si>
    <t>Hamza Store</t>
  </si>
  <si>
    <t xml:space="preserve">Address: Nazeer  Garden </t>
  </si>
  <si>
    <t>Family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</si>
</sst>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H7" sqref="H7: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46287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Atttae Haq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Joya Mart </v>
      </c>
      <c r="T4" s="301">
        <f>+'2'!P35</f>
        <v>9408.6347552542375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Chaudry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Umer Store</v>
      </c>
      <c r="T6" s="301">
        <f>+'4'!P35</f>
        <v>1359.0309497033895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38</v>
      </c>
      <c r="I7" s="235">
        <f>(G7*D7)*F7+H7*F7</f>
        <v>1993.575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159.48599999999999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69.775125000000003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1764.3138750000001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376.77966101694898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10.705467680084745</v>
      </c>
      <c r="P7" s="310">
        <f>M7+N7+O7</f>
        <v>2151.7990036970341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FGC Mart </v>
      </c>
      <c r="T7" s="301">
        <f>+'5'!P35</f>
        <v>2265.051582838983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28</v>
      </c>
      <c r="I8" s="236">
        <f t="shared" ref="I8:I14" si="0">(G8*D8)*F8+H8*F8</f>
        <v>1468.95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117.51599999999999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51.413250000000005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1300.0207500000001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277.62711864406771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7.8882393432203379</v>
      </c>
      <c r="P8" s="311">
        <f t="shared" ref="P8:P15" si="2">M8+N8+O8</f>
        <v>1585.5361079872882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Discount Mart </v>
      </c>
      <c r="T8" s="301">
        <f>+'6'!P35</f>
        <v>3136.2115850847458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38</v>
      </c>
      <c r="I9" s="236">
        <f t="shared" si="0"/>
        <v>1993.575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159.48599999999999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69.775125000000003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1764.3138750000001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376.77966101694898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10.705467680084745</v>
      </c>
      <c r="P9" s="311">
        <f t="shared" si="2"/>
        <v>2151.7990036970341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Dulce Bakery </v>
      </c>
      <c r="T9" s="301">
        <f>+'7'!P35</f>
        <v>2265.051582838983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135</v>
      </c>
      <c r="I10" s="236">
        <f t="shared" si="0"/>
        <v>9806.4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784.51199999999994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343.22400000000005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8678.6640000000007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1853.3898305084747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52.660269152542377</v>
      </c>
      <c r="P10" s="311">
        <f t="shared" si="2"/>
        <v>10584.714099661018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44</v>
      </c>
      <c r="R10" s="313">
        <v>8</v>
      </c>
      <c r="S10" s="300" t="str">
        <f>+'8'!A6:A6</f>
        <v>Hamza Store</v>
      </c>
      <c r="T10" s="301">
        <f>+'8'!P35</f>
        <v>6272.4231701694916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90</v>
      </c>
      <c r="I11" s="236">
        <f t="shared" si="0"/>
        <v>6537.6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523.00800000000004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228.81600000000003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5785.7759999999998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1235.593220338983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35.106846101694913</v>
      </c>
      <c r="P11" s="311">
        <f t="shared" si="2"/>
        <v>7056.4760664406776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44</v>
      </c>
      <c r="R11" s="313">
        <v>9</v>
      </c>
      <c r="S11" s="300" t="str">
        <f>+'9'!A6:A6</f>
        <v>Family Mart</v>
      </c>
      <c r="T11" s="301">
        <f>+'9'!P35</f>
        <v>6272.4231701694916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95</v>
      </c>
      <c r="I12" s="236">
        <f t="shared" si="0"/>
        <v>6900.8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552.06399999999996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241.52800000000002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6107.2080000000005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1304.2372881355932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37.057226440677965</v>
      </c>
      <c r="P12" s="311">
        <f t="shared" si="2"/>
        <v>7448.502514576272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44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10.6</v>
      </c>
      <c r="H16" s="113">
        <f t="shared" ref="H16:M16" si="3">SUM(H7:H15)</f>
        <v>424</v>
      </c>
      <c r="I16" s="114">
        <f t="shared" si="3"/>
        <v>28700.899999999998</v>
      </c>
      <c r="J16" s="274">
        <f>SUM(J7:J15)</f>
        <v>2296.0720000000001</v>
      </c>
      <c r="K16" s="275">
        <f t="shared" si="3"/>
        <v>1004.5315000000001</v>
      </c>
      <c r="L16" s="276">
        <f t="shared" si="3"/>
        <v>0</v>
      </c>
      <c r="M16" s="232">
        <f t="shared" si="3"/>
        <v>25400.296499999997</v>
      </c>
      <c r="N16" s="233">
        <f>SUM(N7:N15)</f>
        <v>5424.4067796610161</v>
      </c>
      <c r="O16" s="101">
        <f>SUM(O7:O15)</f>
        <v>154.12351639830507</v>
      </c>
      <c r="P16" s="113">
        <f>SUM(P7:P15)</f>
        <v>30978.826796059322</v>
      </c>
      <c r="Q16" s="128">
        <f>SUM(Q7:Q15)</f>
        <v>132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28700.899999999998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2296.0720000000001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1004.5315000000001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25400.296499999997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5424.4067796610161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30824.703279661015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154.12351639830507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30978.826796059318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30978.826796059322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5" workbookViewId="0">
      <selection activeCell="H19" sqref="H19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>(G19*D19)*F19+H19*F19</f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>+(G19*D19+H19)*V19</f>
        <v>0</v>
      </c>
      <c r="O19" s="239">
        <f t="shared" si="4"/>
        <v>0</v>
      </c>
      <c r="P19" s="119">
        <f t="shared" si="5"/>
        <v>0</v>
      </c>
      <c r="Q19" s="96">
        <v>40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>(G20*D20)*F20+H20*F20</f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>+(G20*D20+H20)*V20</f>
        <v>0</v>
      </c>
      <c r="O20" s="239">
        <f t="shared" si="4"/>
        <v>0</v>
      </c>
      <c r="P20" s="119">
        <f t="shared" si="5"/>
        <v>0</v>
      </c>
      <c r="Q20" s="96">
        <v>40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>(G21*D21)*F21+H21*F21</f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>+(G21*D21+H21)*V21</f>
        <v>0</v>
      </c>
      <c r="O21" s="239">
        <f t="shared" si="4"/>
        <v>0</v>
      </c>
      <c r="P21" s="119">
        <f t="shared" si="5"/>
        <v>0</v>
      </c>
      <c r="Q21" s="96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697.34400000000005</v>
      </c>
      <c r="K25" s="275">
        <f t="shared" si="7"/>
        <v>305.08800000000002</v>
      </c>
      <c r="L25" s="276">
        <f t="shared" si="7"/>
        <v>0</v>
      </c>
      <c r="M25" s="232">
        <f t="shared" si="7"/>
        <v>7714.3680000000004</v>
      </c>
      <c r="N25" s="233">
        <f>SUM(N16:N24)</f>
        <v>1647.4576271186443</v>
      </c>
      <c r="O25" s="101">
        <f>SUM(O16:O24)</f>
        <v>46.809128135593227</v>
      </c>
      <c r="P25" s="234">
        <f>SUM(P16:P24)</f>
        <v>9408.6347552542375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8716.7999999999993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697.34400000000005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305.08800000000002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7714.3679999999995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9361.8256271186438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74" t="s">
        <v>88</v>
      </c>
      <c r="O35" s="375"/>
      <c r="P35" s="297">
        <f>+P33+P34</f>
        <v>9408.6347552542375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96">
        <v>4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96">
        <v>4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96">
        <v>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</v>
      </c>
      <c r="I16" s="235">
        <f>(G16*D16)*F16+H16*F16</f>
        <v>419.7</v>
      </c>
      <c r="J16" s="271">
        <f>$I16*S16</f>
        <v>33.576000000000001</v>
      </c>
      <c r="K16" s="127">
        <f>$I16*T16</f>
        <v>14.689500000000001</v>
      </c>
      <c r="L16" s="118">
        <f>$I16*U16</f>
        <v>0</v>
      </c>
      <c r="M16" s="229">
        <f>I16-SUM(J16:L16)</f>
        <v>371.43449999999996</v>
      </c>
      <c r="N16" s="248">
        <f>+(G16*D16+H16)*V16</f>
        <v>79.322033898305051</v>
      </c>
      <c r="O16" s="238">
        <f>(N16+M16)*$O$15</f>
        <v>2.2537826694915251</v>
      </c>
      <c r="P16" s="118">
        <f>M16+N16+O16</f>
        <v>453.01031656779651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</v>
      </c>
      <c r="I17" s="236">
        <f t="shared" ref="I17:I23" si="0">(G17*D17)*F17+H17*F17</f>
        <v>419.7</v>
      </c>
      <c r="J17" s="272">
        <f t="shared" ref="J17:L24" si="1">$I17*S17</f>
        <v>33.576000000000001</v>
      </c>
      <c r="K17" s="128">
        <f>$I17*T17</f>
        <v>14.689500000000001</v>
      </c>
      <c r="L17" s="119">
        <f>$I17*U17</f>
        <v>0</v>
      </c>
      <c r="M17" s="230">
        <f t="shared" ref="M17:M24" si="2">I17-SUM(J17:L17)</f>
        <v>371.43449999999996</v>
      </c>
      <c r="N17" s="277">
        <f t="shared" ref="N17:N24" si="3">+(G17*D17+H17)*V17</f>
        <v>79.322033898305051</v>
      </c>
      <c r="O17" s="239">
        <f t="shared" ref="O17:O24" si="4">(N17+M17)*$O$15</f>
        <v>2.2537826694915251</v>
      </c>
      <c r="P17" s="119">
        <f t="shared" ref="P17:P24" si="5">M17+N17+O17</f>
        <v>453.01031656779651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</v>
      </c>
      <c r="I18" s="236">
        <f t="shared" si="0"/>
        <v>419.7</v>
      </c>
      <c r="J18" s="272">
        <f t="shared" si="1"/>
        <v>33.576000000000001</v>
      </c>
      <c r="K18" s="128">
        <f t="shared" si="1"/>
        <v>14.689500000000001</v>
      </c>
      <c r="L18" s="119">
        <f t="shared" si="1"/>
        <v>0</v>
      </c>
      <c r="M18" s="230">
        <f t="shared" si="2"/>
        <v>371.43449999999996</v>
      </c>
      <c r="N18" s="277">
        <f t="shared" si="3"/>
        <v>79.322033898305051</v>
      </c>
      <c r="O18" s="239">
        <f t="shared" si="4"/>
        <v>2.2537826694915251</v>
      </c>
      <c r="P18" s="119">
        <f t="shared" si="5"/>
        <v>453.01031656779651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100.72800000000001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1259.0999999999999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100.72800000000001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44.0685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1114.3034999999998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1352.2696016949149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74" t="s">
        <v>88</v>
      </c>
      <c r="O35" s="375"/>
      <c r="P35" s="297">
        <f>+P33+P34</f>
        <v>1359.0309497033895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73.447500000000019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73.447500000000019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464.89600000000002</v>
      </c>
      <c r="K19" s="128">
        <f t="shared" si="1"/>
        <v>203.39200000000002</v>
      </c>
      <c r="L19" s="119">
        <f t="shared" si="1"/>
        <v>0</v>
      </c>
      <c r="M19" s="230">
        <f t="shared" si="2"/>
        <v>5142.9120000000003</v>
      </c>
      <c r="N19" s="277">
        <f t="shared" si="3"/>
        <v>1098.3050847457628</v>
      </c>
      <c r="O19" s="239">
        <f t="shared" si="4"/>
        <v>31.206085423728815</v>
      </c>
      <c r="P19" s="119">
        <f t="shared" si="5"/>
        <v>6272.4231701694916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464.89600000000002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234">
        <f>SUM(P16:P24)</f>
        <v>6272.4231701694916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5811.2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464.89600000000002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203.39200000000002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5142.9120000000003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6241.2170847457628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74" t="s">
        <v>88</v>
      </c>
      <c r="O35" s="375"/>
      <c r="P35" s="297">
        <f>+P33+P34</f>
        <v>6272.4231701694916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18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464.89600000000002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234">
        <f>SUM(P16:P24)</f>
        <v>6272.4231701694916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5811.2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464.89600000000002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203.39200000000002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5142.9120000000003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6241.2170847457628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74" t="s">
        <v>88</v>
      </c>
      <c r="O35" s="375"/>
      <c r="P35" s="297">
        <f>+P33+P34</f>
        <v>6272.4231701694916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J10" sqref="J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46289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46288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2026-09-23T05:14:23Z</dcterms:modified>
</cp:coreProperties>
</file>