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3416668-A588-4B98-B955-E9D2F7BDD2BF}" xr6:coauthVersionLast="47" xr6:coauthVersionMax="47" xr10:uidLastSave="{00000000-0000-0000-0000-000000000000}"/>
  <bookViews>
    <workbookView xWindow="-110" yWindow="-110" windowWidth="19420" windowHeight="10420" tabRatio="948" firstSheet="3" activeTab="11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N23" i="11"/>
  <c r="N14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0" l="1"/>
  <c r="O20" i="50" s="1"/>
  <c r="P20" i="50" s="1"/>
  <c r="R20" i="50" s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<sst xmlns="http://schemas.openxmlformats.org/spreadsheetml/2006/main" count="3948" uniqueCount="528">
  <si>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</si>
  <si>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</si>
  <si>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</si>
  <si>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</si>
  <si>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</si>
  <si>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</si>
  <si>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</si>
  <si>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</si>
  <si>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</si>
  <si>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</si>
  <si>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</si>
  <si>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</si>
  <si>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</si>
  <si>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</si>
  <si>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</si>
  <si>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</si>
  <si>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</si>
  <si>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</si>
  <si>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</si>
  <si>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</si>
  <si>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</si>
  <si>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</si>
  <si>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</si>
  <si>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</si>
  <si>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</si>
  <si>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</si>
  <si>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</si>
  <si>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</si>
  <si>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</si>
  <si>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</si>
  <si>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</si>
  <si>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</si>
  <si>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</si>
  <si>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</si>
  <si>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</si>
  <si>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</si>
  <si>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</si>
  <si>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</si>
  <si>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</si>
  <si>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</si>
  <si>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</si>
  <si>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</si>
  <si>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</si>
  <si>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</si>
  <si>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</si>
  <si>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</si>
  <si>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</si>
  <si>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</si>
  <si>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</si>
  <si>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</si>
  <si>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</si>
  <si>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</si>
  <si>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</si>
  <si>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</si>
  <si>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</si>
  <si>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</si>
  <si>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</si>
  <si>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</si>
  <si>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</si>
  <si>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</si>
  <si>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</si>
  <si>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</si>
  <si>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</si>
  <si>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</si>
  <si>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</si>
  <si>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</si>
  <si>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</si>
  <si>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</si>
  <si>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</si>
  <si>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</si>
  <si>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</si>
  <si>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</si>
  <si>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</si>
  <si>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</si>
  <si>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</si>
  <si>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</si>
  <si>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</si>
  <si>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</si>
  <si>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</si>
  <si>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</si>
  <si>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</si>
  <si>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</si>
  <si>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</si>
  <si>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</si>
  <si>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</si>
  <si>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</si>
  <si>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</si>
  <si>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</si>
  <si>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</si>
  <si>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</si>
  <si>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</si>
  <si>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</si>
  <si>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</si>
  <si>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</si>
  <si>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</si>
  <si>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</si>
  <si>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</si>
  <si>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</si>
  <si>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</si>
  <si>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</si>
  <si>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</si>
  <si>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</si>
  <si>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</si>
  <si>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</si>
  <si>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</si>
  <si>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</si>
  <si>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</si>
  <si>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</si>
  <si>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</si>
  <si>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</si>
  <si>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</si>
  <si>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</si>
  <si>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</si>
  <si>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</si>
  <si>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</si>
  <si>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</si>
  <si>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</si>
  <si>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</si>
  <si>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</si>
  <si>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</si>
  <si>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</si>
  <si>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</si>
  <si>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</si>
  <si>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</si>
  <si>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</si>
  <si>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</si>
  <si>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</si>
  <si>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</si>
  <si>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</si>
  <si>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</si>
  <si>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</si>
  <si>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</si>
  <si>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</si>
  <si>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</si>
  <si>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</si>
  <si>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</si>
  <si>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</si>
  <si>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</si>
  <si>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</si>
  <si>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</si>
  <si>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</si>
  <si>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</si>
  <si>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</si>
  <si>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</si>
  <si>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</si>
  <si>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</si>
  <si>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</si>
  <si>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</si>
  <si>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</si>
  <si>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</si>
  <si>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</si>
  <si>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</si>
  <si>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</si>
  <si>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</si>
  <si>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</si>
  <si>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</si>
  <si>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</si>
  <si>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</si>
  <si>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</si>
  <si>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</si>
  <si>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</si>
  <si>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</si>
  <si>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</si>
  <si>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</si>
  <si>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</si>
  <si>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</si>
  <si>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</si>
  <si>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</si>
  <si>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</si>
  <si>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</si>
  <si>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</si>
  <si>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</si>
  <si>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</si>
  <si>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</si>
  <si>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</si>
  <si>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</si>
  <si>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</si>
  <si>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</si>
  <si>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</si>
  <si>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</si>
  <si>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</si>
  <si>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</si>
  <si>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</si>
  <si>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</si>
  <si>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</si>
  <si>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</si>
  <si>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</si>
  <si>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</si>
  <si>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</si>
  <si>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</si>
  <si>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</si>
  <si>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</si>
  <si>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</si>
  <si>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</si>
  <si>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</si>
  <si>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</si>
  <si>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</si>
  <si>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</si>
  <si>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</si>
  <si>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</si>
  <si>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</si>
  <si>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</si>
  <si>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</si>
  <si>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</si>
  <si>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</si>
  <si>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</si>
  <si>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</si>
  <si>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</si>
  <si>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</si>
  <si>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</si>
  <si>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</si>
  <si>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</si>
  <si>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</si>
  <si>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</si>
  <si>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</si>
  <si>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</si>
  <si>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</si>
  <si>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</si>
  <si>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</si>
  <si>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</si>
  <si>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</si>
  <si>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</si>
  <si>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</si>
  <si>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</si>
  <si>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</si>
  <si>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</si>
  <si>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</si>
  <si>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</si>
  <si>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</si>
  <si>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</si>
  <si>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</si>
  <si>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</si>
  <si>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</si>
  <si>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</si>
  <si>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</si>
  <si>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</si>
  <si>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</si>
  <si>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</si>
  <si>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</si>
  <si>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</si>
  <si>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</si>
  <si>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</si>
  <si>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</si>
  <si>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</si>
  <si>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</si>
  <si>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</si>
  <si>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</si>
  <si>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</si>
  <si>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</si>
  <si>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</si>
  <si>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</si>
  <si>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</si>
  <si>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</si>
  <si>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</si>
  <si>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</si>
  <si>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</si>
  <si>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</si>
  <si>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</si>
  <si>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</si>
  <si>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</si>
  <si>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</si>
  <si>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</si>
  <si>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</si>
  <si>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</si>
  <si>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</si>
  <si>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</si>
  <si>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</si>
  <si>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</si>
  <si>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</si>
  <si>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</si>
  <si>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</si>
  <si>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</si>
  <si>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</si>
  <si>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</si>
  <si>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</si>
  <si>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</si>
  <si>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</si>
  <si>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</si>
  <si>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</si>
  <si>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</si>
  <si>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</si>
  <si>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</si>
  <si>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</si>
  <si>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</si>
  <si>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</si>
  <si>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</si>
  <si>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</si>
  <si>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</si>
  <si>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</si>
  <si>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</si>
  <si>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</si>
  <si>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</si>
  <si>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</si>
  <si>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</si>
  <si>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</si>
  <si>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</si>
  <si>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</si>
  <si>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</si>
  <si>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</si>
  <si>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</si>
  <si>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</si>
  <si>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</si>
  <si>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</si>
  <si>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</si>
  <si>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</si>
  <si>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</si>
  <si>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</si>
  <si>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</si>
  <si>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</si>
  <si>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</si>
  <si>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</si>
  <si>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</si>
  <si>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</si>
  <si>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</si>
  <si>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</si>
  <si>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</si>
  <si>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</si>
  <si>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</si>
  <si>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</si>
  <si>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</si>
  <si>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</si>
  <si>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</si>
  <si>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</si>
  <si>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</si>
  <si>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</si>
  <si>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</si>
  <si>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</si>
  <si>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</si>
  <si>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</si>
  <si>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</si>
  <si>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</si>
  <si>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</si>
  <si>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</si>
  <si>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</si>
  <si>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</si>
  <si>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</si>
  <si>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</si>
  <si>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</si>
  <si>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</si>
  <si>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</si>
  <si>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</si>
  <si>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</si>
  <si>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</si>
  <si>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</si>
  <si>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</si>
  <si>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</si>
  <si>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</si>
  <si>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</si>
  <si>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</si>
  <si>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</si>
  <si>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</si>
  <si>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</si>
  <si>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</si>
  <si>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</si>
  <si>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</si>
  <si>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</si>
  <si>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</si>
  <si>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</si>
  <si>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</si>
  <si>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</si>
  <si>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</si>
  <si>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</si>
  <si>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</si>
  <si>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</si>
  <si>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</si>
  <si>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</si>
  <si>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</si>
  <si>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</si>
  <si>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</si>
  <si>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</si>
  <si>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</si>
  <si>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</si>
  <si>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</si>
  <si>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</si>
  <si>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</si>
  <si>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</si>
  <si>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</si>
  <si>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</si>
  <si>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</si>
  <si>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</si>
  <si>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</si>
  <si>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</si>
  <si>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</si>
  <si>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</si>
  <si>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</si>
  <si>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</si>
  <si>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</si>
  <si>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</si>
  <si>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</si>
  <si>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</si>
  <si>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</si>
  <si>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</si>
  <si>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</si>
  <si>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</si>
  <si>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</si>
  <si>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</si>
  <si>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</si>
  <si>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</si>
  <si>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</si>
  <si>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</si>
  <si>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</si>
  <si>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</si>
  <si>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</si>
  <si>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</si>
  <si>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</si>
  <si>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</si>
  <si>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</si>
  <si>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</si>
  <si>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</si>
  <si>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</si>
  <si>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</si>
  <si>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</si>
  <si>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</si>
  <si>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</si>
  <si>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</si>
  <si>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</si>
  <si>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</si>
  <si>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</si>
  <si>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</si>
  <si>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</si>
  <si>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</si>
  <si>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</si>
  <si>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</si>
  <si>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</si>
  <si>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</si>
  <si>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</si>
  <si>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</si>
  <si>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</si>
  <si>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</si>
  <si>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</si>
  <si>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</si>
  <si>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</si>
  <si>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</si>
  <si>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</si>
  <si>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</si>
  <si>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</si>
  <si>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</si>
  <si>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</si>
  <si>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</si>
  <si>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</si>
  <si>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</si>
  <si>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</si>
  <si>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</si>
  <si>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</si>
  <si>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</si>
  <si>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</si>
  <si>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</si>
  <si>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</si>
  <si>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</si>
  <si>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</si>
  <si>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</si>
  <si>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</si>
  <si>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</si>
  <si>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</si>
  <si>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</si>
  <si>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</si>
  <si>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</si>
  <si>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</si>
  <si>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</si>
  <si>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</si>
  <si>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</si>
  <si>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</si>
  <si>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</si>
  <si>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</si>
  <si>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</si>
  <si>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</si>
  <si>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</si>
  <si>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</si>
  <si>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</si>
  <si>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</si>
  <si>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</si>
  <si>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</si>
  <si>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</si>
  <si>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</si>
  <si>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</si>
  <si>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</si>
  <si>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</si>
  <si>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</si>
  <si>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</si>
  <si>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</si>
  <si>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</si>
  <si>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</si>
  <si>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</si>
  <si>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</si>
  <si>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</si>
  <si>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</si>
  <si>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</si>
  <si>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</si>
  <si>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</si>
  <si>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</si>
  <si>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</si>
  <si>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</si>
  <si>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</si>
  <si>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</si>
  <si>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</si>
  <si>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</si>
  <si>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</si>
  <si>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</si>
  <si>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</si>
  <si>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</si>
  <si>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</si>
  <si>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</si>
  <si>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</si>
  <si>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</si>
  <si>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</si>
  <si>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</si>
  <si>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</si>
  <si>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</si>
  <si>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</si>
  <si>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</si>
  <si>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</si>
  <si>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</si>
  <si>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</si>
  <si>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</si>
  <si>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Atttae Haq</t>
  </si>
  <si>
    <t xml:space="preserve">Address: Sajid Garden </t>
  </si>
  <si>
    <t xml:space="preserve">Joya Mart </t>
  </si>
  <si>
    <t>Chaudry Store</t>
  </si>
  <si>
    <t>Umer Store</t>
  </si>
  <si>
    <t xml:space="preserve">Address: Nazeer Garden </t>
  </si>
  <si>
    <t xml:space="preserve">FGC Mart </t>
  </si>
  <si>
    <t xml:space="preserve">Address: Rehman Garden </t>
  </si>
  <si>
    <t xml:space="preserve">Discount Mart </t>
  </si>
  <si>
    <t>Address: Canal Fort</t>
  </si>
  <si>
    <t xml:space="preserve">Dulce Bakery </t>
  </si>
  <si>
    <t>Hamza Store</t>
  </si>
  <si>
    <t xml:space="preserve">Address: Nazeer  Garden </t>
  </si>
  <si>
    <t>Family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</si>
</sst>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2" sqref="S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Atttae Haq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Joya Mart </v>
      </c>
      <c r="T4" s="301">
        <f>+'2'!P35</f>
        <v>9408.6347552542375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Chaudry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Umer Store</v>
      </c>
      <c r="T6" s="301">
        <f>+'4'!P35</f>
        <v>1359.0309497033895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38</v>
      </c>
      <c r="I7" s="235">
        <f>(G7*D7)*F7+H7*F7</f>
        <v>1993.575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159.48599999999999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69.775125000000003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1764.3138750000001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376.77966101694898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10.705467680084745</v>
      </c>
      <c r="P7" s="310">
        <f>M7+N7+O7</f>
        <v>2151.7990036970341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FGC Mart 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</v>
      </c>
      <c r="I8" s="236">
        <f t="shared" ref="I8:I14" si="0">(G8*D8)*F8+H8*F8</f>
        <v>1468.95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117.51599999999999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51.413250000000005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1300.0207500000001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277.62711864406771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7.8882393432203379</v>
      </c>
      <c r="P8" s="311">
        <f t="shared" ref="P8:P15" si="2">M8+N8+O8</f>
        <v>1585.5361079872882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Discount Mart 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38</v>
      </c>
      <c r="I9" s="236">
        <f t="shared" si="0"/>
        <v>1993.575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159.48599999999999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69.775125000000003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1764.3138750000001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376.77966101694898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10.705467680084745</v>
      </c>
      <c r="P9" s="311">
        <f t="shared" si="2"/>
        <v>2151.7990036970341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Dulce Bakery </v>
      </c>
      <c r="T9" s="301">
        <f>+'7'!P35</f>
        <v>2265.051582838983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135</v>
      </c>
      <c r="I10" s="236">
        <f t="shared" si="0"/>
        <v>9806.4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784.51199999999994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343.22400000000005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8678.6640000000007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1853.3898305084747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52.660269152542377</v>
      </c>
      <c r="P10" s="311">
        <f t="shared" si="2"/>
        <v>10584.714099661018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44</v>
      </c>
      <c r="R10" s="313">
        <v>8</v>
      </c>
      <c r="S10" s="300" t="str">
        <f>+'8'!A6:A6</f>
        <v>Hamza Store</v>
      </c>
      <c r="T10" s="301">
        <f>+'8'!P35</f>
        <v>6272.4231701694916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90</v>
      </c>
      <c r="I11" s="236">
        <f t="shared" si="0"/>
        <v>6537.6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523.00800000000004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228.81600000000003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5785.7759999999998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1235.593220338983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35.106846101694913</v>
      </c>
      <c r="P11" s="311">
        <f t="shared" si="2"/>
        <v>7056.4760664406776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44</v>
      </c>
      <c r="R11" s="313">
        <v>9</v>
      </c>
      <c r="S11" s="300" t="str">
        <f>+'9'!A6:A6</f>
        <v>Family Mart</v>
      </c>
      <c r="T11" s="301">
        <f>+'9'!P35</f>
        <v>6272.4231701694916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95</v>
      </c>
      <c r="I12" s="236">
        <f t="shared" si="0"/>
        <v>6900.8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552.06399999999996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241.52800000000002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6107.2080000000005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1304.2372881355932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37.057226440677965</v>
      </c>
      <c r="P12" s="311">
        <f t="shared" si="2"/>
        <v>7448.502514576272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44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10.6</v>
      </c>
      <c r="H16" s="113">
        <f t="shared" ref="H16:M16" si="3">SUM(H7:H15)</f>
        <v>424</v>
      </c>
      <c r="I16" s="114">
        <f t="shared" si="3"/>
        <v>28700.899999999998</v>
      </c>
      <c r="J16" s="274">
        <f>SUM(J7:J15)</f>
        <v>2296.0720000000001</v>
      </c>
      <c r="K16" s="275">
        <f t="shared" si="3"/>
        <v>1004.5315000000001</v>
      </c>
      <c r="L16" s="276">
        <f t="shared" si="3"/>
        <v>0</v>
      </c>
      <c r="M16" s="232">
        <f t="shared" si="3"/>
        <v>25400.296499999997</v>
      </c>
      <c r="N16" s="233">
        <f>SUM(N7:N15)</f>
        <v>5424.4067796610161</v>
      </c>
      <c r="O16" s="101">
        <f>SUM(O7:O15)</f>
        <v>154.12351639830507</v>
      </c>
      <c r="P16" s="113">
        <f>SUM(P7:P15)</f>
        <v>30978.826796059322</v>
      </c>
      <c r="Q16" s="128">
        <f>SUM(Q7:Q15)</f>
        <v>132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28700.899999999998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2296.0720000000001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1004.5315000000001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25400.296499999997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5424.4067796610161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30824.703279661015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154.12351639830507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30978.826796059318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30978.826796059322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>(G19*D19)*F19+H19*F19</f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>+(G19*D19+H19)*V19</f>
        <v>0</v>
      </c>
      <c r="O19" s="239">
        <f t="shared" si="4"/>
        <v>0</v>
      </c>
      <c r="P19" s="119">
        <f t="shared" si="5"/>
        <v>0</v>
      </c>
      <c r="Q19" s="9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>(G20*D20)*F20+H20*F20</f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>+(G20*D20+H20)*V20</f>
        <v>0</v>
      </c>
      <c r="O20" s="239">
        <f t="shared" si="4"/>
        <v>0</v>
      </c>
      <c r="P20" s="119">
        <f t="shared" si="5"/>
        <v>0</v>
      </c>
      <c r="Q20" s="96">
        <v>40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>(G21*D21)*F21+H21*F21</f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>+(G21*D21+H21)*V21</f>
        <v>0</v>
      </c>
      <c r="O21" s="239">
        <f t="shared" si="4"/>
        <v>0</v>
      </c>
      <c r="P21" s="119">
        <f t="shared" si="5"/>
        <v>0</v>
      </c>
      <c r="Q21" s="9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4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si="0"/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100.72800000000001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topLeftCell="A2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8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J24" sqref="J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0" sqref="J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2026-09-30T08:44:45Z</dcterms:modified>
</cp:coreProperties>
</file>