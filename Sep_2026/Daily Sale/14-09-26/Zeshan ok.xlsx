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60C6664-E100-48F0-9E02-929BAC6435F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1" l="1"/>
  <c r="O17" i="61" s="1"/>
  <c r="P17" i="61" s="1"/>
  <c r="M17" i="60"/>
  <c r="O17" i="60" s="1"/>
  <c r="P17" i="60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<sst xmlns="http://schemas.openxmlformats.org/spreadsheetml/2006/main" count="3948" uniqueCount="536">
  <si>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</si>
  <si>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</si>
  <si>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</si>
  <si>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</si>
  <si>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</si>
  <si>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</si>
  <si>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</si>
  <si>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</si>
  <si>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</si>
  <si>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</si>
  <si>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</si>
  <si>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</si>
  <si>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</si>
  <si>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</si>
  <si>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</si>
  <si>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</si>
  <si>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</si>
  <si>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</si>
  <si>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</si>
  <si>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</si>
  <si>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</si>
  <si>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</si>
  <si>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</si>
  <si>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</si>
  <si>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</si>
  <si>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</si>
  <si>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</si>
  <si>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</si>
  <si>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</si>
  <si>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</si>
  <si>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</si>
  <si>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</si>
  <si>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</si>
  <si>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</si>
  <si>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</si>
  <si>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</si>
  <si>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</si>
  <si>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</si>
  <si>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</si>
  <si>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</si>
  <si>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</si>
  <si>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</si>
  <si>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</si>
  <si>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</si>
  <si>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</si>
  <si>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</si>
  <si>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</si>
  <si>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</si>
  <si>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</si>
  <si>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</si>
  <si>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</si>
  <si>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</si>
  <si>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</si>
  <si>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</si>
  <si>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</si>
  <si>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</si>
  <si>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</si>
  <si>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</si>
  <si>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</si>
  <si>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</si>
  <si>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</si>
  <si>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</si>
  <si>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</si>
  <si>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</si>
  <si>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</si>
  <si>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</si>
  <si>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</si>
  <si>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</si>
  <si>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</si>
  <si>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</si>
  <si>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</si>
  <si>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</si>
  <si>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</si>
  <si>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</si>
  <si>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</si>
  <si>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</si>
  <si>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</si>
  <si>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</si>
  <si>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</si>
  <si>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</si>
  <si>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</si>
  <si>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</si>
  <si>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</si>
  <si>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</si>
  <si>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</si>
  <si>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</si>
  <si>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</si>
  <si>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</si>
  <si>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</si>
  <si>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</si>
  <si>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</si>
  <si>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</si>
  <si>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</si>
  <si>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</si>
  <si>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</si>
  <si>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</si>
  <si>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</si>
  <si>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</si>
  <si>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</si>
  <si>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</si>
  <si>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</si>
  <si>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</si>
  <si>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</si>
  <si>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</si>
  <si>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</si>
  <si>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</si>
  <si>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</si>
  <si>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</si>
  <si>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</si>
  <si>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</si>
  <si>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</si>
  <si>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</si>
  <si>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</si>
  <si>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</si>
  <si>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</si>
  <si>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</si>
  <si>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</si>
  <si>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</si>
  <si>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</si>
  <si>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</si>
  <si>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</si>
  <si>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</si>
  <si>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</si>
  <si>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</si>
  <si>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</si>
  <si>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</si>
  <si>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</si>
  <si>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</si>
  <si>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</si>
  <si>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</si>
  <si>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</si>
  <si>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</si>
  <si>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</si>
  <si>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</si>
  <si>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</si>
  <si>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</si>
  <si>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</si>
  <si>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</si>
  <si>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</si>
  <si>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</si>
  <si>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</si>
  <si>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</si>
  <si>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</si>
  <si>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</si>
  <si>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</si>
  <si>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</si>
  <si>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</si>
  <si>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</si>
  <si>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</si>
  <si>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</si>
  <si>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</si>
  <si>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</si>
  <si>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</si>
  <si>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</si>
  <si>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</si>
  <si>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</si>
  <si>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</si>
  <si>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</si>
  <si>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</si>
  <si>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</si>
  <si>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</si>
  <si>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</si>
  <si>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</si>
  <si>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</si>
  <si>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</si>
  <si>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</si>
  <si>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</si>
  <si>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</si>
  <si>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</si>
  <si>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</si>
  <si>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</si>
  <si>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</si>
  <si>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</si>
  <si>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</si>
  <si>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</si>
  <si>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</si>
  <si>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</si>
  <si>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</si>
  <si>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</si>
  <si>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</si>
  <si>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</si>
  <si>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</si>
  <si>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</si>
  <si>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</si>
  <si>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</si>
  <si>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</si>
  <si>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</si>
  <si>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</si>
  <si>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</si>
  <si>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</si>
  <si>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</si>
  <si>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</si>
  <si>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</si>
  <si>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</si>
  <si>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</si>
  <si>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</si>
  <si>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</si>
  <si>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</si>
  <si>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</si>
  <si>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</si>
  <si>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</si>
  <si>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</si>
  <si>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</si>
  <si>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</si>
  <si>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</si>
  <si>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</si>
  <si>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</si>
  <si>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</si>
  <si>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</si>
  <si>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</si>
  <si>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</si>
  <si>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</si>
  <si>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</si>
  <si>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</si>
  <si>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</si>
  <si>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</si>
  <si>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</si>
  <si>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</si>
  <si>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</si>
  <si>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</si>
  <si>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</si>
  <si>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</si>
  <si>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</si>
  <si>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</si>
  <si>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</si>
  <si>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</si>
  <si>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</si>
  <si>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</si>
  <si>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</si>
  <si>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</si>
  <si>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</si>
  <si>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</si>
  <si>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</si>
  <si>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</si>
  <si>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</si>
  <si>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</si>
  <si>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</si>
  <si>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</si>
  <si>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</si>
  <si>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</si>
  <si>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</si>
  <si>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</si>
  <si>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</si>
  <si>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</si>
  <si>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</si>
  <si>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</si>
  <si>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</si>
  <si>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</si>
  <si>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</si>
  <si>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</si>
  <si>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</si>
  <si>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</si>
  <si>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</si>
  <si>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</si>
  <si>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</si>
  <si>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</si>
  <si>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</si>
  <si>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</si>
  <si>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</si>
  <si>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</si>
  <si>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</si>
  <si>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</si>
  <si>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</si>
  <si>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</si>
  <si>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</si>
  <si>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</si>
  <si>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</si>
  <si>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</si>
  <si>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</si>
  <si>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</si>
  <si>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</si>
  <si>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</si>
  <si>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</si>
  <si>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</si>
  <si>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</si>
  <si>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</si>
  <si>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</si>
  <si>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</si>
  <si>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</si>
  <si>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</si>
  <si>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</si>
  <si>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</si>
  <si>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</si>
  <si>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</si>
  <si>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</si>
  <si>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</si>
  <si>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</si>
  <si>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</si>
  <si>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</si>
  <si>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</si>
  <si>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</si>
  <si>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</si>
  <si>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</si>
  <si>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</si>
  <si>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</si>
  <si>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</si>
  <si>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</si>
  <si>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</si>
  <si>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</si>
  <si>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</si>
  <si>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</si>
  <si>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</si>
  <si>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</si>
  <si>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</si>
  <si>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</si>
  <si>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</si>
  <si>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</si>
  <si>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</si>
  <si>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</si>
  <si>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</si>
  <si>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</si>
  <si>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</si>
  <si>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</si>
  <si>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</si>
  <si>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</si>
  <si>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</si>
  <si>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</si>
  <si>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</si>
  <si>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</si>
  <si>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</si>
  <si>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</si>
  <si>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</si>
  <si>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</si>
  <si>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</si>
  <si>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</si>
  <si>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</si>
  <si>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</si>
  <si>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</si>
  <si>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</si>
  <si>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</si>
  <si>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</si>
  <si>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</si>
  <si>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</si>
  <si>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</si>
  <si>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</si>
  <si>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</si>
  <si>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</si>
  <si>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</si>
  <si>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</si>
  <si>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</si>
  <si>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</si>
  <si>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</si>
  <si>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</si>
  <si>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</si>
  <si>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</si>
  <si>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</si>
  <si>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</si>
  <si>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</si>
  <si>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</si>
  <si>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</si>
  <si>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</si>
  <si>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</si>
  <si>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</si>
  <si>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</si>
  <si>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</si>
  <si>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</si>
  <si>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</si>
  <si>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</si>
  <si>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</si>
  <si>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</si>
  <si>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</si>
  <si>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</si>
  <si>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</si>
  <si>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</si>
  <si>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</si>
  <si>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</si>
  <si>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</si>
  <si>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</si>
  <si>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</si>
  <si>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</si>
  <si>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</si>
  <si>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</si>
  <si>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</si>
  <si>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</si>
  <si>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</si>
  <si>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</si>
  <si>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</si>
  <si>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</si>
  <si>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</si>
  <si>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</si>
  <si>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</si>
  <si>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</si>
  <si>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</si>
  <si>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</si>
  <si>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</si>
  <si>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</si>
  <si>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</si>
  <si>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</si>
  <si>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</si>
  <si>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</si>
  <si>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</si>
  <si>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</si>
  <si>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</si>
  <si>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</si>
  <si>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</si>
  <si>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</si>
  <si>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</si>
  <si>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</si>
  <si>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</si>
  <si>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</si>
  <si>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</si>
  <si>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</si>
  <si>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</si>
  <si>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</si>
  <si>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</si>
  <si>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</si>
  <si>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</si>
  <si>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</si>
  <si>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</si>
  <si>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</si>
  <si>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</si>
  <si>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</si>
  <si>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</si>
  <si>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</si>
  <si>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</si>
  <si>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</si>
  <si>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</si>
  <si>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</si>
  <si>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</si>
  <si>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</si>
  <si>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</si>
  <si>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</si>
  <si>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</si>
  <si>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</si>
  <si>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</si>
  <si>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</si>
  <si>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</si>
  <si>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</si>
  <si>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</si>
  <si>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</si>
  <si>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</si>
  <si>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</si>
  <si>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</si>
  <si>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</si>
  <si>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</si>
  <si>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</si>
  <si>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</si>
  <si>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</si>
  <si>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</si>
  <si>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</si>
  <si>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</si>
  <si>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</si>
  <si>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</si>
  <si>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</si>
  <si>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</si>
  <si>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</si>
  <si>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</si>
  <si>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</si>
  <si>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</si>
  <si>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</si>
  <si>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</si>
  <si>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</si>
  <si>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</si>
  <si>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</si>
  <si>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</si>
  <si>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</si>
  <si>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</si>
  <si>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</si>
  <si>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</si>
  <si>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</si>
  <si>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</si>
  <si>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</si>
  <si>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</si>
  <si>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</si>
  <si>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</si>
  <si>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</si>
  <si>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</si>
  <si>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</si>
  <si>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</si>
  <si>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</si>
  <si>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</si>
  <si>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</si>
  <si>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</si>
  <si>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</si>
  <si>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</si>
  <si>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</si>
  <si>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</si>
  <si>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</si>
  <si>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</si>
  <si>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</si>
  <si>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</si>
  <si>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</si>
  <si>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</si>
  <si>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</si>
  <si>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</si>
  <si>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</si>
  <si>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</si>
  <si>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</si>
  <si>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</si>
  <si>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</si>
  <si>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</si>
  <si>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</si>
  <si>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</si>
  <si>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</si>
  <si>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</si>
  <si>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</si>
  <si>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</si>
  <si>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</si>
  <si>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</si>
  <si>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</si>
  <si>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</si>
  <si>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</si>
  <si>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</si>
  <si>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</si>
  <si>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</si>
  <si>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</si>
  <si>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</si>
  <si>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</si>
  <si>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</si>
  <si>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</si>
  <si>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</si>
  <si>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</si>
  <si>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</si>
  <si>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</si>
  <si>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Fakhir Store</t>
  </si>
  <si>
    <t>Address: Bedian Road</t>
  </si>
  <si>
    <t>Mian Store</t>
  </si>
  <si>
    <t>Bilal Store</t>
  </si>
  <si>
    <t>Jameel Store</t>
  </si>
  <si>
    <t xml:space="preserve">Talha Mart </t>
  </si>
  <si>
    <t>Hamza Store</t>
  </si>
  <si>
    <t>Malik Store</t>
  </si>
  <si>
    <t>786 Store</t>
  </si>
  <si>
    <t>Raza Store</t>
  </si>
  <si>
    <t>Hikma Store</t>
  </si>
  <si>
    <t xml:space="preserve">Address: Wateen Chowk </t>
  </si>
  <si>
    <t>Yaseen Store</t>
  </si>
  <si>
    <t>Nadeem Store</t>
  </si>
  <si>
    <t>Sakuf Store</t>
  </si>
  <si>
    <t>GM Store</t>
  </si>
  <si>
    <t>Luqman Store</t>
  </si>
  <si>
    <t>Iqbal Store</t>
  </si>
  <si>
    <t>Jalal Store</t>
  </si>
  <si>
    <t>Rehman Store</t>
  </si>
  <si>
    <t>MM store</t>
  </si>
  <si>
    <t>The Generation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</si>
</sst>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Fakhir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Mian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Bilal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Jameel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105</v>
      </c>
      <c r="I7" s="235">
        <f>(G7*D7)*F7+H7*F7</f>
        <v>5508.5625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192.7996875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4875.0778124999997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1041.1016949152538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29.580897537076268</v>
      </c>
      <c r="P7" s="310">
        <f>M7+N7+O7</f>
        <v>5945.7604049523297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Talha Mart </v>
      </c>
      <c r="T7" s="301">
        <f>+'5'!P35</f>
        <v>1981.9201349841101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140</v>
      </c>
      <c r="I8" s="236">
        <f t="shared" ref="I8:I14" si="0">(G8*D8)*F8+H8*F8</f>
        <v>7344.75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257.06625000000003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6500.1037500000002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1388.1355932203383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39.441196716101686</v>
      </c>
      <c r="P8" s="311">
        <f t="shared" ref="P8:P15" si="2">M8+N8+O8</f>
        <v>7927.6805399364403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Hamza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110</v>
      </c>
      <c r="I9" s="236">
        <f t="shared" si="0"/>
        <v>5770.875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461.66999999999996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201.98062500000003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5107.2243749999998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1090.6779661016944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30.989511705508473</v>
      </c>
      <c r="P9" s="311">
        <f t="shared" si="2"/>
        <v>6228.8918528072027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Malik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141</v>
      </c>
      <c r="I10" s="236">
        <f t="shared" si="0"/>
        <v>10242.24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819.37920000000008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358.47840000000002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9064.3824000000004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1935.762711864407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55.000725559322028</v>
      </c>
      <c r="P10" s="311">
        <f t="shared" si="2"/>
        <v>11055.14583742373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786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96</v>
      </c>
      <c r="I11" s="236">
        <f t="shared" si="0"/>
        <v>6973.4400000000005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557.87520000000006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244.07040000000003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6171.4944000000005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1317.9661016949153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37.447302508474579</v>
      </c>
      <c r="P11" s="311">
        <f t="shared" si="2"/>
        <v>7526.9078042033898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Raza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101</v>
      </c>
      <c r="I12" s="236">
        <f t="shared" si="0"/>
        <v>7336.64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586.93119999999999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256.7824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6492.9264000000003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1386.6101694915253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39.397682847457624</v>
      </c>
      <c r="P12" s="311">
        <f t="shared" si="2"/>
        <v>7918.9342523389832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Hikma Store</v>
      </c>
      <c r="T12" s="301">
        <f>+'10'!P35</f>
        <v>27281.602172516948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Yaseen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Nadeem Store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Sakuf Store</v>
      </c>
      <c r="T15" s="301">
        <f>+'13'!P35</f>
        <v>5401.2631679237284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18.324999999999999</v>
      </c>
      <c r="H16" s="113">
        <f t="shared" ref="H16:M16" si="3">SUM(H7:H15)</f>
        <v>733</v>
      </c>
      <c r="I16" s="114">
        <f t="shared" si="3"/>
        <v>44745.707499999997</v>
      </c>
      <c r="J16" s="274">
        <f>SUM(J7:J15)</f>
        <v>3532.5805999999998</v>
      </c>
      <c r="K16" s="275">
        <f t="shared" si="3"/>
        <v>1566.0997625000002</v>
      </c>
      <c r="L16" s="276">
        <f t="shared" si="3"/>
        <v>80.029200000000003</v>
      </c>
      <c r="M16" s="232">
        <f t="shared" si="3"/>
        <v>39566.997937500004</v>
      </c>
      <c r="N16" s="233">
        <f>SUM(N7:N15)</f>
        <v>8465.3389830508459</v>
      </c>
      <c r="O16" s="101">
        <f>SUM(O7:O15)</f>
        <v>240.16168460275424</v>
      </c>
      <c r="P16" s="113">
        <f>SUM(P7:P15)</f>
        <v>48272.498605153603</v>
      </c>
      <c r="Q16" s="128">
        <f>SUM(Q7:Q15)</f>
        <v>0</v>
      </c>
      <c r="R16" s="313">
        <v>14</v>
      </c>
      <c r="S16" s="315" t="str">
        <f>+'14'!A6:A6</f>
        <v>Mian Store</v>
      </c>
      <c r="T16" s="301">
        <f>+'14'!P35</f>
        <v>1411.2952132881355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GM Store</v>
      </c>
      <c r="T17" s="301">
        <f>+'15'!P35</f>
        <v>6795.1547485169476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Luqman Store</v>
      </c>
      <c r="T18" s="301">
        <f>+'16'!P35</f>
        <v>283.13144785487287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44745.707499999997</v>
      </c>
      <c r="R19" s="299">
        <v>17</v>
      </c>
      <c r="S19" s="300" t="str">
        <f>+'17'!A6:A6</f>
        <v>Iqbal Store</v>
      </c>
      <c r="T19" s="301">
        <f>+'17'!P35</f>
        <v>283.13144785487287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3532.5805999999998</v>
      </c>
      <c r="R20" s="299">
        <v>18</v>
      </c>
      <c r="S20" s="300" t="str">
        <f>+'18'!A6:A6</f>
        <v>Jalal Store</v>
      </c>
      <c r="T20" s="301">
        <f>+'18'!P35</f>
        <v>283.13144785487287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1646.1289625000002</v>
      </c>
      <c r="R21" s="299">
        <v>19</v>
      </c>
      <c r="S21" s="300" t="str">
        <f>+'19'!A6:A6</f>
        <v>Rehman Store</v>
      </c>
      <c r="T21" s="301">
        <f>+'19'!P35</f>
        <v>283.13144785487287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39566.997937499997</v>
      </c>
      <c r="R22" s="299">
        <v>20</v>
      </c>
      <c r="S22" s="300" t="str">
        <f>+'20'!A6:A6</f>
        <v>MM store</v>
      </c>
      <c r="T22" s="301">
        <f>+'20'!P35</f>
        <v>283.13144785487287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8465.3389830508459</v>
      </c>
      <c r="R23" s="299">
        <v>21</v>
      </c>
      <c r="S23" s="300" t="str">
        <f>+'21'!A6:A6</f>
        <v>The Generation Store</v>
      </c>
      <c r="T23" s="301">
        <f>+'21'!P35</f>
        <v>283.13144785487287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48032.336920550842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240.16168460275424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48272.498605153596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48272.498605153611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35</v>
      </c>
      <c r="I25" s="114">
        <f t="shared" si="7"/>
        <v>1836.1875</v>
      </c>
      <c r="J25" s="274">
        <f>SUM(J16:J24)</f>
        <v>146.89499999999998</v>
      </c>
      <c r="K25" s="275">
        <f t="shared" si="7"/>
        <v>64.266562500000006</v>
      </c>
      <c r="L25" s="276">
        <f t="shared" si="7"/>
        <v>0</v>
      </c>
      <c r="M25" s="232">
        <f t="shared" si="7"/>
        <v>1625.0259375000001</v>
      </c>
      <c r="N25" s="233">
        <f>SUM(N16:N24)</f>
        <v>347.03389830508456</v>
      </c>
      <c r="O25" s="101">
        <f>SUM(O16:O24)</f>
        <v>9.8602991790254233</v>
      </c>
      <c r="P25" s="234">
        <f>SUM(P16:P24)</f>
        <v>1981.9201349841101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1836.1875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146.89499999999998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64.266562500000006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1625.0259375000001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347.03389830508456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1972.0598358050847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9.8602991790254233</v>
      </c>
    </row>
    <row r="35" spans="2:16" ht="15.75" customHeight="1" thickBot="1" x14ac:dyDescent="0.4">
      <c r="N35" s="345" t="s">
        <v>88</v>
      </c>
      <c r="O35" s="346"/>
      <c r="P35" s="297">
        <f>+P33+P34</f>
        <v>1981.9201349841101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25298.300000000003</v>
      </c>
      <c r="J25" s="274">
        <f>SUM(J16:J24)</f>
        <v>1976.788</v>
      </c>
      <c r="K25" s="275">
        <f t="shared" si="7"/>
        <v>885.44050000000016</v>
      </c>
      <c r="L25" s="276">
        <f t="shared" si="7"/>
        <v>80.029200000000003</v>
      </c>
      <c r="M25" s="232">
        <f t="shared" si="7"/>
        <v>22356.042300000001</v>
      </c>
      <c r="N25" s="233">
        <f>SUM(N16:N24)</f>
        <v>4789.8305084745753</v>
      </c>
      <c r="O25" s="101">
        <f>SUM(O16:O24)</f>
        <v>135.72936404237288</v>
      </c>
      <c r="P25" s="234">
        <f>SUM(P16:P24)</f>
        <v>27281.602172516952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25298.300000000003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1976.788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965.4697000000001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22356.042300000001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4789.8305084745753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27145.872808474574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135.72936404237288</v>
      </c>
    </row>
    <row r="35" spans="2:16" ht="15.75" customHeight="1" thickBot="1" x14ac:dyDescent="0.4">
      <c r="N35" s="345" t="s">
        <v>88</v>
      </c>
      <c r="O35" s="346"/>
      <c r="P35" s="297">
        <f>+P33+P34</f>
        <v>27281.602172516948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6295.5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503.64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220.34250000000003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5571.5174999999999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6761.3480084745752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45" t="s">
        <v>88</v>
      </c>
      <c r="O35" s="346"/>
      <c r="P35" s="297">
        <f>+P33+P34</f>
        <v>6795.1547485169476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2026-09-15T03:54:41Z</dcterms:modified>
</cp:coreProperties>
</file>