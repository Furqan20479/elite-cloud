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1A3B23F-AB01-4E0D-857F-FF91D25C024E}" xr6:coauthVersionLast="47" xr6:coauthVersionMax="47" xr10:uidLastSave="{00000000-0000-0000-0000-000000000000}"/>
  <bookViews>
    <workbookView xWindow="-110" yWindow="-110" windowWidth="19420" windowHeight="10420" tabRatio="948" firstSheet="3" activeTab="1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K12" i="62"/>
  <c r="M20" i="47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<sst xmlns="http://schemas.openxmlformats.org/spreadsheetml/2006/main" count="3948" uniqueCount="529">
  <si>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</si>
  <si>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</si>
  <si>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</si>
  <si>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</si>
  <si>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</si>
  <si>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</si>
  <si>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</si>
  <si>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</si>
  <si>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</si>
  <si>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</si>
  <si>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</si>
  <si>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</si>
  <si>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</si>
  <si>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</si>
  <si>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</si>
  <si>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</si>
  <si>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</si>
  <si>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</si>
  <si>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</si>
  <si>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</si>
  <si>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</si>
  <si>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</si>
  <si>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</si>
  <si>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</si>
  <si>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</si>
  <si>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</si>
  <si>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</si>
  <si>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</si>
  <si>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</si>
  <si>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</si>
  <si>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</si>
  <si>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</si>
  <si>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</si>
  <si>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</si>
  <si>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</si>
  <si>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</si>
  <si>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</si>
  <si>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</si>
  <si>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</si>
  <si>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</si>
  <si>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</si>
  <si>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</si>
  <si>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</si>
  <si>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</si>
  <si>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</si>
  <si>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</si>
  <si>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</si>
  <si>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</si>
  <si>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</si>
  <si>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</si>
  <si>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</si>
  <si>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</si>
  <si>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</si>
  <si>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</si>
  <si>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</si>
  <si>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</si>
  <si>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</si>
  <si>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</si>
  <si>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</si>
  <si>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</si>
  <si>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</si>
  <si>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</si>
  <si>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</si>
  <si>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</si>
  <si>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</si>
  <si>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</si>
  <si>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</si>
  <si>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</si>
  <si>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</si>
  <si>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</si>
  <si>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</si>
  <si>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</si>
  <si>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</si>
  <si>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</si>
  <si>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</si>
  <si>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</si>
  <si>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</si>
  <si>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</si>
  <si>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</si>
  <si>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</si>
  <si>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</si>
  <si>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</si>
  <si>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</si>
  <si>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</si>
  <si>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</si>
  <si>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</si>
  <si>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</si>
  <si>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</si>
  <si>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</si>
  <si>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</si>
  <si>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</si>
  <si>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</si>
  <si>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</si>
  <si>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</si>
  <si>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</si>
  <si>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</si>
  <si>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</si>
  <si>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</si>
  <si>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</si>
  <si>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</si>
  <si>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</si>
  <si>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</si>
  <si>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</si>
  <si>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</si>
  <si>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</si>
  <si>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</si>
  <si>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</si>
  <si>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</si>
  <si>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</si>
  <si>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</si>
  <si>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</si>
  <si>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</si>
  <si>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</si>
  <si>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</si>
  <si>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</si>
  <si>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</si>
  <si>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</si>
  <si>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</si>
  <si>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</si>
  <si>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</si>
  <si>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</si>
  <si>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</si>
  <si>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</si>
  <si>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</si>
  <si>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</si>
  <si>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</si>
  <si>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</si>
  <si>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</si>
  <si>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</si>
  <si>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</si>
  <si>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</si>
  <si>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</si>
  <si>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</si>
  <si>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</si>
  <si>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</si>
  <si>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</si>
  <si>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</si>
  <si>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</si>
  <si>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</si>
  <si>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</si>
  <si>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</si>
  <si>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</si>
  <si>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</si>
  <si>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</si>
  <si>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</si>
  <si>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</si>
  <si>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</si>
  <si>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</si>
  <si>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</si>
  <si>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</si>
  <si>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</si>
  <si>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</si>
  <si>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</si>
  <si>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</si>
  <si>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</si>
  <si>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</si>
  <si>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</si>
  <si>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</si>
  <si>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</si>
  <si>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</si>
  <si>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</si>
  <si>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</si>
  <si>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</si>
  <si>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</si>
  <si>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</si>
  <si>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</si>
  <si>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</si>
  <si>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</si>
  <si>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</si>
  <si>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</si>
  <si>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</si>
  <si>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</si>
  <si>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</si>
  <si>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</si>
  <si>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</si>
  <si>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</si>
  <si>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</si>
  <si>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</si>
  <si>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</si>
  <si>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</si>
  <si>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</si>
  <si>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</si>
  <si>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</si>
  <si>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</si>
  <si>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</si>
  <si>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</si>
  <si>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</si>
  <si>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</si>
  <si>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</si>
  <si>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</si>
  <si>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</si>
  <si>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</si>
  <si>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</si>
  <si>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</si>
  <si>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</si>
  <si>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</si>
  <si>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</si>
  <si>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</si>
  <si>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</si>
  <si>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</si>
  <si>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</si>
  <si>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</si>
  <si>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</si>
  <si>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</si>
  <si>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</si>
  <si>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</si>
  <si>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</si>
  <si>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</si>
  <si>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</si>
  <si>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</si>
  <si>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</si>
  <si>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</si>
  <si>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</si>
  <si>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</si>
  <si>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</si>
  <si>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</si>
  <si>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</si>
  <si>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</si>
  <si>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</si>
  <si>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</si>
  <si>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</si>
  <si>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</si>
  <si>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</si>
  <si>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</si>
  <si>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</si>
  <si>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</si>
  <si>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</si>
  <si>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</si>
  <si>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</si>
  <si>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</si>
  <si>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</si>
  <si>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</si>
  <si>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</si>
  <si>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</si>
  <si>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</si>
  <si>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</si>
  <si>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</si>
  <si>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</si>
  <si>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</si>
  <si>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</si>
  <si>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</si>
  <si>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</si>
  <si>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</si>
  <si>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</si>
  <si>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</si>
  <si>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</si>
  <si>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</si>
  <si>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</si>
  <si>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</si>
  <si>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</si>
  <si>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</si>
  <si>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</si>
  <si>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</si>
  <si>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</si>
  <si>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</si>
  <si>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</si>
  <si>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</si>
  <si>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</si>
  <si>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</si>
  <si>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</si>
  <si>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</si>
  <si>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</si>
  <si>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</si>
  <si>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</si>
  <si>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</si>
  <si>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</si>
  <si>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</si>
  <si>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</si>
  <si>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</si>
  <si>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</si>
  <si>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</si>
  <si>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</si>
  <si>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</si>
  <si>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</si>
  <si>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</si>
  <si>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</si>
  <si>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</si>
  <si>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</si>
  <si>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</si>
  <si>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</si>
  <si>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</si>
  <si>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</si>
  <si>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</si>
  <si>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</si>
  <si>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</si>
  <si>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</si>
  <si>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</si>
  <si>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</si>
  <si>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</si>
  <si>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</si>
  <si>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</si>
  <si>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</si>
  <si>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</si>
  <si>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</si>
  <si>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</si>
  <si>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</si>
  <si>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</si>
  <si>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</si>
  <si>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</si>
  <si>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</si>
  <si>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</si>
  <si>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</si>
  <si>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</si>
  <si>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</si>
  <si>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</si>
  <si>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</si>
  <si>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</si>
  <si>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</si>
  <si>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</si>
  <si>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</si>
  <si>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</si>
  <si>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</si>
  <si>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</si>
  <si>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</si>
  <si>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</si>
  <si>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</si>
  <si>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</si>
  <si>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</si>
  <si>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</si>
  <si>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</si>
  <si>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</si>
  <si>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</si>
  <si>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</si>
  <si>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</si>
  <si>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</si>
  <si>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</si>
  <si>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</si>
  <si>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</si>
  <si>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</si>
  <si>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</si>
  <si>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</si>
  <si>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</si>
  <si>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</si>
  <si>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</si>
  <si>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</si>
  <si>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</si>
  <si>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</si>
  <si>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</si>
  <si>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</si>
  <si>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</si>
  <si>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</si>
  <si>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</si>
  <si>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</si>
  <si>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</si>
  <si>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</si>
  <si>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</si>
  <si>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</si>
  <si>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</si>
  <si>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</si>
  <si>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</si>
  <si>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</si>
  <si>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</si>
  <si>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</si>
  <si>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</si>
  <si>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</si>
  <si>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</si>
  <si>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</si>
  <si>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</si>
  <si>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</si>
  <si>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</si>
  <si>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</si>
  <si>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</si>
  <si>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</si>
  <si>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</si>
  <si>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</si>
  <si>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</si>
  <si>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</si>
  <si>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</si>
  <si>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</si>
  <si>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</si>
  <si>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</si>
  <si>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</si>
  <si>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</si>
  <si>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</si>
  <si>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</si>
  <si>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</si>
  <si>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</si>
  <si>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</si>
  <si>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</si>
  <si>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</si>
  <si>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</si>
  <si>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</si>
  <si>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</si>
  <si>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</si>
  <si>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</si>
  <si>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</si>
  <si>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</si>
  <si>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</si>
  <si>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</si>
  <si>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</si>
  <si>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</si>
  <si>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</si>
  <si>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</si>
  <si>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</si>
  <si>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</si>
  <si>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</si>
  <si>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</si>
  <si>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</si>
  <si>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</si>
  <si>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</si>
  <si>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</si>
  <si>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</si>
  <si>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</si>
  <si>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</si>
  <si>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</si>
  <si>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</si>
  <si>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</si>
  <si>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</si>
  <si>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</si>
  <si>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</si>
  <si>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</si>
  <si>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</si>
  <si>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</si>
  <si>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</si>
  <si>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</si>
  <si>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</si>
  <si>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</si>
  <si>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</si>
  <si>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</si>
  <si>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</si>
  <si>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</si>
  <si>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</si>
  <si>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</si>
  <si>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</si>
  <si>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</si>
  <si>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</si>
  <si>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</si>
  <si>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</si>
  <si>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</si>
  <si>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</si>
  <si>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</si>
  <si>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</si>
  <si>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</si>
  <si>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</si>
  <si>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</si>
  <si>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</si>
  <si>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</si>
  <si>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</si>
  <si>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</si>
  <si>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</si>
  <si>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</si>
  <si>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</si>
  <si>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</si>
  <si>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</si>
  <si>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</si>
  <si>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</si>
  <si>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</si>
  <si>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</si>
  <si>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</si>
  <si>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</si>
  <si>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</si>
  <si>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</si>
  <si>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</si>
  <si>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</si>
  <si>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</si>
  <si>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</si>
  <si>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</si>
  <si>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</si>
  <si>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</si>
  <si>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</si>
  <si>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</si>
  <si>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</si>
  <si>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</si>
  <si>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</si>
  <si>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</si>
  <si>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</si>
  <si>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</si>
  <si>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</si>
  <si>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</si>
  <si>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</si>
  <si>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</si>
  <si>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</si>
  <si>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</si>
  <si>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</si>
  <si>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</si>
  <si>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</si>
  <si>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</si>
  <si>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</si>
  <si>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</si>
  <si>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</si>
  <si>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</si>
  <si>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</si>
  <si>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</si>
  <si>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</si>
  <si>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</si>
  <si>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</si>
  <si>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</si>
  <si>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</si>
  <si>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</si>
  <si>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</si>
  <si>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</si>
  <si>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</si>
  <si>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</si>
  <si>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</si>
  <si>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</si>
  <si>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</si>
  <si>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</si>
  <si>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</si>
  <si>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</si>
  <si>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</si>
  <si>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</si>
  <si>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</si>
  <si>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</si>
  <si>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</si>
  <si>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</si>
  <si>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</si>
  <si>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</si>
  <si>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</si>
  <si>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</si>
  <si>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</si>
  <si>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</si>
  <si>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</si>
  <si>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</si>
  <si>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</si>
  <si>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Ali GS</t>
  </si>
  <si>
    <t>Address: Gopal Nagar</t>
  </si>
  <si>
    <t>Sawat Verity Store</t>
  </si>
  <si>
    <t>Malik Teddy Store</t>
  </si>
  <si>
    <t>Punjab Store</t>
  </si>
  <si>
    <t>Husnain Store</t>
  </si>
  <si>
    <t xml:space="preserve">Friends Mart </t>
  </si>
  <si>
    <t>Farooq Khan Store</t>
  </si>
  <si>
    <t>Bismillah GS</t>
  </si>
  <si>
    <t>Address: Gopal Nagar Malkan Wali Gali \</t>
  </si>
  <si>
    <t>Fazle Qadeer Store</t>
  </si>
  <si>
    <t xml:space="preserve">Kashmir Bakery </t>
  </si>
  <si>
    <t>Gujjar Store</t>
  </si>
  <si>
    <t>Address: Gopal Nagar Stree # 1</t>
  </si>
  <si>
    <t xml:space="preserve">Mian Sons Traders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</si>
</sst>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8" activeCellId="1" sqref="S3:S5 S8:S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Ali GS</v>
      </c>
      <c r="T3" s="301">
        <f>+'1'!P35</f>
        <v>2621.8856984720337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Sawat Verity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Malik Teddy Store</v>
      </c>
      <c r="T5" s="301">
        <f>+'3'!P35</f>
        <v>500.75337404745761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Punjab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Husnain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35</v>
      </c>
      <c r="I8" s="236">
        <f t="shared" ref="I8:I14" si="0">(G8*D8)*F8+H8*F8</f>
        <v>1836.1875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146.89499999999998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64.266562500000006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1625.0259375000001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347.03389830508462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9.8602991790254233</v>
      </c>
      <c r="P8" s="311">
        <f t="shared" ref="P8:P15" si="2">M8+N8+O8</f>
        <v>1981.9201349841101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 xml:space="preserve">Friends Mart </v>
      </c>
      <c r="T8" s="301">
        <f>+'6'!P35</f>
        <v>1411.2952132881355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35</v>
      </c>
      <c r="I9" s="236">
        <f t="shared" si="0"/>
        <v>1836.1875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146.89499999999998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64.266562500000006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1625.0259375000001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347.03389830508462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9.8602991790254233</v>
      </c>
      <c r="P9" s="311">
        <f t="shared" si="2"/>
        <v>1981.9201349841101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Farooq Khan Store</v>
      </c>
      <c r="T9" s="301">
        <f>+'7'!P35</f>
        <v>500.75337404745761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46</v>
      </c>
      <c r="I10" s="236">
        <f t="shared" si="0"/>
        <v>3341.44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267.3152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116.95040000000002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2957.1743999999999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631.52542372881362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17.94349911864407</v>
      </c>
      <c r="P10" s="311">
        <f t="shared" si="2"/>
        <v>3606.6433228474575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>Bismillah GS</v>
      </c>
      <c r="T10" s="301">
        <f>+'8'!P35</f>
        <v>5401.2631679237293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56</v>
      </c>
      <c r="I11" s="236">
        <f t="shared" si="0"/>
        <v>4067.84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325.42720000000003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142.37440000000001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3600.0384000000004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768.81355932203394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21.844259796610171</v>
      </c>
      <c r="P11" s="311">
        <f t="shared" si="2"/>
        <v>4390.6962191186449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Fazle Qadeer Store</v>
      </c>
      <c r="T11" s="301">
        <f>+'9'!P35</f>
        <v>2931.3217996131361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56</v>
      </c>
      <c r="I12" s="236">
        <f t="shared" si="0"/>
        <v>4067.84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325.42720000000003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142.37440000000001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3600.0384000000004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768.81355932203394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21.844259796610171</v>
      </c>
      <c r="P12" s="311">
        <f t="shared" si="2"/>
        <v>4390.6962191186449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Kashmir Bakery </v>
      </c>
      <c r="T12" s="301">
        <f>+'10'!P35</f>
        <v>4468.2418543156773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134</v>
      </c>
      <c r="I13" s="236">
        <f t="shared" si="0"/>
        <v>5256.8200000000006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262.84100000000007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183.98870000000005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268.09782000000001</v>
      </c>
      <c r="M13" s="230">
        <f t="shared" si="1"/>
        <v>4541.8924800000004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1022.0338983050842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27.819631891525425</v>
      </c>
      <c r="P13" s="311">
        <f t="shared" si="2"/>
        <v>5591.7460101966099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32</v>
      </c>
      <c r="R13" s="313">
        <v>11</v>
      </c>
      <c r="S13" s="300" t="str">
        <f>+'11'!A6:A6</f>
        <v>Gujjar Store</v>
      </c>
      <c r="T13" s="301">
        <f>+'11'!P35</f>
        <v>1669.1779134915255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Mian Sons Traders </v>
      </c>
      <c r="T14" s="301">
        <f>+'12'!P35</f>
        <v>1001.5067480949152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9.8000000000000007</v>
      </c>
      <c r="H16" s="113">
        <f t="shared" ref="H16:M16" si="3">SUM(H7:H15)</f>
        <v>392</v>
      </c>
      <c r="I16" s="114">
        <f t="shared" si="3"/>
        <v>21980.190000000002</v>
      </c>
      <c r="J16" s="274">
        <f>SUM(J7:J15)</f>
        <v>1600.7106000000001</v>
      </c>
      <c r="K16" s="275">
        <f t="shared" si="3"/>
        <v>769.30665000000022</v>
      </c>
      <c r="L16" s="276">
        <f t="shared" si="3"/>
        <v>268.09782000000001</v>
      </c>
      <c r="M16" s="232">
        <f t="shared" si="3"/>
        <v>19342.074930000002</v>
      </c>
      <c r="N16" s="233">
        <f>SUM(N7:N15)</f>
        <v>4182.7118644067796</v>
      </c>
      <c r="O16" s="101">
        <f>SUM(O7:O15)</f>
        <v>117.62393397203391</v>
      </c>
      <c r="P16" s="113">
        <f>SUM(P7:P15)</f>
        <v>23642.410728378814</v>
      </c>
      <c r="Q16" s="128">
        <f>SUM(Q7:Q15)</f>
        <v>52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21980.190000000002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1600.7106000000001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1037.4044700000002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19342.074930000002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4182.7118644067796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23524.786794406784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117.62393397203391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23642.410728378818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23642.410728378814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ref="I18:I21" si="7">(G18*D18)*F18+H18*F18</f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7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7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7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48</v>
      </c>
      <c r="I25" s="114">
        <f t="shared" ref="I25:M25" si="10">SUM(I16:I24)</f>
        <v>2442.75</v>
      </c>
      <c r="J25" s="274">
        <f>SUM(J16:J24)</f>
        <v>167.17439999999999</v>
      </c>
      <c r="K25" s="275">
        <f t="shared" si="10"/>
        <v>85.496250000000018</v>
      </c>
      <c r="L25" s="276">
        <f t="shared" si="10"/>
        <v>48.017520000000005</v>
      </c>
      <c r="M25" s="232">
        <f t="shared" si="10"/>
        <v>2142.0618300000001</v>
      </c>
      <c r="N25" s="233">
        <f>SUM(N16:N24)</f>
        <v>466.77966101694904</v>
      </c>
      <c r="O25" s="101">
        <f>SUM(O16:O24)</f>
        <v>13.044207455084745</v>
      </c>
      <c r="P25" s="234">
        <f>SUM(P16:P24)</f>
        <v>2621.8856984720337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2442.75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167.17439999999999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133.51377000000002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2142.0618300000001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466.77966101694904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2608.841491016949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13.044207455084745</v>
      </c>
    </row>
    <row r="35" spans="2:16" ht="15.75" customHeight="1" thickBot="1" x14ac:dyDescent="0.4">
      <c r="N35" s="374" t="s">
        <v>88</v>
      </c>
      <c r="O35" s="375"/>
      <c r="P35" s="297">
        <f>+P33+P34</f>
        <v>2621.8856984720337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D23" sqref="D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G22" sqref="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1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1307.52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104.60160000000002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45.763200000000005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1157.1551999999999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1404.2738440677965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4" t="s">
        <v>88</v>
      </c>
      <c r="O35" s="375"/>
      <c r="P35" s="297">
        <f>+P33+P34</f>
        <v>1411.2952132881355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945.7627118644067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48</v>
      </c>
      <c r="I25" s="114">
        <f t="shared" si="7"/>
        <v>2722.6050000000005</v>
      </c>
      <c r="J25" s="274">
        <f>SUM(J16:J24)</f>
        <v>203.68559999999999</v>
      </c>
      <c r="K25" s="275">
        <f t="shared" si="7"/>
        <v>95.29117500000001</v>
      </c>
      <c r="L25" s="276">
        <f t="shared" si="7"/>
        <v>24.008760000000002</v>
      </c>
      <c r="M25" s="232">
        <f t="shared" si="7"/>
        <v>2399.6194649999998</v>
      </c>
      <c r="N25" s="233">
        <f>SUM(N16:N24)</f>
        <v>517.11864406779659</v>
      </c>
      <c r="O25" s="101">
        <f>SUM(O16:O24)</f>
        <v>14.583690545338982</v>
      </c>
      <c r="P25" s="234">
        <f>SUM(P16:P24)</f>
        <v>2931.3217996131357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2722.6050000000005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203.68559999999999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119.299935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2399.6194650000007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517.11864406779659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2916.7381090677973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14.583690545338987</v>
      </c>
    </row>
    <row r="35" spans="2:16" ht="15.75" customHeight="1" thickBot="1" x14ac:dyDescent="0.4">
      <c r="N35" s="374" t="s">
        <v>88</v>
      </c>
      <c r="O35" s="375"/>
      <c r="P35" s="297">
        <f>+P33+P34</f>
        <v>2931.3217996131361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70</v>
      </c>
      <c r="I25" s="114">
        <f t="shared" si="7"/>
        <v>4145.375</v>
      </c>
      <c r="J25" s="274">
        <f>SUM(J16:J24)</f>
        <v>319.86099999999999</v>
      </c>
      <c r="K25" s="275">
        <f t="shared" si="7"/>
        <v>145.08812500000002</v>
      </c>
      <c r="L25" s="276">
        <f t="shared" si="7"/>
        <v>20.007300000000001</v>
      </c>
      <c r="M25" s="232">
        <f t="shared" si="7"/>
        <v>3660.4185750000001</v>
      </c>
      <c r="N25" s="233">
        <f>SUM(N16:N24)</f>
        <v>785.59322033898275</v>
      </c>
      <c r="O25" s="101">
        <f>SUM(O16:O24)</f>
        <v>22.230058976694913</v>
      </c>
      <c r="P25" s="234">
        <f>SUM(P16:P24)</f>
        <v>4468.2418543156782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4145.375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319.86099999999999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165.09542500000003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3660.4185750000001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785.59322033898275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4446.0117953389827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22.230058976694913</v>
      </c>
    </row>
    <row r="35" spans="2:16" ht="15.75" customHeight="1" thickBot="1" x14ac:dyDescent="0.4">
      <c r="N35" s="374" t="s">
        <v>88</v>
      </c>
      <c r="O35" s="375"/>
      <c r="P35" s="297">
        <f>+P33+P34</f>
        <v>4468.2418543156773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941.5200000000001</v>
      </c>
      <c r="J25" s="274">
        <f>SUM(J16:J24)</f>
        <v>47.076000000000008</v>
      </c>
      <c r="K25" s="275">
        <f t="shared" si="7"/>
        <v>32.95320000000001</v>
      </c>
      <c r="L25" s="276">
        <f t="shared" si="7"/>
        <v>48.017520000000005</v>
      </c>
      <c r="M25" s="232">
        <f t="shared" si="7"/>
        <v>813.47328000000005</v>
      </c>
      <c r="N25" s="233">
        <f>SUM(N16:N24)</f>
        <v>183.05084745762701</v>
      </c>
      <c r="O25" s="101">
        <f>SUM(O16:O24)</f>
        <v>4.982620637288135</v>
      </c>
      <c r="P25" s="234">
        <f>SUM(P16:P24)</f>
        <v>1001.5067480949152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941.5200000000001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47.076000000000008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80.970720000000014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813.47328000000005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996.52412745762706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74" t="s">
        <v>88</v>
      </c>
      <c r="O35" s="375"/>
      <c r="P35" s="297">
        <f>+P33+P34</f>
        <v>1001.5067480949152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2026-09-17T10:50:02Z</dcterms:modified>
</cp:coreProperties>
</file>