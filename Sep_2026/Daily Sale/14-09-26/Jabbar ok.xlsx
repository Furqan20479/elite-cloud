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32F40A9-E1B2-4B28-8C03-2765F2673A4B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7" l="1"/>
  <c r="O21" i="47" s="1"/>
  <c r="P21" i="47" s="1"/>
  <c r="M20" i="47"/>
  <c r="O20" i="47" s="1"/>
  <c r="P20" i="47" s="1"/>
  <c r="R20" i="47" s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<sst xmlns="http://schemas.openxmlformats.org/spreadsheetml/2006/main" count="3948" uniqueCount="524">
  <si>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</si>
  <si>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</si>
  <si>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</si>
  <si>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</si>
  <si>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</si>
  <si>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</si>
  <si>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</si>
  <si>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</si>
  <si>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</si>
  <si>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</si>
  <si>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</si>
  <si>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</si>
  <si>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</si>
  <si>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</si>
  <si>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</si>
  <si>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</si>
  <si>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</si>
  <si>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</si>
  <si>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</si>
  <si>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</si>
  <si>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</si>
  <si>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</si>
  <si>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</si>
  <si>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</si>
  <si>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</si>
  <si>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</si>
  <si>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</si>
  <si>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</si>
  <si>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</si>
  <si>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</si>
  <si>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</si>
  <si>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</si>
  <si>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</si>
  <si>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</si>
  <si>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</si>
  <si>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</si>
  <si>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</si>
  <si>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</si>
  <si>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</si>
  <si>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</si>
  <si>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</si>
  <si>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</si>
  <si>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</si>
  <si>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</si>
  <si>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</si>
  <si>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</si>
  <si>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</si>
  <si>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</si>
  <si>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</si>
  <si>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</si>
  <si>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</si>
  <si>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</si>
  <si>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</si>
  <si>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</si>
  <si>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</si>
  <si>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</si>
  <si>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</si>
  <si>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</si>
  <si>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</si>
  <si>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</si>
  <si>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</si>
  <si>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</si>
  <si>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</si>
  <si>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</si>
  <si>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</si>
  <si>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</si>
  <si>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</si>
  <si>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</si>
  <si>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</si>
  <si>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</si>
  <si>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</si>
  <si>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</si>
  <si>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</si>
  <si>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</si>
  <si>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</si>
  <si>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</si>
  <si>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</si>
  <si>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</si>
  <si>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</si>
  <si>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</si>
  <si>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</si>
  <si>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</si>
  <si>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</si>
  <si>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</si>
  <si>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</si>
  <si>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</si>
  <si>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</si>
  <si>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</si>
  <si>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</si>
  <si>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</si>
  <si>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</si>
  <si>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</si>
  <si>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</si>
  <si>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</si>
  <si>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</si>
  <si>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</si>
  <si>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</si>
  <si>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</si>
  <si>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</si>
  <si>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</si>
  <si>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</si>
  <si>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</si>
  <si>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</si>
  <si>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</si>
  <si>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</si>
  <si>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</si>
  <si>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</si>
  <si>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</si>
  <si>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</si>
  <si>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</si>
  <si>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</si>
  <si>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</si>
  <si>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</si>
  <si>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</si>
  <si>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</si>
  <si>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</si>
  <si>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</si>
  <si>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</si>
  <si>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</si>
  <si>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</si>
  <si>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</si>
  <si>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</si>
  <si>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</si>
  <si>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</si>
  <si>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</si>
  <si>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</si>
  <si>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</si>
  <si>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</si>
  <si>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</si>
  <si>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</si>
  <si>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</si>
  <si>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</si>
  <si>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</si>
  <si>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</si>
  <si>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</si>
  <si>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</si>
  <si>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</si>
  <si>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</si>
  <si>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</si>
  <si>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</si>
  <si>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</si>
  <si>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</si>
  <si>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</si>
  <si>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</si>
  <si>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</si>
  <si>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</si>
  <si>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</si>
  <si>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</si>
  <si>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</si>
  <si>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</si>
  <si>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</si>
  <si>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</si>
  <si>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</si>
  <si>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</si>
  <si>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</si>
  <si>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</si>
  <si>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</si>
  <si>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</si>
  <si>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</si>
  <si>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</si>
  <si>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</si>
  <si>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</si>
  <si>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</si>
  <si>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</si>
  <si>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</si>
  <si>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</si>
  <si>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</si>
  <si>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</si>
  <si>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</si>
  <si>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</si>
  <si>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</si>
  <si>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</si>
  <si>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</si>
  <si>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</si>
  <si>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</si>
  <si>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</si>
  <si>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</si>
  <si>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</si>
  <si>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</si>
  <si>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</si>
  <si>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</si>
  <si>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</si>
  <si>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</si>
  <si>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</si>
  <si>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</si>
  <si>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</si>
  <si>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</si>
  <si>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</si>
  <si>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</si>
  <si>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</si>
  <si>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</si>
  <si>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</si>
  <si>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</si>
  <si>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</si>
  <si>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</si>
  <si>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</si>
  <si>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</si>
  <si>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</si>
  <si>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</si>
  <si>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</si>
  <si>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</si>
  <si>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</si>
  <si>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</si>
  <si>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</si>
  <si>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</si>
  <si>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</si>
  <si>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</si>
  <si>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</si>
  <si>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</si>
  <si>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</si>
  <si>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</si>
  <si>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</si>
  <si>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</si>
  <si>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</si>
  <si>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</si>
  <si>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</si>
  <si>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</si>
  <si>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</si>
  <si>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</si>
  <si>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</si>
  <si>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</si>
  <si>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</si>
  <si>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</si>
  <si>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</si>
  <si>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</si>
  <si>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</si>
  <si>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</si>
  <si>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</si>
  <si>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</si>
  <si>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</si>
  <si>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</si>
  <si>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</si>
  <si>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</si>
  <si>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</si>
  <si>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</si>
  <si>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</si>
  <si>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</si>
  <si>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</si>
  <si>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</si>
  <si>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</si>
  <si>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</si>
  <si>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</si>
  <si>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</si>
  <si>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</si>
  <si>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</si>
  <si>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</si>
  <si>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</si>
  <si>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</si>
  <si>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</si>
  <si>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</si>
  <si>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</si>
  <si>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</si>
  <si>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</si>
  <si>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</si>
  <si>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</si>
  <si>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</si>
  <si>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</si>
  <si>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</si>
  <si>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</si>
  <si>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</si>
  <si>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</si>
  <si>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</si>
  <si>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</si>
  <si>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</si>
  <si>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</si>
  <si>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</si>
  <si>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</si>
  <si>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</si>
  <si>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</si>
  <si>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</si>
  <si>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</si>
  <si>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</si>
  <si>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</si>
  <si>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</si>
  <si>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</si>
  <si>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</si>
  <si>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</si>
  <si>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</si>
  <si>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</si>
  <si>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</si>
  <si>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</si>
  <si>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</si>
  <si>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</si>
  <si>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</si>
  <si>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</si>
  <si>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</si>
  <si>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</si>
  <si>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</si>
  <si>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</si>
  <si>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</si>
  <si>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</si>
  <si>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</si>
  <si>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</si>
  <si>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</si>
  <si>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</si>
  <si>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</si>
  <si>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</si>
  <si>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</si>
  <si>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</si>
  <si>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</si>
  <si>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</si>
  <si>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</si>
  <si>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</si>
  <si>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</si>
  <si>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</si>
  <si>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</si>
  <si>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</si>
  <si>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</si>
  <si>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</si>
  <si>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</si>
  <si>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</si>
  <si>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</si>
  <si>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</si>
  <si>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</si>
  <si>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</si>
  <si>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</si>
  <si>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</si>
  <si>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</si>
  <si>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</si>
  <si>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</si>
  <si>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</si>
  <si>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</si>
  <si>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</si>
  <si>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</si>
  <si>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</si>
  <si>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</si>
  <si>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</si>
  <si>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</si>
  <si>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</si>
  <si>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</si>
  <si>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</si>
  <si>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</si>
  <si>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</si>
  <si>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</si>
  <si>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</si>
  <si>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</si>
  <si>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</si>
  <si>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</si>
  <si>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</si>
  <si>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</si>
  <si>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</si>
  <si>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</si>
  <si>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</si>
  <si>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</si>
  <si>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</si>
  <si>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</si>
  <si>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</si>
  <si>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</si>
  <si>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</si>
  <si>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</si>
  <si>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</si>
  <si>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</si>
  <si>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</si>
  <si>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</si>
  <si>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</si>
  <si>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</si>
  <si>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</si>
  <si>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</si>
  <si>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</si>
  <si>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</si>
  <si>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</si>
  <si>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</si>
  <si>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</si>
  <si>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</si>
  <si>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</si>
  <si>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</si>
  <si>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</si>
  <si>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</si>
  <si>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</si>
  <si>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</si>
  <si>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</si>
  <si>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</si>
  <si>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</si>
  <si>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</si>
  <si>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</si>
  <si>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</si>
  <si>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</si>
  <si>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</si>
  <si>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</si>
  <si>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</si>
  <si>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</si>
  <si>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</si>
  <si>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</si>
  <si>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</si>
  <si>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</si>
  <si>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</si>
  <si>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</si>
  <si>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</si>
  <si>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</si>
  <si>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</si>
  <si>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</si>
  <si>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</si>
  <si>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</si>
  <si>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</si>
  <si>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</si>
  <si>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</si>
  <si>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</si>
  <si>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</si>
  <si>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</si>
  <si>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</si>
  <si>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</si>
  <si>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</si>
  <si>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</si>
  <si>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</si>
  <si>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</si>
  <si>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</si>
  <si>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</si>
  <si>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</si>
  <si>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</si>
  <si>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</si>
  <si>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</si>
  <si>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</si>
  <si>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</si>
  <si>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</si>
  <si>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</si>
  <si>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</si>
  <si>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</si>
  <si>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</si>
  <si>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</si>
  <si>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</si>
  <si>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</si>
  <si>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</si>
  <si>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</si>
  <si>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</si>
  <si>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</si>
  <si>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</si>
  <si>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</si>
  <si>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</si>
  <si>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</si>
  <si>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</si>
  <si>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</si>
  <si>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</si>
  <si>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</si>
  <si>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</si>
  <si>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</si>
  <si>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</si>
  <si>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</si>
  <si>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</si>
  <si>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</si>
  <si>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</si>
  <si>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</si>
  <si>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</si>
  <si>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</si>
  <si>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</si>
  <si>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</si>
  <si>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</si>
  <si>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</si>
  <si>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</si>
  <si>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</si>
  <si>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</si>
  <si>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</si>
  <si>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</si>
  <si>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</si>
  <si>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</si>
  <si>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</si>
  <si>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</si>
  <si>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</si>
  <si>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</si>
  <si>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</si>
  <si>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</si>
  <si>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</si>
  <si>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</si>
  <si>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</si>
  <si>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</si>
  <si>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</si>
  <si>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</si>
  <si>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</si>
  <si>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</si>
  <si>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</si>
  <si>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</si>
  <si>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</si>
  <si>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</si>
  <si>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</si>
  <si>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</si>
  <si>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</si>
  <si>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</si>
  <si>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</si>
  <si>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</si>
  <si>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</si>
  <si>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</si>
  <si>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</si>
  <si>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</si>
  <si>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</si>
  <si>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</si>
  <si>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</si>
  <si>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</si>
  <si>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</si>
  <si>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</si>
  <si>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</si>
  <si>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</si>
  <si>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</si>
  <si>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</si>
  <si>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</si>
  <si>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</si>
  <si>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</si>
  <si>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</si>
  <si>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</si>
  <si>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</si>
  <si>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</si>
  <si>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</si>
  <si>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</si>
  <si>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</si>
  <si>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</si>
  <si>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</si>
  <si>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</si>
  <si>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</si>
  <si>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</si>
  <si>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</si>
  <si>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</si>
  <si>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</si>
  <si>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</si>
  <si>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</si>
  <si>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</si>
  <si>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</si>
  <si>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</si>
  <si>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Address: DHA 6</t>
  </si>
  <si>
    <t>Bravo Store</t>
  </si>
  <si>
    <t>Al Ghani Store</t>
  </si>
  <si>
    <t>Rehmat Store</t>
  </si>
  <si>
    <t xml:space="preserve">Raheem Mart </t>
  </si>
  <si>
    <t xml:space="preserve">Prograsive Mart </t>
  </si>
  <si>
    <t>Hikma Store</t>
  </si>
  <si>
    <t>24/7 Mart</t>
  </si>
  <si>
    <t>Ahata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</si>
</sst>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4" workbookViewId="0">
      <selection activeCell="E30" sqref="E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46279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Bravo Store</v>
      </c>
      <c r="T3" s="301">
        <f>+'1'!P35</f>
        <v>1019.2732122775423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 Ghani Store</v>
      </c>
      <c r="T4" s="301">
        <f>+'2'!P35</f>
        <v>8936.4837086313546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Rehmat Store</v>
      </c>
      <c r="T5" s="301">
        <f>+'3'!P35</f>
        <v>9408.6347552542375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Raheem Mart </v>
      </c>
      <c r="T6" s="301">
        <f>+'4'!P35</f>
        <v>3136.2115850847463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44</v>
      </c>
      <c r="I7" s="235">
        <f>(G7*D7)*F7+H7*F7</f>
        <v>2308.35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184.66800000000001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80.79225000000001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2042.8897499999998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436.27118644067775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12.395804682203389</v>
      </c>
      <c r="P7" s="310">
        <f>M7+N7+O7</f>
        <v>2491.5567411228812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Prograsive Mart </v>
      </c>
      <c r="T7" s="301">
        <f>+'5'!P35</f>
        <v>2700.6315839618646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42</v>
      </c>
      <c r="I8" s="236">
        <f t="shared" ref="I8:I14" si="0">(G8*D8)*F8+H8*F8</f>
        <v>2203.4249999999997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176.274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77.119875000000008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1950.0311249999997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416.44067796610159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11.832359014830507</v>
      </c>
      <c r="P8" s="311">
        <f t="shared" ref="P8:P15" si="2">M8+N8+O8</f>
        <v>2378.3041619809319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Hikma Store</v>
      </c>
      <c r="T8" s="301">
        <f>+'6'!P35</f>
        <v>4704.3173776271187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24</v>
      </c>
      <c r="I9" s="236">
        <f t="shared" si="0"/>
        <v>1259.0999999999999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100.72799999999999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44.0685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1114.3035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237.96610169491515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6.7613480084745756</v>
      </c>
      <c r="P9" s="311">
        <f t="shared" si="2"/>
        <v>1359.0309497033898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12</v>
      </c>
      <c r="R9" s="313">
        <v>7</v>
      </c>
      <c r="S9" s="300" t="str">
        <f>+'7'!A6:A6</f>
        <v>24/7 Mart</v>
      </c>
      <c r="T9" s="301">
        <f>+'7'!P35</f>
        <v>9408.6347552542375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153</v>
      </c>
      <c r="I10" s="236">
        <f t="shared" si="0"/>
        <v>11113.92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889.11360000000013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388.98720000000003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9835.8191999999999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2100.5084745762711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59.681638372881366</v>
      </c>
      <c r="P10" s="311">
        <f t="shared" si="2"/>
        <v>11996.009312949152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10</v>
      </c>
      <c r="R10" s="313">
        <v>8</v>
      </c>
      <c r="S10" s="300" t="str">
        <f>+'8'!A6:A6</f>
        <v>Ahata Store</v>
      </c>
      <c r="T10" s="301">
        <f>+'8'!P35</f>
        <v>1180.2688488991523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133</v>
      </c>
      <c r="I11" s="236">
        <f t="shared" si="0"/>
        <v>9661.1200000000008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772.88960000000009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338.13920000000002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8550.0912000000008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1825.9322033898306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51.880117016949157</v>
      </c>
      <c r="P11" s="311">
        <f t="shared" si="2"/>
        <v>10427.90352040678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134</v>
      </c>
      <c r="I12" s="236">
        <f t="shared" si="0"/>
        <v>9733.76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778.70080000000007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340.68160000000006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8614.3775999999998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1839.6610169491528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52.27019308474577</v>
      </c>
      <c r="P12" s="311">
        <f t="shared" si="2"/>
        <v>10506.308810033897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32</v>
      </c>
      <c r="I13" s="236">
        <f t="shared" si="0"/>
        <v>1255.3600000000001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62.768000000000015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43.93760000000001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64.023359999999997</v>
      </c>
      <c r="M13" s="230">
        <f t="shared" si="1"/>
        <v>1084.6310400000002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244.06779661016935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6.6434941830508478</v>
      </c>
      <c r="P13" s="311">
        <f t="shared" si="2"/>
        <v>1335.3423307932203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14.05</v>
      </c>
      <c r="H16" s="113">
        <f t="shared" ref="H16:M16" si="3">SUM(H7:H15)</f>
        <v>562</v>
      </c>
      <c r="I16" s="114">
        <f t="shared" si="3"/>
        <v>37535.035000000003</v>
      </c>
      <c r="J16" s="274">
        <f>SUM(J7:J15)</f>
        <v>2965.1420000000003</v>
      </c>
      <c r="K16" s="275">
        <f t="shared" si="3"/>
        <v>1313.7262250000001</v>
      </c>
      <c r="L16" s="276">
        <f t="shared" si="3"/>
        <v>64.023359999999997</v>
      </c>
      <c r="M16" s="232">
        <f t="shared" si="3"/>
        <v>33192.143414999999</v>
      </c>
      <c r="N16" s="233">
        <f>SUM(N7:N15)</f>
        <v>7100.8474576271174</v>
      </c>
      <c r="O16" s="101">
        <f>SUM(O7:O15)</f>
        <v>201.46495436313563</v>
      </c>
      <c r="P16" s="113">
        <f>SUM(P7:P15)</f>
        <v>40494.455826990248</v>
      </c>
      <c r="Q16" s="128">
        <f>SUM(Q7:Q15)</f>
        <v>22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37535.035000000003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2965.1420000000003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1377.749585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33192.143415000006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7100.8474576271174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40292.990872627124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201.46495436313563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40494.455826990263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40494.455826990255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3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18</v>
      </c>
      <c r="I17" s="236">
        <f t="shared" ref="I17:I23" si="0">(G17*D17)*F17+H17*F17</f>
        <v>944.32499999999993</v>
      </c>
      <c r="J17" s="272">
        <f t="shared" ref="J17:L24" si="1">$I17*S17</f>
        <v>75.545999999999992</v>
      </c>
      <c r="K17" s="128">
        <f>$I17*T17</f>
        <v>33.051375</v>
      </c>
      <c r="L17" s="119">
        <f>$I17*U17</f>
        <v>0</v>
      </c>
      <c r="M17" s="230">
        <f t="shared" ref="M17:M24" si="2">I17-SUM(J17:L17)</f>
        <v>835.72762499999999</v>
      </c>
      <c r="N17" s="277">
        <f t="shared" ref="N17:N24" si="3">+(G17*D17+H17)*V17</f>
        <v>178.47457627118638</v>
      </c>
      <c r="O17" s="239">
        <f t="shared" ref="O17:O24" si="4">(N17+M17)*$O$15</f>
        <v>5.0710110063559322</v>
      </c>
      <c r="P17" s="119">
        <f t="shared" ref="P17:P24" si="5">M17+N17+O17</f>
        <v>1019.2732122775423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18</v>
      </c>
      <c r="I25" s="114">
        <f t="shared" ref="I25:M25" si="10">SUM(I16:I24)</f>
        <v>944.32499999999993</v>
      </c>
      <c r="J25" s="274">
        <f>SUM(J16:J24)</f>
        <v>75.545999999999992</v>
      </c>
      <c r="K25" s="275">
        <f t="shared" si="10"/>
        <v>33.051375</v>
      </c>
      <c r="L25" s="276">
        <f t="shared" si="10"/>
        <v>0</v>
      </c>
      <c r="M25" s="232">
        <f t="shared" si="10"/>
        <v>835.72762499999999</v>
      </c>
      <c r="N25" s="233">
        <f>SUM(N16:N24)</f>
        <v>178.47457627118638</v>
      </c>
      <c r="O25" s="101">
        <f>SUM(O16:O24)</f>
        <v>5.0710110063559322</v>
      </c>
      <c r="P25" s="234">
        <f>SUM(P16:P24)</f>
        <v>1019.2732122775423</v>
      </c>
      <c r="Q25" s="239">
        <f>SUM(Q16:Q24)</f>
        <v>22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944.32499999999993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75.545999999999992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33.051375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835.72762499999999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1014.2022012711864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45" t="s">
        <v>88</v>
      </c>
      <c r="O35" s="346"/>
      <c r="P35" s="297">
        <f>+P33+P34</f>
        <v>1019.2732122775423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140</v>
      </c>
      <c r="I25" s="114">
        <f t="shared" si="7"/>
        <v>8290.75</v>
      </c>
      <c r="J25" s="274">
        <f>SUM(J16:J24)</f>
        <v>639.72199999999998</v>
      </c>
      <c r="K25" s="275">
        <f t="shared" si="7"/>
        <v>290.17625000000004</v>
      </c>
      <c r="L25" s="276">
        <f t="shared" si="7"/>
        <v>40.014600000000002</v>
      </c>
      <c r="M25" s="232">
        <f t="shared" si="7"/>
        <v>7320.8371500000003</v>
      </c>
      <c r="N25" s="233">
        <f>SUM(N16:N24)</f>
        <v>1571.1864406779655</v>
      </c>
      <c r="O25" s="101">
        <f>SUM(O16:O24)</f>
        <v>44.460117953389826</v>
      </c>
      <c r="P25" s="234">
        <f>SUM(P16:P24)</f>
        <v>8936.4837086313564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8290.75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639.72199999999998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330.19085000000007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7320.8371500000003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1571.1864406779655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8892.0235906779653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44.460117953389826</v>
      </c>
    </row>
    <row r="35" spans="2:16" ht="15.75" customHeight="1" thickBot="1" x14ac:dyDescent="0.4">
      <c r="N35" s="345" t="s">
        <v>88</v>
      </c>
      <c r="O35" s="346"/>
      <c r="P35" s="297">
        <f>+P33+P34</f>
        <v>8936.4837086313546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697.34400000000005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7714.3679999999995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9361.8256271186438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5" t="s">
        <v>88</v>
      </c>
      <c r="O35" s="346"/>
      <c r="P35" s="297">
        <f>+P33+P34</f>
        <v>9408.6347552542375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2502.0500000000002</v>
      </c>
      <c r="J25" s="274">
        <f>SUM(J16:J24)</f>
        <v>200.16399999999999</v>
      </c>
      <c r="K25" s="275">
        <f t="shared" si="7"/>
        <v>87.571750000000009</v>
      </c>
      <c r="L25" s="276">
        <f t="shared" si="7"/>
        <v>0</v>
      </c>
      <c r="M25" s="232">
        <f t="shared" si="7"/>
        <v>2214.3142500000004</v>
      </c>
      <c r="N25" s="233">
        <f>SUM(N16:N24)</f>
        <v>472.88135593220329</v>
      </c>
      <c r="O25" s="101">
        <f>SUM(O16:O24)</f>
        <v>13.435978029661017</v>
      </c>
      <c r="P25" s="234">
        <f>SUM(P16:P24)</f>
        <v>2700.6315839618646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2502.0500000000002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200.16399999999999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87.571750000000009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2214.3142500000004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472.88135593220329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2687.1956059322038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13.435978029661019</v>
      </c>
    </row>
    <row r="35" spans="2:16" ht="15.75" customHeight="1" thickBot="1" x14ac:dyDescent="0.4">
      <c r="N35" s="345" t="s">
        <v>88</v>
      </c>
      <c r="O35" s="346"/>
      <c r="P35" s="297">
        <f>+P33+P34</f>
        <v>2700.6315839618646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60</v>
      </c>
      <c r="I25" s="114">
        <f t="shared" si="7"/>
        <v>4358.3999999999996</v>
      </c>
      <c r="J25" s="274">
        <f>SUM(J16:J24)</f>
        <v>348.67200000000003</v>
      </c>
      <c r="K25" s="275">
        <f t="shared" si="7"/>
        <v>152.54400000000001</v>
      </c>
      <c r="L25" s="276">
        <f t="shared" si="7"/>
        <v>0</v>
      </c>
      <c r="M25" s="232">
        <f t="shared" si="7"/>
        <v>3857.1840000000002</v>
      </c>
      <c r="N25" s="233">
        <f>SUM(N16:N24)</f>
        <v>823.72881355932213</v>
      </c>
      <c r="O25" s="101">
        <f>SUM(O16:O24)</f>
        <v>23.404564067796613</v>
      </c>
      <c r="P25" s="234">
        <f>SUM(P16:P24)</f>
        <v>4704.3173776271187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4358.3999999999996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348.67200000000003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152.54400000000001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3857.1839999999997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823.72881355932213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4680.9128135593219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23.40456406779661</v>
      </c>
    </row>
    <row r="35" spans="2:16" ht="15.75" customHeight="1" thickBot="1" x14ac:dyDescent="0.4">
      <c r="N35" s="345" t="s">
        <v>88</v>
      </c>
      <c r="O35" s="346"/>
      <c r="P35" s="297">
        <f>+P33+P34</f>
        <v>4704.3173776271187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697.34400000000005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7714.3679999999995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9361.8256271186438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5" t="s">
        <v>88</v>
      </c>
      <c r="O35" s="346"/>
      <c r="P35" s="297">
        <f>+P33+P34</f>
        <v>9408.6347552542375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1100.31</v>
      </c>
      <c r="J25" s="274">
        <f>SUM(J16:J24)</f>
        <v>73.902000000000015</v>
      </c>
      <c r="K25" s="275">
        <f t="shared" si="7"/>
        <v>38.510850000000005</v>
      </c>
      <c r="L25" s="276">
        <f t="shared" si="7"/>
        <v>24.008760000000002</v>
      </c>
      <c r="M25" s="232">
        <f t="shared" si="7"/>
        <v>963.88839000000007</v>
      </c>
      <c r="N25" s="233">
        <f>SUM(N16:N24)</f>
        <v>210.50847457627108</v>
      </c>
      <c r="O25" s="101">
        <f>SUM(O16:O24)</f>
        <v>5.8719843228813549</v>
      </c>
      <c r="P25" s="234">
        <f>SUM(P16:P24)</f>
        <v>1180.2688488991523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1100.31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73.902000000000015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62.519610000000007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963.88838999999984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1174.3968645762709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45" t="s">
        <v>88</v>
      </c>
      <c r="O35" s="346"/>
      <c r="P35" s="297">
        <f>+P33+P34</f>
        <v>1180.2688488991523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46281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46280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2026-09-15T03:51:20Z</dcterms:modified>
</cp:coreProperties>
</file>