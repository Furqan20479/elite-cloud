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8106A612-B1BA-4A3C-884C-9610506FB1C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<sst xmlns="http://schemas.openxmlformats.org/spreadsheetml/2006/main" count="230" uniqueCount="155">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</sst>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/>
    <xf numFmtId="0" fontId="5" fillId="0" borderId="32" xfId="0" applyFont="1" applyFill="1" applyBorder="1"/>
    <xf numFmtId="0" fontId="5" fillId="0" borderId="1" xfId="0" applyFont="1" applyFill="1" applyBorder="1"/>
    <xf numFmtId="0" fontId="5" fillId="0" borderId="31" xfId="0" applyFont="1" applyFill="1" applyBorder="1" applyAlignment="1">
      <alignment horizontal="center"/>
    </xf>
    <xf numFmtId="0" fontId="5" fillId="0" borderId="31" xfId="0" applyFont="1" applyFill="1" applyBorder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topLeftCell="A40" zoomScaleNormal="100" workbookViewId="0">
      <selection activeCell="D51" sqref="D51"/>
    </sheetView>
  </sheetViews>
  <sheetFormatPr defaultRowHeight="14.5" x14ac:dyDescent="0.35"/>
  <cols>
    <col min="1" max="1" width="6.453125" bestFit="1" customWidth="1"/>
    <col min="3" max="3" width="2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4">
        <f ca="1">TODAY()</f>
        <v>46282</v>
      </c>
      <c r="C1" s="144"/>
      <c r="D1" s="144"/>
      <c r="E1" s="144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6" t="s">
        <v>35</v>
      </c>
      <c r="B2" s="145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8"/>
      <c r="M2" s="159"/>
      <c r="N2" s="160"/>
      <c r="O2" s="161" t="s">
        <v>14</v>
      </c>
      <c r="P2" s="162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6"/>
      <c r="B3" s="146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3" t="s">
        <v>11</v>
      </c>
      <c r="M3" s="164"/>
      <c r="N3" s="165"/>
      <c r="O3" s="65"/>
      <c r="P3" s="66"/>
      <c r="Q3" s="148" t="s">
        <v>16</v>
      </c>
      <c r="R3" s="149"/>
      <c r="S3" s="149"/>
      <c r="T3" s="150"/>
      <c r="U3" s="151" t="s">
        <v>17</v>
      </c>
      <c r="V3" s="152"/>
      <c r="W3" s="152"/>
      <c r="X3" s="153"/>
    </row>
    <row r="4" spans="1:24" ht="15" thickBot="1" x14ac:dyDescent="0.4">
      <c r="A4" s="166"/>
      <c r="B4" s="147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178">
        <v>46280</v>
      </c>
      <c r="B42" s="179">
        <v>38</v>
      </c>
      <c r="C42" s="180" t="s">
        <v>125</v>
      </c>
      <c r="D42" s="180" t="s">
        <v>145</v>
      </c>
      <c r="E42" s="181"/>
      <c r="F42" s="181">
        <v>120</v>
      </c>
      <c r="G42" s="182">
        <v>40</v>
      </c>
      <c r="H42" s="183">
        <v>80</v>
      </c>
      <c r="I42" s="181">
        <v>120</v>
      </c>
      <c r="J42" s="182">
        <v>120</v>
      </c>
      <c r="K42" s="184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178">
        <v>46280</v>
      </c>
      <c r="B43" s="179">
        <v>39</v>
      </c>
      <c r="C43" s="180" t="s">
        <v>146</v>
      </c>
      <c r="D43" s="180" t="s">
        <v>147</v>
      </c>
      <c r="E43" s="181"/>
      <c r="F43" s="181">
        <v>40</v>
      </c>
      <c r="G43" s="182">
        <v>40</v>
      </c>
      <c r="H43" s="183">
        <v>40</v>
      </c>
      <c r="I43" s="181">
        <v>40</v>
      </c>
      <c r="J43" s="182">
        <v>40</v>
      </c>
      <c r="K43" s="184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178">
        <v>46280</v>
      </c>
      <c r="B44" s="179">
        <v>40</v>
      </c>
      <c r="C44" s="180" t="s">
        <v>125</v>
      </c>
      <c r="D44" s="180" t="s">
        <v>97</v>
      </c>
      <c r="E44" s="181"/>
      <c r="F44" s="181">
        <v>118</v>
      </c>
      <c r="G44" s="182">
        <v>40</v>
      </c>
      <c r="H44" s="183">
        <v>80</v>
      </c>
      <c r="I44" s="181">
        <v>117</v>
      </c>
      <c r="J44" s="182">
        <v>117</v>
      </c>
      <c r="K44" s="184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178">
        <v>46280</v>
      </c>
      <c r="B45" s="179">
        <v>41</v>
      </c>
      <c r="C45" s="180" t="s">
        <v>152</v>
      </c>
      <c r="D45" s="180" t="s">
        <v>145</v>
      </c>
      <c r="E45" s="181"/>
      <c r="F45" s="181">
        <v>80</v>
      </c>
      <c r="G45" s="182">
        <v>80</v>
      </c>
      <c r="H45" s="183">
        <v>80</v>
      </c>
      <c r="I45" s="181"/>
      <c r="J45" s="182">
        <v>40</v>
      </c>
      <c r="K45" s="184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178">
        <v>46280</v>
      </c>
      <c r="B46" s="179">
        <v>42</v>
      </c>
      <c r="C46" s="180" t="s">
        <v>152</v>
      </c>
      <c r="D46" s="180" t="s">
        <v>148</v>
      </c>
      <c r="E46" s="181"/>
      <c r="F46" s="181"/>
      <c r="G46" s="182"/>
      <c r="H46" s="183">
        <v>40</v>
      </c>
      <c r="I46" s="181"/>
      <c r="J46" s="182">
        <v>40</v>
      </c>
      <c r="K46" s="184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178">
        <v>46280</v>
      </c>
      <c r="B47" s="179">
        <v>43</v>
      </c>
      <c r="C47" s="180" t="s">
        <v>152</v>
      </c>
      <c r="D47" s="180" t="s">
        <v>149</v>
      </c>
      <c r="E47" s="181"/>
      <c r="F47" s="181">
        <v>40</v>
      </c>
      <c r="G47" s="182">
        <v>40</v>
      </c>
      <c r="H47" s="183">
        <v>40</v>
      </c>
      <c r="I47" s="181"/>
      <c r="J47" s="182">
        <v>40</v>
      </c>
      <c r="K47" s="184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178">
        <v>46280</v>
      </c>
      <c r="B48" s="179">
        <v>44</v>
      </c>
      <c r="C48" s="180" t="s">
        <v>152</v>
      </c>
      <c r="D48" s="180" t="s">
        <v>150</v>
      </c>
      <c r="E48" s="181"/>
      <c r="F48" s="181">
        <v>40</v>
      </c>
      <c r="G48" s="182">
        <v>40</v>
      </c>
      <c r="H48" s="183">
        <v>40</v>
      </c>
      <c r="I48" s="181"/>
      <c r="J48" s="182"/>
      <c r="K48" s="184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178">
        <v>46280</v>
      </c>
      <c r="B49" s="179">
        <v>45</v>
      </c>
      <c r="C49" s="180" t="s">
        <v>152</v>
      </c>
      <c r="D49" s="180" t="s">
        <v>151</v>
      </c>
      <c r="E49" s="181"/>
      <c r="F49" s="181">
        <v>40</v>
      </c>
      <c r="G49" s="182">
        <v>40</v>
      </c>
      <c r="H49" s="183">
        <v>40</v>
      </c>
      <c r="I49" s="181">
        <v>20</v>
      </c>
      <c r="J49" s="182">
        <v>20</v>
      </c>
      <c r="K49" s="184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143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ref="M50:M70" si="71">SUMPRODUCT($E$4:$K$4,$E$6:$K$6)</f>
        <v>0</v>
      </c>
      <c r="N51" s="43">
        <f t="shared" si="53"/>
        <v>9.2011000000000003</v>
      </c>
      <c r="O51" s="67">
        <f t="shared" si="67"/>
        <v>0</v>
      </c>
      <c r="P51" s="34">
        <f t="shared" si="68"/>
        <v>0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71"/>
        <v>0</v>
      </c>
      <c r="N52" s="43">
        <f t="shared" si="53"/>
        <v>9.2011000000000003</v>
      </c>
      <c r="O52" s="67">
        <f t="shared" si="67"/>
        <v>0</v>
      </c>
      <c r="P52" s="34">
        <f t="shared" si="68"/>
        <v>0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71"/>
        <v>0</v>
      </c>
      <c r="N53" s="43">
        <f t="shared" si="53"/>
        <v>9.2011000000000003</v>
      </c>
      <c r="O53" s="67">
        <f t="shared" si="67"/>
        <v>0</v>
      </c>
      <c r="P53" s="34">
        <f t="shared" si="68"/>
        <v>0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71"/>
        <v>0</v>
      </c>
      <c r="N54" s="43">
        <f t="shared" si="53"/>
        <v>9.2011000000000003</v>
      </c>
      <c r="O54" s="67">
        <f t="shared" si="67"/>
        <v>0</v>
      </c>
      <c r="P54" s="34">
        <f t="shared" si="68"/>
        <v>0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71"/>
        <v>0</v>
      </c>
      <c r="N55" s="43">
        <f t="shared" si="53"/>
        <v>9.2011000000000003</v>
      </c>
      <c r="O55" s="67">
        <f t="shared" si="67"/>
        <v>0</v>
      </c>
      <c r="P55" s="34">
        <f t="shared" si="68"/>
        <v>0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71"/>
        <v>0</v>
      </c>
      <c r="N56" s="43">
        <f t="shared" si="53"/>
        <v>9.2011000000000003</v>
      </c>
      <c r="O56" s="67">
        <f t="shared" si="67"/>
        <v>0</v>
      </c>
      <c r="P56" s="34">
        <f t="shared" si="68"/>
        <v>0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71"/>
        <v>0</v>
      </c>
      <c r="N57" s="43">
        <f t="shared" si="53"/>
        <v>9.2011000000000003</v>
      </c>
      <c r="O57" s="67">
        <f t="shared" si="67"/>
        <v>0</v>
      </c>
      <c r="P57" s="34">
        <f t="shared" si="68"/>
        <v>0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71"/>
        <v>0</v>
      </c>
      <c r="N58" s="43">
        <f t="shared" si="53"/>
        <v>9.2011000000000003</v>
      </c>
      <c r="O58" s="67">
        <f t="shared" si="67"/>
        <v>0</v>
      </c>
      <c r="P58" s="34">
        <f t="shared" si="68"/>
        <v>0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71"/>
        <v>0</v>
      </c>
      <c r="N59" s="43">
        <f t="shared" si="53"/>
        <v>9.2011000000000003</v>
      </c>
      <c r="O59" s="67">
        <f t="shared" si="67"/>
        <v>0</v>
      </c>
      <c r="P59" s="34">
        <f t="shared" si="68"/>
        <v>0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71"/>
        <v>0</v>
      </c>
      <c r="N60" s="43">
        <f t="shared" si="53"/>
        <v>9.2011000000000003</v>
      </c>
      <c r="O60" s="67">
        <f t="shared" si="67"/>
        <v>0</v>
      </c>
      <c r="P60" s="34">
        <f t="shared" si="68"/>
        <v>0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71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71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71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71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71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71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71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71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71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71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54" t="s">
        <v>11</v>
      </c>
      <c r="C133" s="155"/>
      <c r="D133" s="136"/>
      <c r="E133" s="78">
        <f t="shared" ref="E133:K133" si="102">SUM(E6:E61)</f>
        <v>2265</v>
      </c>
      <c r="F133" s="78">
        <f t="shared" si="102"/>
        <v>2758</v>
      </c>
      <c r="G133" s="78">
        <f t="shared" si="102"/>
        <v>2690</v>
      </c>
      <c r="H133" s="78">
        <f t="shared" si="102"/>
        <v>4170</v>
      </c>
      <c r="I133" s="78">
        <f t="shared" si="102"/>
        <v>4555</v>
      </c>
      <c r="J133" s="78">
        <f t="shared" si="102"/>
        <v>5137</v>
      </c>
      <c r="K133" s="78">
        <f t="shared" si="102"/>
        <v>7020</v>
      </c>
      <c r="L133" s="42">
        <f t="shared" ref="L133" si="103">SUM(E133:K133)/40</f>
        <v>714.875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480.9</v>
      </c>
      <c r="P133" s="34">
        <f t="shared" ref="P133:P137" si="105">SUM(I133:K133)/20</f>
        <v>835.6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67" t="s">
        <v>68</v>
      </c>
      <c r="C137" s="168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56" t="s">
        <v>11</v>
      </c>
      <c r="C138" s="157"/>
      <c r="D138" s="138"/>
      <c r="E138" s="79">
        <f>SUM(E133,E137)</f>
        <v>2265</v>
      </c>
      <c r="F138" s="79">
        <f t="shared" ref="F138:K138" si="109">SUM(F133,F137)</f>
        <v>2758</v>
      </c>
      <c r="G138" s="79">
        <f t="shared" si="109"/>
        <v>2690</v>
      </c>
      <c r="H138" s="79">
        <f t="shared" si="109"/>
        <v>4170</v>
      </c>
      <c r="I138" s="79">
        <f t="shared" si="109"/>
        <v>4555</v>
      </c>
      <c r="J138" s="79">
        <f t="shared" si="109"/>
        <v>5137</v>
      </c>
      <c r="K138" s="79">
        <f t="shared" si="109"/>
        <v>7020</v>
      </c>
      <c r="L138" s="54">
        <f>SUM(E138:K138)/40</f>
        <v>714.875</v>
      </c>
      <c r="M138" s="57">
        <f>SUM(M5:M137)</f>
        <v>598</v>
      </c>
      <c r="N138" s="55">
        <f t="shared" ref="N138:X138" si="110">SUM(N5:N137)</f>
        <v>947.71329999999978</v>
      </c>
      <c r="O138" s="56">
        <f t="shared" si="110"/>
        <v>1081.8</v>
      </c>
      <c r="P138" s="58">
        <f t="shared" si="110"/>
        <v>1791.2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opLeftCell="B1" zoomScale="85" zoomScaleNormal="85" workbookViewId="0">
      <selection activeCell="H10" sqref="H10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605</v>
      </c>
      <c r="E5" s="73">
        <v>729</v>
      </c>
      <c r="F5" s="73">
        <v>100</v>
      </c>
      <c r="G5" s="96">
        <f>SUM(D5:F5)</f>
        <v>1434</v>
      </c>
      <c r="H5" s="89">
        <v>10000</v>
      </c>
      <c r="I5" s="90">
        <f>G5-H5</f>
        <v>-8566</v>
      </c>
      <c r="K5" s="141" t="s">
        <v>1</v>
      </c>
      <c r="L5" s="7">
        <v>70</v>
      </c>
      <c r="M5" s="5">
        <v>14570</v>
      </c>
      <c r="N5" s="6">
        <f t="shared" ref="N5:N11" si="0">M5/40</f>
        <v>364.25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24200</v>
      </c>
      <c r="E6" s="98">
        <f t="shared" ref="E6:F6" si="1">E5*40</f>
        <v>29160</v>
      </c>
      <c r="F6" s="98">
        <f t="shared" si="1"/>
        <v>4000</v>
      </c>
      <c r="G6" s="99">
        <f>SUM(D6:F6)</f>
        <v>57360</v>
      </c>
      <c r="H6" s="91">
        <f>H5*40</f>
        <v>400000</v>
      </c>
      <c r="I6" s="92">
        <f>G6-H6</f>
        <v>-342640</v>
      </c>
      <c r="K6" s="141" t="s">
        <v>2</v>
      </c>
      <c r="L6" s="7">
        <v>70</v>
      </c>
      <c r="M6" s="5">
        <v>10551</v>
      </c>
      <c r="N6" s="6">
        <f t="shared" si="0"/>
        <v>263.77499999999998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8643</v>
      </c>
      <c r="N7" s="6">
        <f t="shared" si="0"/>
        <v>216.07499999999999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10038</v>
      </c>
      <c r="N8" s="6">
        <f t="shared" si="0"/>
        <v>250.95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-605</v>
      </c>
      <c r="E9" s="100">
        <f>E8-E5</f>
        <v>-729</v>
      </c>
      <c r="K9" s="141" t="s">
        <v>5</v>
      </c>
      <c r="L9" s="7">
        <v>120</v>
      </c>
      <c r="M9" s="5">
        <v>9254</v>
      </c>
      <c r="N9" s="6">
        <f t="shared" si="0"/>
        <v>231.35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15938</v>
      </c>
      <c r="N10" s="6">
        <f t="shared" si="0"/>
        <v>398.45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41" t="s">
        <v>7</v>
      </c>
      <c r="L11" s="7">
        <v>60</v>
      </c>
      <c r="M11" s="5">
        <v>1839</v>
      </c>
      <c r="N11" s="6">
        <f t="shared" si="0"/>
        <v>45.975000000000001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5634</v>
      </c>
      <c r="K12" s="141" t="s">
        <v>11</v>
      </c>
      <c r="L12" s="75"/>
      <c r="M12" s="8">
        <f>SUM(M5:M11)</f>
        <v>70833</v>
      </c>
      <c r="N12" s="9">
        <f>SUM(N5:N11)</f>
        <v>1770.8249999999998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225360</v>
      </c>
      <c r="S13" s="169" t="s">
        <v>83</v>
      </c>
      <c r="T13" s="169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-14570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-10551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-8643</v>
      </c>
    </row>
    <row r="20" spans="4:15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10">
        <v>120</v>
      </c>
      <c r="M20" s="5"/>
      <c r="N20" s="5"/>
      <c r="O20" s="116">
        <f t="shared" si="4"/>
        <v>-10038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-9254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-15938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-1839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-70833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-1770.825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2026-09-17T04:45:28Z</dcterms:modified>
</cp:coreProperties>
</file>