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001412D-21D4-4480-80E7-1FAC0ABE7BA8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M35" i="2" l="1"/>
  <c r="N35" i="2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M29" i="2"/>
  <c r="O29" i="2"/>
  <c r="P29" i="2"/>
  <c r="Q29" i="2"/>
  <c r="T29" i="2" s="1"/>
  <c r="R29" i="2"/>
  <c r="S29" i="2"/>
  <c r="U29" i="2"/>
  <c r="X29" i="2" s="1"/>
  <c r="V29" i="2"/>
  <c r="W29" i="2"/>
  <c r="L34" i="2"/>
  <c r="M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M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M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M28" i="2"/>
  <c r="O28" i="2"/>
  <c r="P28" i="2"/>
  <c r="Q28" i="2"/>
  <c r="T28" i="2" s="1"/>
  <c r="R28" i="2"/>
  <c r="S28" i="2"/>
  <c r="U28" i="2"/>
  <c r="X28" i="2" s="1"/>
  <c r="V28" i="2"/>
  <c r="W28" i="2"/>
  <c r="L30" i="2"/>
  <c r="M30" i="2"/>
  <c r="O30" i="2"/>
  <c r="P30" i="2"/>
  <c r="Q30" i="2"/>
  <c r="T30" i="2" s="1"/>
  <c r="R30" i="2"/>
  <c r="S30" i="2"/>
  <c r="U30" i="2"/>
  <c r="X30" i="2" s="1"/>
  <c r="V30" i="2"/>
  <c r="W30" i="2"/>
  <c r="L31" i="2"/>
  <c r="M31" i="2"/>
  <c r="O31" i="2"/>
  <c r="P31" i="2"/>
  <c r="Q31" i="2"/>
  <c r="T31" i="2" s="1"/>
  <c r="R31" i="2"/>
  <c r="S31" i="2"/>
  <c r="U31" i="2"/>
  <c r="X31" i="2" s="1"/>
  <c r="V31" i="2"/>
  <c r="W31" i="2"/>
  <c r="L32" i="2"/>
  <c r="M32" i="2"/>
  <c r="O32" i="2"/>
  <c r="P32" i="2"/>
  <c r="Q32" i="2"/>
  <c r="T32" i="2" s="1"/>
  <c r="R32" i="2"/>
  <c r="S32" i="2"/>
  <c r="U32" i="2"/>
  <c r="X32" i="2" s="1"/>
  <c r="V32" i="2"/>
  <c r="W32" i="2"/>
  <c r="L33" i="2"/>
  <c r="M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M23" i="2"/>
  <c r="M24" i="2"/>
  <c r="M25" i="2"/>
  <c r="M26" i="2"/>
  <c r="M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M21" i="2"/>
  <c r="O21" i="2"/>
  <c r="P21" i="2"/>
  <c r="Q21" i="2"/>
  <c r="T21" i="2" s="1"/>
  <c r="R21" i="2"/>
  <c r="S21" i="2"/>
  <c r="U21" i="2"/>
  <c r="X21" i="2" s="1"/>
  <c r="V21" i="2"/>
  <c r="W21" i="2"/>
  <c r="L22" i="2"/>
  <c r="M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M18" i="2"/>
  <c r="O18" i="2"/>
  <c r="P18" i="2"/>
  <c r="Q18" i="2"/>
  <c r="T18" i="2" s="1"/>
  <c r="R18" i="2"/>
  <c r="S18" i="2"/>
  <c r="U18" i="2"/>
  <c r="X18" i="2" s="1"/>
  <c r="V18" i="2"/>
  <c r="W18" i="2"/>
  <c r="L19" i="2"/>
  <c r="M19" i="2"/>
  <c r="O19" i="2"/>
  <c r="P19" i="2"/>
  <c r="Q19" i="2"/>
  <c r="T19" i="2" s="1"/>
  <c r="R19" i="2"/>
  <c r="S19" i="2"/>
  <c r="U19" i="2"/>
  <c r="X19" i="2" s="1"/>
  <c r="V19" i="2"/>
  <c r="W19" i="2"/>
  <c r="L20" i="2"/>
  <c r="M20" i="2"/>
  <c r="O20" i="2"/>
  <c r="P20" i="2"/>
  <c r="Q20" i="2"/>
  <c r="T20" i="2" s="1"/>
  <c r="R20" i="2"/>
  <c r="S20" i="2"/>
  <c r="U20" i="2"/>
  <c r="X20" i="2" s="1"/>
  <c r="V20" i="2"/>
  <c r="W20" i="2"/>
  <c r="L16" i="2"/>
  <c r="M16" i="2"/>
  <c r="O16" i="2"/>
  <c r="P16" i="2"/>
  <c r="Q16" i="2"/>
  <c r="T16" i="2" s="1"/>
  <c r="R16" i="2"/>
  <c r="S16" i="2"/>
  <c r="U16" i="2"/>
  <c r="X16" i="2" s="1"/>
  <c r="V16" i="2"/>
  <c r="W16" i="2"/>
  <c r="L17" i="2"/>
  <c r="M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<sst xmlns="http://schemas.openxmlformats.org/spreadsheetml/2006/main" count="183" uniqueCount="126">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</sst>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12" zoomScaleNormal="100" workbookViewId="0">
      <selection activeCell="E27" sqref="E27"/>
    </sheetView>
  </sheetViews>
  <sheetFormatPr defaultRowHeight="14.5" x14ac:dyDescent="0.35"/>
  <cols>
    <col min="1" max="1" width="5.90625" bestFit="1" customWidth="1"/>
    <col min="3" max="3" width="15.08984375" bestFit="1" customWidth="1"/>
    <col min="4" max="4" width="12" bestFit="1" customWidth="1"/>
    <col min="5" max="5" width="17.7265625" bestFit="1" customWidth="1"/>
  </cols>
  <sheetData>
    <row r="1" spans="1:24" ht="15" thickBot="1" x14ac:dyDescent="0.4">
      <c r="B1" s="157">
        <f ca="1">TODAY()</f>
        <v>46274</v>
      </c>
      <c r="C1" s="157"/>
      <c r="D1" s="157"/>
      <c r="E1" s="157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4" t="s">
        <v>35</v>
      </c>
      <c r="B2" s="158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6"/>
      <c r="M2" s="147"/>
      <c r="N2" s="148"/>
      <c r="O2" s="149" t="s">
        <v>14</v>
      </c>
      <c r="P2" s="150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4"/>
      <c r="B3" s="159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1" t="s">
        <v>11</v>
      </c>
      <c r="M3" s="152"/>
      <c r="N3" s="153"/>
      <c r="O3" s="65"/>
      <c r="P3" s="66"/>
      <c r="Q3" s="161" t="s">
        <v>16</v>
      </c>
      <c r="R3" s="162"/>
      <c r="S3" s="162"/>
      <c r="T3" s="163"/>
      <c r="U3" s="164" t="s">
        <v>17</v>
      </c>
      <c r="V3" s="165"/>
      <c r="W3" s="165"/>
      <c r="X3" s="166"/>
    </row>
    <row r="4" spans="1:24" ht="15" thickBot="1" x14ac:dyDescent="0.4">
      <c r="A4" s="154"/>
      <c r="B4" s="160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f t="shared" si="15"/>
        <v>0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f t="shared" si="15"/>
        <v>0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f t="shared" si="15"/>
        <v>0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f t="shared" si="15"/>
        <v>0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f t="shared" si="15"/>
        <v>0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f t="shared" si="15"/>
        <v>0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143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f t="shared" si="15"/>
        <v>0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143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f t="shared" si="15"/>
        <v>0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143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f t="shared" si="15"/>
        <v>0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143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f t="shared" si="15"/>
        <v>0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143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f t="shared" si="15"/>
        <v>0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143"/>
      <c r="B27" s="41">
        <v>23</v>
      </c>
      <c r="C27" s="140"/>
      <c r="D27" s="140"/>
      <c r="E27" s="44"/>
      <c r="F27" s="44"/>
      <c r="G27" s="69"/>
      <c r="H27" s="43"/>
      <c r="I27" s="44"/>
      <c r="J27" s="69"/>
      <c r="K27" s="70"/>
      <c r="L27" s="42">
        <f t="shared" si="0"/>
        <v>0</v>
      </c>
      <c r="M27" s="33">
        <f t="shared" si="15"/>
        <v>0</v>
      </c>
      <c r="N27" s="43"/>
      <c r="O27" s="67">
        <f t="shared" si="37"/>
        <v>0</v>
      </c>
      <c r="P27" s="34">
        <f t="shared" si="38"/>
        <v>0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/>
      <c r="B28" s="41">
        <v>24</v>
      </c>
      <c r="C28" s="140"/>
      <c r="D28" s="140"/>
      <c r="E28" s="44"/>
      <c r="F28" s="44"/>
      <c r="G28" s="69"/>
      <c r="H28" s="43"/>
      <c r="I28" s="44"/>
      <c r="J28" s="69"/>
      <c r="K28" s="70"/>
      <c r="L28" s="42">
        <f t="shared" si="0"/>
        <v>0</v>
      </c>
      <c r="M28" s="33">
        <f t="shared" si="15"/>
        <v>0</v>
      </c>
      <c r="N28" s="43"/>
      <c r="O28" s="67">
        <f t="shared" ref="O28:O61" si="41">SUM(F28:H28)/20</f>
        <v>0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/>
      <c r="B29" s="41">
        <v>25</v>
      </c>
      <c r="C29" s="140"/>
      <c r="D29" s="140"/>
      <c r="E29" s="44"/>
      <c r="F29" s="44"/>
      <c r="G29" s="69"/>
      <c r="H29" s="43"/>
      <c r="I29" s="44"/>
      <c r="J29" s="69"/>
      <c r="K29" s="70"/>
      <c r="L29" s="42">
        <f t="shared" si="0"/>
        <v>0</v>
      </c>
      <c r="M29" s="33">
        <f t="shared" si="15"/>
        <v>0</v>
      </c>
      <c r="N29" s="43"/>
      <c r="O29" s="67">
        <f t="shared" ref="O29" si="47">SUM(F29:H29)/20</f>
        <v>0</v>
      </c>
      <c r="P29" s="34">
        <f t="shared" ref="P29" si="48">SUM(I29:K29)/20</f>
        <v>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>
        <f t="shared" si="15"/>
        <v>0</v>
      </c>
      <c r="N30" s="43"/>
      <c r="O30" s="67">
        <f t="shared" si="41"/>
        <v>0</v>
      </c>
      <c r="P30" s="34">
        <f t="shared" si="42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>
        <f t="shared" si="15"/>
        <v>0</v>
      </c>
      <c r="N31" s="43"/>
      <c r="O31" s="67">
        <f t="shared" si="41"/>
        <v>0</v>
      </c>
      <c r="P31" s="34">
        <f t="shared" si="42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>
        <f t="shared" si="15"/>
        <v>0</v>
      </c>
      <c r="N32" s="43"/>
      <c r="O32" s="67">
        <f t="shared" si="41"/>
        <v>0</v>
      </c>
      <c r="P32" s="34">
        <f t="shared" si="42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>
        <f t="shared" si="15"/>
        <v>0</v>
      </c>
      <c r="N33" s="43"/>
      <c r="O33" s="67">
        <f t="shared" si="41"/>
        <v>0</v>
      </c>
      <c r="P33" s="34">
        <f t="shared" si="42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>
        <f t="shared" si="15"/>
        <v>0</v>
      </c>
      <c r="N34" s="43">
        <f t="shared" ref="N34:N65" si="53">SUMPRODUCT($E$3:$K$3,$E$6:$K$6)/1000</f>
        <v>9.2011000000000003</v>
      </c>
      <c r="O34" s="67">
        <f t="shared" ref="O34:O47" si="54">SUM(F34:H34)/20</f>
        <v>0</v>
      </c>
      <c r="P34" s="34">
        <f t="shared" ref="P34:P47" si="55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>
        <f t="shared" si="15"/>
        <v>0</v>
      </c>
      <c r="N35" s="43">
        <f t="shared" si="53"/>
        <v>9.2011000000000003</v>
      </c>
      <c r="O35" s="67">
        <f t="shared" ref="O35" si="60">SUM(F35:H35)/20</f>
        <v>0</v>
      </c>
      <c r="P35" s="34">
        <f t="shared" ref="P35" si="61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>
        <f t="shared" si="15"/>
        <v>0</v>
      </c>
      <c r="N36" s="43">
        <f t="shared" si="53"/>
        <v>9.2011000000000003</v>
      </c>
      <c r="O36" s="67">
        <f t="shared" si="54"/>
        <v>0</v>
      </c>
      <c r="P36" s="34">
        <f t="shared" si="55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6">SUM(E37:K37)/40</f>
        <v>0</v>
      </c>
      <c r="M37" s="33">
        <f t="shared" si="15"/>
        <v>0</v>
      </c>
      <c r="N37" s="43">
        <f t="shared" si="53"/>
        <v>9.2011000000000003</v>
      </c>
      <c r="O37" s="67">
        <f t="shared" si="54"/>
        <v>0</v>
      </c>
      <c r="P37" s="34">
        <f t="shared" si="55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67" t="s">
        <v>11</v>
      </c>
      <c r="C133" s="168"/>
      <c r="D133" s="136"/>
      <c r="E133" s="78">
        <f t="shared" ref="E133:K133" si="102">SUM(E6:E61)</f>
        <v>2265</v>
      </c>
      <c r="F133" s="78">
        <f t="shared" si="102"/>
        <v>1120</v>
      </c>
      <c r="G133" s="78">
        <f t="shared" si="102"/>
        <v>1000</v>
      </c>
      <c r="H133" s="78">
        <f t="shared" si="102"/>
        <v>1200</v>
      </c>
      <c r="I133" s="78">
        <f t="shared" si="102"/>
        <v>2118</v>
      </c>
      <c r="J133" s="78">
        <f t="shared" si="102"/>
        <v>2240</v>
      </c>
      <c r="K133" s="78">
        <f t="shared" si="102"/>
        <v>2600</v>
      </c>
      <c r="L133" s="42">
        <f t="shared" ref="L133" si="103">SUM(E133:K133)/40</f>
        <v>313.57499999999999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166</v>
      </c>
      <c r="P133" s="34">
        <f t="shared" ref="P133:P137" si="105">SUM(I133:K133)/20</f>
        <v>347.9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55" t="s">
        <v>68</v>
      </c>
      <c r="C137" s="156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4" t="s">
        <v>11</v>
      </c>
      <c r="C138" s="145"/>
      <c r="D138" s="138"/>
      <c r="E138" s="79">
        <f>SUM(E133,E137)</f>
        <v>2265</v>
      </c>
      <c r="F138" s="79">
        <f t="shared" ref="F138:K138" si="109">SUM(F133,F137)</f>
        <v>1120</v>
      </c>
      <c r="G138" s="79">
        <f t="shared" si="109"/>
        <v>1000</v>
      </c>
      <c r="H138" s="79">
        <f t="shared" si="109"/>
        <v>1200</v>
      </c>
      <c r="I138" s="79">
        <f t="shared" si="109"/>
        <v>2118</v>
      </c>
      <c r="J138" s="79">
        <f t="shared" si="109"/>
        <v>2240</v>
      </c>
      <c r="K138" s="79">
        <f t="shared" si="109"/>
        <v>2600</v>
      </c>
      <c r="L138" s="54">
        <f>SUM(E138:K138)/40</f>
        <v>313.57499999999999</v>
      </c>
      <c r="M138" s="57">
        <f>SUM(M5:M137)</f>
        <v>108</v>
      </c>
      <c r="N138" s="55">
        <f t="shared" ref="N138:X138" si="110">SUM(N5:N137)</f>
        <v>947.71329999999978</v>
      </c>
      <c r="O138" s="56">
        <f t="shared" si="110"/>
        <v>452</v>
      </c>
      <c r="P138" s="58">
        <f t="shared" si="110"/>
        <v>815.8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268</v>
      </c>
      <c r="E5" s="73">
        <v>333</v>
      </c>
      <c r="F5" s="73">
        <v>100</v>
      </c>
      <c r="G5" s="96">
        <f>SUM(D5:F5)</f>
        <v>701</v>
      </c>
      <c r="H5" s="89">
        <v>10000</v>
      </c>
      <c r="I5" s="90">
        <f>G5-H5</f>
        <v>-9299</v>
      </c>
      <c r="K5" s="141" t="s">
        <v>1</v>
      </c>
      <c r="L5" s="7">
        <v>70</v>
      </c>
      <c r="M5" s="5">
        <v>5972</v>
      </c>
      <c r="N5" s="6">
        <f t="shared" ref="N5:N11" si="0">M5/40</f>
        <v>149.30000000000001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10720</v>
      </c>
      <c r="E6" s="98">
        <f t="shared" ref="E6:F6" si="1">E5*40</f>
        <v>13320</v>
      </c>
      <c r="F6" s="98">
        <f t="shared" si="1"/>
        <v>4000</v>
      </c>
      <c r="G6" s="99">
        <f>SUM(D6:F6)</f>
        <v>28040</v>
      </c>
      <c r="H6" s="91">
        <f>H5*40</f>
        <v>400000</v>
      </c>
      <c r="I6" s="92">
        <f>G6-H6</f>
        <v>-371960</v>
      </c>
      <c r="K6" s="141" t="s">
        <v>2</v>
      </c>
      <c r="L6" s="7">
        <v>70</v>
      </c>
      <c r="M6" s="5">
        <v>7579</v>
      </c>
      <c r="N6" s="6">
        <f t="shared" si="0"/>
        <v>189.47499999999999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4029</v>
      </c>
      <c r="N7" s="6">
        <f t="shared" si="0"/>
        <v>100.72499999999999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5849</v>
      </c>
      <c r="N8" s="6">
        <f t="shared" si="0"/>
        <v>146.22499999999999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-268</v>
      </c>
      <c r="E9" s="100">
        <f>E8-E5</f>
        <v>-333</v>
      </c>
      <c r="K9" s="141" t="s">
        <v>5</v>
      </c>
      <c r="L9" s="7">
        <v>120</v>
      </c>
      <c r="M9" s="5">
        <v>6849</v>
      </c>
      <c r="N9" s="6">
        <f t="shared" si="0"/>
        <v>171.22499999999999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4278</v>
      </c>
      <c r="N10" s="6">
        <f t="shared" si="0"/>
        <v>106.95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41" t="s">
        <v>7</v>
      </c>
      <c r="L11" s="7">
        <v>60</v>
      </c>
      <c r="M11" s="5">
        <v>3243</v>
      </c>
      <c r="N11" s="6">
        <f t="shared" si="0"/>
        <v>81.075000000000003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4901</v>
      </c>
      <c r="K12" s="141" t="s">
        <v>11</v>
      </c>
      <c r="L12" s="75"/>
      <c r="M12" s="8">
        <f>SUM(M5:M11)</f>
        <v>37799</v>
      </c>
      <c r="N12" s="9">
        <f>SUM(N5:N11)</f>
        <v>944.97500000000014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196040</v>
      </c>
      <c r="S13" s="169" t="s">
        <v>83</v>
      </c>
      <c r="T13" s="169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-5972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-7579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-4029</v>
      </c>
    </row>
    <row r="20" spans="4:15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10">
        <v>120</v>
      </c>
      <c r="M20" s="5"/>
      <c r="N20" s="5"/>
      <c r="O20" s="116">
        <f t="shared" si="4"/>
        <v>-5849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-6849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-4278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-3243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-37799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-944.97500000000002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2026-09-09T07:09:43Z</dcterms:modified>
</cp:coreProperties>
</file>