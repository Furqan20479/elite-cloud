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48C0C01C-0779-485E-AB5D-90AE395506B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M35" i="2" l="1"/>
  <c r="N35" i="2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M47" i="2" l="1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M29" i="2"/>
  <c r="O29" i="2"/>
  <c r="P29" i="2"/>
  <c r="Q29" i="2"/>
  <c r="T29" i="2" s="1"/>
  <c r="R29" i="2"/>
  <c r="S29" i="2"/>
  <c r="U29" i="2"/>
  <c r="X29" i="2" s="1"/>
  <c r="V29" i="2"/>
  <c r="W29" i="2"/>
  <c r="L34" i="2"/>
  <c r="M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M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M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M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M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M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M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M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M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M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M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M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M28" i="2"/>
  <c r="O28" i="2"/>
  <c r="P28" i="2"/>
  <c r="Q28" i="2"/>
  <c r="T28" i="2" s="1"/>
  <c r="R28" i="2"/>
  <c r="S28" i="2"/>
  <c r="U28" i="2"/>
  <c r="X28" i="2" s="1"/>
  <c r="V28" i="2"/>
  <c r="W28" i="2"/>
  <c r="L30" i="2"/>
  <c r="M30" i="2"/>
  <c r="O30" i="2"/>
  <c r="P30" i="2"/>
  <c r="Q30" i="2"/>
  <c r="T30" i="2" s="1"/>
  <c r="R30" i="2"/>
  <c r="S30" i="2"/>
  <c r="U30" i="2"/>
  <c r="X30" i="2" s="1"/>
  <c r="V30" i="2"/>
  <c r="W30" i="2"/>
  <c r="L31" i="2"/>
  <c r="M31" i="2"/>
  <c r="O31" i="2"/>
  <c r="P31" i="2"/>
  <c r="Q31" i="2"/>
  <c r="T31" i="2" s="1"/>
  <c r="R31" i="2"/>
  <c r="S31" i="2"/>
  <c r="U31" i="2"/>
  <c r="X31" i="2" s="1"/>
  <c r="V31" i="2"/>
  <c r="W31" i="2"/>
  <c r="L32" i="2"/>
  <c r="M32" i="2"/>
  <c r="O32" i="2"/>
  <c r="P32" i="2"/>
  <c r="Q32" i="2"/>
  <c r="T32" i="2" s="1"/>
  <c r="R32" i="2"/>
  <c r="S32" i="2"/>
  <c r="U32" i="2"/>
  <c r="X32" i="2" s="1"/>
  <c r="V32" i="2"/>
  <c r="W32" i="2"/>
  <c r="L33" i="2"/>
  <c r="M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M23" i="2"/>
  <c r="M24" i="2"/>
  <c r="M25" i="2"/>
  <c r="M26" i="2"/>
  <c r="M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M21" i="2"/>
  <c r="O21" i="2"/>
  <c r="P21" i="2"/>
  <c r="Q21" i="2"/>
  <c r="T21" i="2" s="1"/>
  <c r="R21" i="2"/>
  <c r="S21" i="2"/>
  <c r="U21" i="2"/>
  <c r="X21" i="2" s="1"/>
  <c r="V21" i="2"/>
  <c r="W21" i="2"/>
  <c r="L22" i="2"/>
  <c r="M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M18" i="2"/>
  <c r="O18" i="2"/>
  <c r="P18" i="2"/>
  <c r="Q18" i="2"/>
  <c r="T18" i="2" s="1"/>
  <c r="R18" i="2"/>
  <c r="S18" i="2"/>
  <c r="U18" i="2"/>
  <c r="X18" i="2" s="1"/>
  <c r="V18" i="2"/>
  <c r="W18" i="2"/>
  <c r="L19" i="2"/>
  <c r="M19" i="2"/>
  <c r="O19" i="2"/>
  <c r="P19" i="2"/>
  <c r="Q19" i="2"/>
  <c r="T19" i="2" s="1"/>
  <c r="R19" i="2"/>
  <c r="S19" i="2"/>
  <c r="U19" i="2"/>
  <c r="X19" i="2" s="1"/>
  <c r="V19" i="2"/>
  <c r="W19" i="2"/>
  <c r="L20" i="2"/>
  <c r="M20" i="2"/>
  <c r="O20" i="2"/>
  <c r="P20" i="2"/>
  <c r="Q20" i="2"/>
  <c r="T20" i="2" s="1"/>
  <c r="R20" i="2"/>
  <c r="S20" i="2"/>
  <c r="U20" i="2"/>
  <c r="X20" i="2" s="1"/>
  <c r="V20" i="2"/>
  <c r="W20" i="2"/>
  <c r="L16" i="2"/>
  <c r="M16" i="2"/>
  <c r="O16" i="2"/>
  <c r="P16" i="2"/>
  <c r="Q16" i="2"/>
  <c r="T16" i="2" s="1"/>
  <c r="R16" i="2"/>
  <c r="S16" i="2"/>
  <c r="U16" i="2"/>
  <c r="X16" i="2" s="1"/>
  <c r="V16" i="2"/>
  <c r="W16" i="2"/>
  <c r="L17" i="2"/>
  <c r="M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M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<sst xmlns="http://schemas.openxmlformats.org/spreadsheetml/2006/main" count="158" uniqueCount="109">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</sst>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zoomScaleNormal="100" workbookViewId="0">
      <selection activeCell="E15" sqref="E15"/>
    </sheetView>
  </sheetViews>
  <sheetFormatPr defaultRowHeight="14.5" x14ac:dyDescent="0.35"/>
  <cols>
    <col min="1" max="1" width="5.90625" bestFit="1" customWidth="1"/>
    <col min="3" max="3" width="15.08984375" bestFit="1" customWidth="1"/>
    <col min="4" max="4" width="10.08984375" bestFit="1" customWidth="1"/>
    <col min="5" max="5" width="17.7265625" bestFit="1" customWidth="1"/>
  </cols>
  <sheetData>
    <row r="1" spans="1:24" ht="15" thickBot="1" x14ac:dyDescent="0.4">
      <c r="B1" s="156">
        <f ca="1">TODAY()</f>
        <v>46270</v>
      </c>
      <c r="C1" s="156"/>
      <c r="D1" s="156"/>
      <c r="E1" s="156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3" t="s">
        <v>35</v>
      </c>
      <c r="B2" s="157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45"/>
      <c r="M2" s="146"/>
      <c r="N2" s="147"/>
      <c r="O2" s="148" t="s">
        <v>14</v>
      </c>
      <c r="P2" s="149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3"/>
      <c r="B3" s="158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0" t="s">
        <v>11</v>
      </c>
      <c r="M3" s="151"/>
      <c r="N3" s="152"/>
      <c r="O3" s="65"/>
      <c r="P3" s="66"/>
      <c r="Q3" s="160" t="s">
        <v>16</v>
      </c>
      <c r="R3" s="161"/>
      <c r="S3" s="161"/>
      <c r="T3" s="162"/>
      <c r="U3" s="163" t="s">
        <v>17</v>
      </c>
      <c r="V3" s="164"/>
      <c r="W3" s="164"/>
      <c r="X3" s="165"/>
    </row>
    <row r="4" spans="1:24" ht="15" thickBot="1" x14ac:dyDescent="0.4">
      <c r="A4" s="153"/>
      <c r="B4" s="159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7:M38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/>
      <c r="B14" s="41">
        <v>10</v>
      </c>
      <c r="C14" s="140"/>
      <c r="D14" s="140"/>
      <c r="E14" s="44"/>
      <c r="F14" s="44"/>
      <c r="G14" s="69"/>
      <c r="H14" s="43"/>
      <c r="I14" s="44"/>
      <c r="J14" s="69"/>
      <c r="K14" s="70"/>
      <c r="L14" s="42">
        <f t="shared" si="0"/>
        <v>0</v>
      </c>
      <c r="M14" s="33">
        <f t="shared" si="15"/>
        <v>0</v>
      </c>
      <c r="N14" s="43"/>
      <c r="O14" s="67">
        <f t="shared" si="11"/>
        <v>0</v>
      </c>
      <c r="P14" s="34">
        <f t="shared" si="12"/>
        <v>0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/>
      <c r="B15" s="41">
        <v>11</v>
      </c>
      <c r="C15" s="140"/>
      <c r="D15" s="140"/>
      <c r="E15" s="44"/>
      <c r="F15" s="44"/>
      <c r="G15" s="69"/>
      <c r="H15" s="43"/>
      <c r="I15" s="44"/>
      <c r="J15" s="69"/>
      <c r="K15" s="70"/>
      <c r="L15" s="42">
        <f t="shared" si="0"/>
        <v>0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/>
      <c r="B16" s="41">
        <v>12</v>
      </c>
      <c r="C16" s="140"/>
      <c r="D16" s="140"/>
      <c r="E16" s="44"/>
      <c r="F16" s="44"/>
      <c r="G16" s="69"/>
      <c r="H16" s="43"/>
      <c r="I16" s="44"/>
      <c r="J16" s="69"/>
      <c r="K16" s="70"/>
      <c r="L16" s="42">
        <f t="shared" si="0"/>
        <v>0</v>
      </c>
      <c r="M16" s="33">
        <f t="shared" si="15"/>
        <v>0</v>
      </c>
      <c r="N16" s="43"/>
      <c r="O16" s="67">
        <f t="shared" ref="O16:O17" si="18">SUM(F16:H16)/20</f>
        <v>0</v>
      </c>
      <c r="P16" s="34">
        <f t="shared" ref="P16:P17" si="19">SUM(I16:K16)/20</f>
        <v>0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/>
      <c r="B17" s="41">
        <v>13</v>
      </c>
      <c r="C17" s="140"/>
      <c r="D17" s="140"/>
      <c r="E17" s="44"/>
      <c r="F17" s="44"/>
      <c r="G17" s="69"/>
      <c r="H17" s="43"/>
      <c r="I17" s="44"/>
      <c r="J17" s="69"/>
      <c r="K17" s="70"/>
      <c r="L17" s="42">
        <f t="shared" si="0"/>
        <v>0</v>
      </c>
      <c r="M17" s="33">
        <f t="shared" si="15"/>
        <v>0</v>
      </c>
      <c r="N17" s="43"/>
      <c r="O17" s="67">
        <f t="shared" si="18"/>
        <v>0</v>
      </c>
      <c r="P17" s="34">
        <f t="shared" si="19"/>
        <v>0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/>
      <c r="B18" s="41">
        <v>14</v>
      </c>
      <c r="C18" s="140"/>
      <c r="D18" s="140"/>
      <c r="E18" s="44"/>
      <c r="F18" s="44"/>
      <c r="G18" s="69"/>
      <c r="H18" s="43"/>
      <c r="I18" s="44"/>
      <c r="J18" s="69"/>
      <c r="K18" s="70"/>
      <c r="L18" s="42">
        <f t="shared" si="0"/>
        <v>0</v>
      </c>
      <c r="M18" s="33">
        <f t="shared" si="15"/>
        <v>0</v>
      </c>
      <c r="N18" s="43"/>
      <c r="O18" s="67">
        <f t="shared" ref="O18:O20" si="24">SUM(F18:H18)/20</f>
        <v>0</v>
      </c>
      <c r="P18" s="34">
        <f t="shared" ref="P18:P20" si="25">SUM(I18:K18)/20</f>
        <v>0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/>
      <c r="B19" s="41">
        <v>15</v>
      </c>
      <c r="C19" s="140"/>
      <c r="D19" s="140"/>
      <c r="E19" s="44"/>
      <c r="F19" s="44"/>
      <c r="G19" s="69"/>
      <c r="H19" s="43"/>
      <c r="I19" s="44"/>
      <c r="J19" s="69"/>
      <c r="K19" s="70"/>
      <c r="L19" s="42">
        <f t="shared" si="0"/>
        <v>0</v>
      </c>
      <c r="M19" s="33">
        <f t="shared" si="15"/>
        <v>0</v>
      </c>
      <c r="N19" s="43"/>
      <c r="O19" s="67">
        <f t="shared" si="24"/>
        <v>0</v>
      </c>
      <c r="P19" s="34">
        <f t="shared" si="25"/>
        <v>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/>
      <c r="B20" s="41">
        <v>16</v>
      </c>
      <c r="C20" s="140"/>
      <c r="D20" s="140"/>
      <c r="E20" s="44"/>
      <c r="F20" s="44"/>
      <c r="G20" s="69"/>
      <c r="H20" s="43"/>
      <c r="I20" s="44"/>
      <c r="J20" s="69"/>
      <c r="K20" s="70"/>
      <c r="L20" s="42">
        <f t="shared" si="0"/>
        <v>0</v>
      </c>
      <c r="M20" s="33">
        <f t="shared" si="15"/>
        <v>0</v>
      </c>
      <c r="N20" s="43"/>
      <c r="O20" s="67">
        <f t="shared" si="24"/>
        <v>0</v>
      </c>
      <c r="P20" s="34">
        <f t="shared" si="25"/>
        <v>0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/>
      <c r="B21" s="41">
        <v>17</v>
      </c>
      <c r="C21" s="140"/>
      <c r="D21" s="140"/>
      <c r="E21" s="44"/>
      <c r="F21" s="44"/>
      <c r="G21" s="69"/>
      <c r="H21" s="43"/>
      <c r="I21" s="44"/>
      <c r="J21" s="69"/>
      <c r="K21" s="70"/>
      <c r="L21" s="42">
        <f t="shared" si="0"/>
        <v>0</v>
      </c>
      <c r="M21" s="33">
        <f t="shared" si="15"/>
        <v>0</v>
      </c>
      <c r="N21" s="43"/>
      <c r="O21" s="67">
        <f t="shared" ref="O21:O23" si="30">SUM(F21:H21)/20</f>
        <v>0</v>
      </c>
      <c r="P21" s="34">
        <f t="shared" ref="P21:P23" si="31">SUM(I21:K21)/20</f>
        <v>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/>
      <c r="B22" s="41">
        <v>18</v>
      </c>
      <c r="C22" s="140"/>
      <c r="D22" s="140"/>
      <c r="E22" s="44"/>
      <c r="F22" s="44"/>
      <c r="G22" s="69"/>
      <c r="H22" s="43"/>
      <c r="I22" s="44"/>
      <c r="J22" s="69"/>
      <c r="K22" s="70"/>
      <c r="L22" s="42">
        <f t="shared" si="0"/>
        <v>0</v>
      </c>
      <c r="M22" s="33">
        <f t="shared" si="15"/>
        <v>0</v>
      </c>
      <c r="N22" s="43"/>
      <c r="O22" s="67">
        <f t="shared" si="30"/>
        <v>0</v>
      </c>
      <c r="P22" s="34">
        <f t="shared" si="31"/>
        <v>0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/>
      <c r="B23" s="41">
        <v>19</v>
      </c>
      <c r="C23" s="140"/>
      <c r="D23" s="140"/>
      <c r="E23" s="44"/>
      <c r="F23" s="44"/>
      <c r="G23" s="69"/>
      <c r="H23" s="43"/>
      <c r="I23" s="44"/>
      <c r="J23" s="69"/>
      <c r="K23" s="70"/>
      <c r="L23" s="42">
        <f t="shared" si="0"/>
        <v>0</v>
      </c>
      <c r="M23" s="33">
        <f t="shared" si="15"/>
        <v>0</v>
      </c>
      <c r="N23" s="43"/>
      <c r="O23" s="67">
        <f t="shared" si="30"/>
        <v>0</v>
      </c>
      <c r="P23" s="34">
        <f t="shared" si="31"/>
        <v>0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/>
      <c r="B24" s="41">
        <v>20</v>
      </c>
      <c r="C24" s="140"/>
      <c r="D24" s="140"/>
      <c r="E24" s="44"/>
      <c r="F24" s="44"/>
      <c r="G24" s="69"/>
      <c r="H24" s="43"/>
      <c r="I24" s="44"/>
      <c r="J24" s="69"/>
      <c r="K24" s="70"/>
      <c r="L24" s="42">
        <f t="shared" si="0"/>
        <v>0</v>
      </c>
      <c r="M24" s="33">
        <f t="shared" si="15"/>
        <v>0</v>
      </c>
      <c r="N24" s="43"/>
      <c r="O24" s="67">
        <f t="shared" ref="O24:O27" si="37">SUM(F24:H24)/20</f>
        <v>0</v>
      </c>
      <c r="P24" s="34">
        <f t="shared" ref="P24:P27" si="38">SUM(I24:K24)/20</f>
        <v>0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/>
      <c r="B25" s="41">
        <v>21</v>
      </c>
      <c r="C25" s="140"/>
      <c r="D25" s="140"/>
      <c r="E25" s="44"/>
      <c r="F25" s="44"/>
      <c r="G25" s="69"/>
      <c r="H25" s="43"/>
      <c r="I25" s="44"/>
      <c r="J25" s="69"/>
      <c r="K25" s="70"/>
      <c r="L25" s="42">
        <f t="shared" si="0"/>
        <v>0</v>
      </c>
      <c r="M25" s="33">
        <f t="shared" si="15"/>
        <v>0</v>
      </c>
      <c r="N25" s="43"/>
      <c r="O25" s="67">
        <f t="shared" si="37"/>
        <v>0</v>
      </c>
      <c r="P25" s="34">
        <f t="shared" si="38"/>
        <v>0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/>
      <c r="B26" s="41">
        <v>22</v>
      </c>
      <c r="C26" s="140"/>
      <c r="D26" s="140"/>
      <c r="E26" s="44"/>
      <c r="F26" s="44"/>
      <c r="G26" s="69"/>
      <c r="H26" s="43"/>
      <c r="I26" s="44"/>
      <c r="J26" s="69"/>
      <c r="K26" s="70"/>
      <c r="L26" s="42">
        <f t="shared" si="0"/>
        <v>0</v>
      </c>
      <c r="M26" s="33">
        <f t="shared" si="15"/>
        <v>0</v>
      </c>
      <c r="N26" s="43"/>
      <c r="O26" s="67">
        <f t="shared" si="37"/>
        <v>0</v>
      </c>
      <c r="P26" s="34">
        <f t="shared" si="38"/>
        <v>0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/>
      <c r="B27" s="41">
        <v>23</v>
      </c>
      <c r="C27" s="140"/>
      <c r="D27" s="140"/>
      <c r="E27" s="44"/>
      <c r="F27" s="44"/>
      <c r="G27" s="69"/>
      <c r="H27" s="43"/>
      <c r="I27" s="44"/>
      <c r="J27" s="69"/>
      <c r="K27" s="70"/>
      <c r="L27" s="42">
        <f t="shared" si="0"/>
        <v>0</v>
      </c>
      <c r="M27" s="33">
        <f t="shared" si="15"/>
        <v>0</v>
      </c>
      <c r="N27" s="43"/>
      <c r="O27" s="67">
        <f t="shared" si="37"/>
        <v>0</v>
      </c>
      <c r="P27" s="34">
        <f t="shared" si="38"/>
        <v>0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/>
      <c r="B28" s="41">
        <v>24</v>
      </c>
      <c r="C28" s="140"/>
      <c r="D28" s="140"/>
      <c r="E28" s="44"/>
      <c r="F28" s="44"/>
      <c r="G28" s="69"/>
      <c r="H28" s="43"/>
      <c r="I28" s="44"/>
      <c r="J28" s="69"/>
      <c r="K28" s="70"/>
      <c r="L28" s="42">
        <f t="shared" si="0"/>
        <v>0</v>
      </c>
      <c r="M28" s="33">
        <f t="shared" si="15"/>
        <v>0</v>
      </c>
      <c r="N28" s="43"/>
      <c r="O28" s="67">
        <f t="shared" ref="O28:O61" si="41">SUM(F28:H28)/20</f>
        <v>0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/>
      <c r="B29" s="41">
        <v>25</v>
      </c>
      <c r="C29" s="140"/>
      <c r="D29" s="140"/>
      <c r="E29" s="44"/>
      <c r="F29" s="44"/>
      <c r="G29" s="69"/>
      <c r="H29" s="43"/>
      <c r="I29" s="44"/>
      <c r="J29" s="69"/>
      <c r="K29" s="70"/>
      <c r="L29" s="42">
        <f t="shared" si="0"/>
        <v>0</v>
      </c>
      <c r="M29" s="33">
        <f t="shared" si="15"/>
        <v>0</v>
      </c>
      <c r="N29" s="43"/>
      <c r="O29" s="67">
        <f t="shared" ref="O29" si="47">SUM(F29:H29)/20</f>
        <v>0</v>
      </c>
      <c r="P29" s="34">
        <f t="shared" ref="P29" si="48">SUM(I29:K29)/20</f>
        <v>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/>
      <c r="B30" s="41">
        <v>26</v>
      </c>
      <c r="C30" s="140"/>
      <c r="D30" s="140"/>
      <c r="E30" s="44"/>
      <c r="F30" s="44"/>
      <c r="G30" s="69"/>
      <c r="H30" s="43"/>
      <c r="I30" s="44"/>
      <c r="J30" s="69"/>
      <c r="K30" s="70"/>
      <c r="L30" s="42">
        <f t="shared" si="0"/>
        <v>0</v>
      </c>
      <c r="M30" s="33">
        <f t="shared" si="15"/>
        <v>0</v>
      </c>
      <c r="N30" s="43"/>
      <c r="O30" s="67">
        <f t="shared" si="41"/>
        <v>0</v>
      </c>
      <c r="P30" s="34">
        <f t="shared" si="42"/>
        <v>0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/>
      <c r="B31" s="41">
        <v>27</v>
      </c>
      <c r="C31" s="140"/>
      <c r="D31" s="140"/>
      <c r="E31" s="44"/>
      <c r="F31" s="44"/>
      <c r="G31" s="69"/>
      <c r="H31" s="43"/>
      <c r="I31" s="44"/>
      <c r="J31" s="69"/>
      <c r="K31" s="70"/>
      <c r="L31" s="42">
        <f t="shared" si="0"/>
        <v>0</v>
      </c>
      <c r="M31" s="33">
        <f t="shared" si="15"/>
        <v>0</v>
      </c>
      <c r="N31" s="43"/>
      <c r="O31" s="67">
        <f t="shared" si="41"/>
        <v>0</v>
      </c>
      <c r="P31" s="34">
        <f t="shared" si="42"/>
        <v>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/>
      <c r="B32" s="41">
        <v>28</v>
      </c>
      <c r="C32" s="140"/>
      <c r="D32" s="140"/>
      <c r="E32" s="44"/>
      <c r="F32" s="44"/>
      <c r="G32" s="69"/>
      <c r="H32" s="43"/>
      <c r="I32" s="44"/>
      <c r="J32" s="69"/>
      <c r="K32" s="70"/>
      <c r="L32" s="42">
        <f t="shared" si="0"/>
        <v>0</v>
      </c>
      <c r="M32" s="33">
        <f t="shared" si="15"/>
        <v>0</v>
      </c>
      <c r="N32" s="43"/>
      <c r="O32" s="67">
        <f t="shared" si="41"/>
        <v>0</v>
      </c>
      <c r="P32" s="34">
        <f t="shared" si="42"/>
        <v>0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/>
      <c r="B33" s="41">
        <v>29</v>
      </c>
      <c r="C33" s="140"/>
      <c r="D33" s="140"/>
      <c r="E33" s="44"/>
      <c r="F33" s="44"/>
      <c r="G33" s="69"/>
      <c r="H33" s="43"/>
      <c r="I33" s="44"/>
      <c r="J33" s="69"/>
      <c r="K33" s="70"/>
      <c r="L33" s="42">
        <f t="shared" si="0"/>
        <v>0</v>
      </c>
      <c r="M33" s="33">
        <f t="shared" si="15"/>
        <v>0</v>
      </c>
      <c r="N33" s="43"/>
      <c r="O33" s="67">
        <f t="shared" si="41"/>
        <v>0</v>
      </c>
      <c r="P33" s="34">
        <f t="shared" si="42"/>
        <v>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/>
      <c r="B34" s="41">
        <v>30</v>
      </c>
      <c r="C34" s="140"/>
      <c r="D34" s="140"/>
      <c r="E34" s="44"/>
      <c r="F34" s="44"/>
      <c r="G34" s="69"/>
      <c r="H34" s="43"/>
      <c r="I34" s="44"/>
      <c r="J34" s="69"/>
      <c r="K34" s="70"/>
      <c r="L34" s="42">
        <f t="shared" si="0"/>
        <v>0</v>
      </c>
      <c r="M34" s="33">
        <f t="shared" si="15"/>
        <v>0</v>
      </c>
      <c r="N34" s="43">
        <f t="shared" ref="N34:N65" si="53">SUMPRODUCT($E$3:$K$3,$E$6:$K$6)/1000</f>
        <v>9.2011000000000003</v>
      </c>
      <c r="O34" s="67">
        <f t="shared" ref="O34:O47" si="54">SUM(F34:H34)/20</f>
        <v>0</v>
      </c>
      <c r="P34" s="34">
        <f t="shared" ref="P34:P47" si="55">SUM(I34:K34)/20</f>
        <v>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/>
      <c r="B35" s="41">
        <v>31</v>
      </c>
      <c r="C35" s="140"/>
      <c r="D35" s="140"/>
      <c r="E35" s="44"/>
      <c r="F35" s="44"/>
      <c r="G35" s="69"/>
      <c r="H35" s="43"/>
      <c r="I35" s="44"/>
      <c r="J35" s="69"/>
      <c r="K35" s="70"/>
      <c r="L35" s="42">
        <f t="shared" si="0"/>
        <v>0</v>
      </c>
      <c r="M35" s="33">
        <f t="shared" si="15"/>
        <v>0</v>
      </c>
      <c r="N35" s="43">
        <f t="shared" si="53"/>
        <v>9.2011000000000003</v>
      </c>
      <c r="O35" s="67">
        <f t="shared" ref="O35" si="60">SUM(F35:H35)/20</f>
        <v>0</v>
      </c>
      <c r="P35" s="34">
        <f t="shared" ref="P35" si="61">SUM(I35:K35)/20</f>
        <v>0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/>
      <c r="B36" s="41">
        <v>32</v>
      </c>
      <c r="C36" s="140"/>
      <c r="D36" s="140"/>
      <c r="E36" s="44"/>
      <c r="F36" s="44"/>
      <c r="G36" s="69"/>
      <c r="H36" s="43"/>
      <c r="I36" s="44"/>
      <c r="J36" s="69"/>
      <c r="K36" s="70"/>
      <c r="L36" s="42">
        <f t="shared" si="0"/>
        <v>0</v>
      </c>
      <c r="M36" s="33">
        <f t="shared" si="15"/>
        <v>0</v>
      </c>
      <c r="N36" s="43">
        <f t="shared" si="53"/>
        <v>9.2011000000000003</v>
      </c>
      <c r="O36" s="67">
        <f t="shared" si="54"/>
        <v>0</v>
      </c>
      <c r="P36" s="34">
        <f t="shared" si="55"/>
        <v>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/>
      <c r="B37" s="41">
        <v>33</v>
      </c>
      <c r="C37" s="140"/>
      <c r="D37" s="140"/>
      <c r="E37" s="44"/>
      <c r="F37" s="44"/>
      <c r="G37" s="69"/>
      <c r="H37" s="43"/>
      <c r="I37" s="44"/>
      <c r="J37" s="69"/>
      <c r="K37" s="70"/>
      <c r="L37" s="42">
        <f t="shared" ref="L37:L68" si="66">SUM(E37:K37)/40</f>
        <v>0</v>
      </c>
      <c r="M37" s="33">
        <f t="shared" si="15"/>
        <v>0</v>
      </c>
      <c r="N37" s="43">
        <f t="shared" si="53"/>
        <v>9.2011000000000003</v>
      </c>
      <c r="O37" s="67">
        <f t="shared" si="54"/>
        <v>0</v>
      </c>
      <c r="P37" s="34">
        <f t="shared" si="55"/>
        <v>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/>
      <c r="B38" s="41">
        <v>34</v>
      </c>
      <c r="C38" s="140"/>
      <c r="D38" s="140"/>
      <c r="E38" s="44"/>
      <c r="F38" s="44"/>
      <c r="G38" s="69"/>
      <c r="H38" s="43"/>
      <c r="I38" s="44"/>
      <c r="J38" s="69"/>
      <c r="K38" s="70"/>
      <c r="L38" s="42">
        <f t="shared" si="66"/>
        <v>0</v>
      </c>
      <c r="M38" s="33">
        <f t="shared" si="15"/>
        <v>0</v>
      </c>
      <c r="N38" s="43">
        <f t="shared" si="53"/>
        <v>9.2011000000000003</v>
      </c>
      <c r="O38" s="67">
        <f t="shared" si="54"/>
        <v>0</v>
      </c>
      <c r="P38" s="34">
        <f t="shared" si="55"/>
        <v>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/>
      <c r="B39" s="41">
        <v>35</v>
      </c>
      <c r="C39" s="140"/>
      <c r="D39" s="140"/>
      <c r="E39" s="44"/>
      <c r="F39" s="44"/>
      <c r="G39" s="69"/>
      <c r="H39" s="43"/>
      <c r="I39" s="44"/>
      <c r="J39" s="69"/>
      <c r="K39" s="70"/>
      <c r="L39" s="42">
        <f t="shared" si="66"/>
        <v>0</v>
      </c>
      <c r="M39" s="33">
        <f t="shared" ref="M39:M70" si="67">SUMPRODUCT($E$4:$K$4,$E$6:$K$6)</f>
        <v>0</v>
      </c>
      <c r="N39" s="43">
        <f t="shared" si="53"/>
        <v>9.2011000000000003</v>
      </c>
      <c r="O39" s="67">
        <f t="shared" si="54"/>
        <v>0</v>
      </c>
      <c r="P39" s="34">
        <f t="shared" si="55"/>
        <v>0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/>
      <c r="B40" s="41">
        <v>36</v>
      </c>
      <c r="C40" s="140"/>
      <c r="D40" s="140"/>
      <c r="E40" s="44"/>
      <c r="F40" s="44"/>
      <c r="G40" s="69"/>
      <c r="H40" s="43"/>
      <c r="I40" s="44"/>
      <c r="J40" s="69"/>
      <c r="K40" s="70"/>
      <c r="L40" s="42">
        <f t="shared" si="66"/>
        <v>0</v>
      </c>
      <c r="M40" s="33">
        <f t="shared" si="67"/>
        <v>0</v>
      </c>
      <c r="N40" s="43">
        <f t="shared" si="53"/>
        <v>9.2011000000000003</v>
      </c>
      <c r="O40" s="67">
        <f t="shared" si="54"/>
        <v>0</v>
      </c>
      <c r="P40" s="34">
        <f t="shared" si="55"/>
        <v>0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/>
      <c r="B41" s="41">
        <v>37</v>
      </c>
      <c r="C41" s="140"/>
      <c r="D41" s="140"/>
      <c r="E41" s="44"/>
      <c r="F41" s="44"/>
      <c r="G41" s="69"/>
      <c r="H41" s="43"/>
      <c r="I41" s="44"/>
      <c r="J41" s="69"/>
      <c r="K41" s="70"/>
      <c r="L41" s="42">
        <f t="shared" si="66"/>
        <v>0</v>
      </c>
      <c r="M41" s="33">
        <f t="shared" si="67"/>
        <v>0</v>
      </c>
      <c r="N41" s="43">
        <f t="shared" si="53"/>
        <v>9.2011000000000003</v>
      </c>
      <c r="O41" s="67">
        <f t="shared" si="54"/>
        <v>0</v>
      </c>
      <c r="P41" s="34">
        <f t="shared" si="55"/>
        <v>0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6"/>
        <v>0</v>
      </c>
      <c r="M42" s="33">
        <f t="shared" si="67"/>
        <v>0</v>
      </c>
      <c r="N42" s="43">
        <f t="shared" si="53"/>
        <v>9.2011000000000003</v>
      </c>
      <c r="O42" s="67">
        <f t="shared" si="54"/>
        <v>0</v>
      </c>
      <c r="P42" s="34">
        <f t="shared" si="55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6"/>
        <v>0</v>
      </c>
      <c r="M43" s="33">
        <f t="shared" si="67"/>
        <v>0</v>
      </c>
      <c r="N43" s="43">
        <f t="shared" si="53"/>
        <v>9.2011000000000003</v>
      </c>
      <c r="O43" s="67">
        <f t="shared" si="54"/>
        <v>0</v>
      </c>
      <c r="P43" s="34">
        <f t="shared" si="55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6"/>
        <v>0</v>
      </c>
      <c r="M44" s="33">
        <f t="shared" si="67"/>
        <v>0</v>
      </c>
      <c r="N44" s="43">
        <f t="shared" si="53"/>
        <v>9.2011000000000003</v>
      </c>
      <c r="O44" s="67">
        <f t="shared" si="54"/>
        <v>0</v>
      </c>
      <c r="P44" s="34">
        <f t="shared" si="55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6"/>
        <v>0</v>
      </c>
      <c r="M45" s="33">
        <f t="shared" si="67"/>
        <v>0</v>
      </c>
      <c r="N45" s="43">
        <f t="shared" si="53"/>
        <v>9.2011000000000003</v>
      </c>
      <c r="O45" s="67">
        <f t="shared" si="54"/>
        <v>0</v>
      </c>
      <c r="P45" s="34">
        <f t="shared" si="55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6"/>
        <v>0</v>
      </c>
      <c r="M46" s="33">
        <f t="shared" si="67"/>
        <v>0</v>
      </c>
      <c r="N46" s="43">
        <f t="shared" si="53"/>
        <v>9.2011000000000003</v>
      </c>
      <c r="O46" s="67">
        <f t="shared" si="54"/>
        <v>0</v>
      </c>
      <c r="P46" s="34">
        <f t="shared" si="55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6"/>
        <v>0</v>
      </c>
      <c r="M47" s="33">
        <f t="shared" si="67"/>
        <v>0</v>
      </c>
      <c r="N47" s="43">
        <f t="shared" si="53"/>
        <v>9.2011000000000003</v>
      </c>
      <c r="O47" s="67">
        <f t="shared" si="54"/>
        <v>0</v>
      </c>
      <c r="P47" s="34">
        <f t="shared" si="55"/>
        <v>0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6"/>
        <v>0</v>
      </c>
      <c r="M48" s="33">
        <f t="shared" si="67"/>
        <v>0</v>
      </c>
      <c r="N48" s="43">
        <f t="shared" si="53"/>
        <v>9.2011000000000003</v>
      </c>
      <c r="O48" s="67">
        <f t="shared" ref="O48:O60" si="68">SUM(F48:H48)/20</f>
        <v>0</v>
      </c>
      <c r="P48" s="34">
        <f t="shared" ref="P48:P60" si="69">SUM(I48:K48)/20</f>
        <v>0</v>
      </c>
      <c r="Q48" s="45"/>
      <c r="R48" s="46"/>
      <c r="S48" s="46"/>
      <c r="T48" s="47"/>
      <c r="U48" s="48"/>
      <c r="V48" s="49">
        <f t="shared" ref="V48:V60" si="70">SUM(F48:H48)*$V$3</f>
        <v>0</v>
      </c>
      <c r="W48" s="49">
        <f t="shared" ref="W48:W60" si="71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6"/>
        <v>0</v>
      </c>
      <c r="M49" s="33">
        <f t="shared" si="67"/>
        <v>0</v>
      </c>
      <c r="N49" s="43">
        <f t="shared" si="53"/>
        <v>9.2011000000000003</v>
      </c>
      <c r="O49" s="67">
        <f t="shared" si="68"/>
        <v>0</v>
      </c>
      <c r="P49" s="34">
        <f t="shared" si="69"/>
        <v>0</v>
      </c>
      <c r="Q49" s="45"/>
      <c r="R49" s="46"/>
      <c r="S49" s="46"/>
      <c r="T49" s="47"/>
      <c r="U49" s="48"/>
      <c r="V49" s="49">
        <f t="shared" si="70"/>
        <v>0</v>
      </c>
      <c r="W49" s="49">
        <f t="shared" si="71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6"/>
        <v>0</v>
      </c>
      <c r="M50" s="33">
        <f t="shared" si="67"/>
        <v>0</v>
      </c>
      <c r="N50" s="43">
        <f t="shared" si="53"/>
        <v>9.2011000000000003</v>
      </c>
      <c r="O50" s="67">
        <f t="shared" si="68"/>
        <v>0</v>
      </c>
      <c r="P50" s="34">
        <f t="shared" si="69"/>
        <v>0</v>
      </c>
      <c r="Q50" s="45"/>
      <c r="R50" s="46"/>
      <c r="S50" s="46"/>
      <c r="T50" s="47"/>
      <c r="U50" s="48"/>
      <c r="V50" s="49">
        <f t="shared" si="70"/>
        <v>0</v>
      </c>
      <c r="W50" s="49">
        <f t="shared" si="71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si="67"/>
        <v>0</v>
      </c>
      <c r="N51" s="43">
        <f t="shared" si="53"/>
        <v>9.2011000000000003</v>
      </c>
      <c r="O51" s="67">
        <f t="shared" si="68"/>
        <v>0</v>
      </c>
      <c r="P51" s="34">
        <f t="shared" si="69"/>
        <v>0</v>
      </c>
      <c r="Q51" s="45"/>
      <c r="R51" s="46"/>
      <c r="S51" s="46"/>
      <c r="T51" s="47"/>
      <c r="U51" s="48"/>
      <c r="V51" s="49">
        <f t="shared" si="70"/>
        <v>0</v>
      </c>
      <c r="W51" s="49">
        <f t="shared" si="71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67"/>
        <v>0</v>
      </c>
      <c r="N52" s="43">
        <f t="shared" si="53"/>
        <v>9.2011000000000003</v>
      </c>
      <c r="O52" s="67">
        <f t="shared" si="68"/>
        <v>0</v>
      </c>
      <c r="P52" s="34">
        <f t="shared" si="69"/>
        <v>0</v>
      </c>
      <c r="Q52" s="45"/>
      <c r="R52" s="46"/>
      <c r="S52" s="46"/>
      <c r="T52" s="47"/>
      <c r="U52" s="48"/>
      <c r="V52" s="49">
        <f t="shared" si="70"/>
        <v>0</v>
      </c>
      <c r="W52" s="49">
        <f t="shared" si="71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67"/>
        <v>0</v>
      </c>
      <c r="N53" s="43">
        <f t="shared" si="53"/>
        <v>9.2011000000000003</v>
      </c>
      <c r="O53" s="67">
        <f t="shared" si="68"/>
        <v>0</v>
      </c>
      <c r="P53" s="34">
        <f t="shared" si="69"/>
        <v>0</v>
      </c>
      <c r="Q53" s="45"/>
      <c r="R53" s="46"/>
      <c r="S53" s="46"/>
      <c r="T53" s="47"/>
      <c r="U53" s="48"/>
      <c r="V53" s="49">
        <f t="shared" si="70"/>
        <v>0</v>
      </c>
      <c r="W53" s="49">
        <f t="shared" si="71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67"/>
        <v>0</v>
      </c>
      <c r="N54" s="43">
        <f t="shared" si="53"/>
        <v>9.2011000000000003</v>
      </c>
      <c r="O54" s="67">
        <f t="shared" si="68"/>
        <v>0</v>
      </c>
      <c r="P54" s="34">
        <f t="shared" si="69"/>
        <v>0</v>
      </c>
      <c r="Q54" s="45"/>
      <c r="R54" s="46"/>
      <c r="S54" s="46"/>
      <c r="T54" s="47"/>
      <c r="U54" s="48"/>
      <c r="V54" s="49">
        <f t="shared" si="70"/>
        <v>0</v>
      </c>
      <c r="W54" s="49">
        <f t="shared" si="71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67"/>
        <v>0</v>
      </c>
      <c r="N55" s="43">
        <f t="shared" si="53"/>
        <v>9.2011000000000003</v>
      </c>
      <c r="O55" s="67">
        <f t="shared" si="68"/>
        <v>0</v>
      </c>
      <c r="P55" s="34">
        <f t="shared" si="69"/>
        <v>0</v>
      </c>
      <c r="Q55" s="45"/>
      <c r="R55" s="46"/>
      <c r="S55" s="46"/>
      <c r="T55" s="47"/>
      <c r="U55" s="48"/>
      <c r="V55" s="49">
        <f t="shared" si="70"/>
        <v>0</v>
      </c>
      <c r="W55" s="49">
        <f t="shared" si="71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67"/>
        <v>0</v>
      </c>
      <c r="N56" s="43">
        <f t="shared" si="53"/>
        <v>9.2011000000000003</v>
      </c>
      <c r="O56" s="67">
        <f t="shared" si="68"/>
        <v>0</v>
      </c>
      <c r="P56" s="34">
        <f t="shared" si="69"/>
        <v>0</v>
      </c>
      <c r="Q56" s="45"/>
      <c r="R56" s="46"/>
      <c r="S56" s="46"/>
      <c r="T56" s="47"/>
      <c r="U56" s="48"/>
      <c r="V56" s="49">
        <f t="shared" si="70"/>
        <v>0</v>
      </c>
      <c r="W56" s="49">
        <f t="shared" si="71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67"/>
        <v>0</v>
      </c>
      <c r="N57" s="43">
        <f t="shared" si="53"/>
        <v>9.2011000000000003</v>
      </c>
      <c r="O57" s="67">
        <f t="shared" si="68"/>
        <v>0</v>
      </c>
      <c r="P57" s="34">
        <f t="shared" si="69"/>
        <v>0</v>
      </c>
      <c r="Q57" s="45"/>
      <c r="R57" s="46"/>
      <c r="S57" s="46"/>
      <c r="T57" s="47"/>
      <c r="U57" s="48"/>
      <c r="V57" s="49">
        <f t="shared" si="70"/>
        <v>0</v>
      </c>
      <c r="W57" s="49">
        <f t="shared" si="71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67"/>
        <v>0</v>
      </c>
      <c r="N58" s="43">
        <f t="shared" si="53"/>
        <v>9.2011000000000003</v>
      </c>
      <c r="O58" s="67">
        <f t="shared" si="68"/>
        <v>0</v>
      </c>
      <c r="P58" s="34">
        <f t="shared" si="69"/>
        <v>0</v>
      </c>
      <c r="Q58" s="45"/>
      <c r="R58" s="46"/>
      <c r="S58" s="46"/>
      <c r="T58" s="47"/>
      <c r="U58" s="48"/>
      <c r="V58" s="49">
        <f t="shared" si="70"/>
        <v>0</v>
      </c>
      <c r="W58" s="49">
        <f t="shared" si="71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67"/>
        <v>0</v>
      </c>
      <c r="N59" s="43">
        <f t="shared" si="53"/>
        <v>9.2011000000000003</v>
      </c>
      <c r="O59" s="67">
        <f t="shared" si="68"/>
        <v>0</v>
      </c>
      <c r="P59" s="34">
        <f t="shared" si="69"/>
        <v>0</v>
      </c>
      <c r="Q59" s="45"/>
      <c r="R59" s="46"/>
      <c r="S59" s="46"/>
      <c r="T59" s="47"/>
      <c r="U59" s="48"/>
      <c r="V59" s="49">
        <f t="shared" si="70"/>
        <v>0</v>
      </c>
      <c r="W59" s="49">
        <f t="shared" si="71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67"/>
        <v>0</v>
      </c>
      <c r="N60" s="43">
        <f t="shared" si="53"/>
        <v>9.2011000000000003</v>
      </c>
      <c r="O60" s="67">
        <f t="shared" si="68"/>
        <v>0</v>
      </c>
      <c r="P60" s="34">
        <f t="shared" si="69"/>
        <v>0</v>
      </c>
      <c r="Q60" s="45"/>
      <c r="R60" s="46"/>
      <c r="S60" s="46"/>
      <c r="T60" s="47"/>
      <c r="U60" s="48"/>
      <c r="V60" s="49">
        <f t="shared" si="70"/>
        <v>0</v>
      </c>
      <c r="W60" s="49">
        <f t="shared" si="71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67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67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67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67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67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67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67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67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67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67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66" t="s">
        <v>11</v>
      </c>
      <c r="C133" s="167"/>
      <c r="D133" s="136"/>
      <c r="E133" s="78">
        <f t="shared" ref="E133:K133" si="102">SUM(E6:E61)</f>
        <v>280</v>
      </c>
      <c r="F133" s="78">
        <f t="shared" si="102"/>
        <v>520</v>
      </c>
      <c r="G133" s="78">
        <f t="shared" si="102"/>
        <v>520</v>
      </c>
      <c r="H133" s="78">
        <f t="shared" si="102"/>
        <v>720</v>
      </c>
      <c r="I133" s="78">
        <f t="shared" si="102"/>
        <v>760</v>
      </c>
      <c r="J133" s="78">
        <f t="shared" si="102"/>
        <v>600</v>
      </c>
      <c r="K133" s="78">
        <f t="shared" si="102"/>
        <v>0</v>
      </c>
      <c r="L133" s="42">
        <f t="shared" ref="L133" si="103">SUM(E133:K133)/40</f>
        <v>85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88</v>
      </c>
      <c r="P133" s="34">
        <f t="shared" ref="P133:P137" si="105">SUM(I133:K133)/20</f>
        <v>68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54" t="s">
        <v>68</v>
      </c>
      <c r="C137" s="155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43" t="s">
        <v>11</v>
      </c>
      <c r="C138" s="144"/>
      <c r="D138" s="138"/>
      <c r="E138" s="79">
        <f>SUM(E133,E137)</f>
        <v>280</v>
      </c>
      <c r="F138" s="79">
        <f t="shared" ref="F138:K138" si="109">SUM(F133,F137)</f>
        <v>520</v>
      </c>
      <c r="G138" s="79">
        <f t="shared" si="109"/>
        <v>520</v>
      </c>
      <c r="H138" s="79">
        <f t="shared" si="109"/>
        <v>720</v>
      </c>
      <c r="I138" s="79">
        <f t="shared" si="109"/>
        <v>760</v>
      </c>
      <c r="J138" s="79">
        <f t="shared" si="109"/>
        <v>600</v>
      </c>
      <c r="K138" s="79">
        <f t="shared" si="109"/>
        <v>0</v>
      </c>
      <c r="L138" s="54">
        <f>SUM(E138:K138)/40</f>
        <v>85</v>
      </c>
      <c r="M138" s="57">
        <f>SUM(M5:M137)</f>
        <v>98</v>
      </c>
      <c r="N138" s="55">
        <f t="shared" ref="N138:X138" si="110">SUM(N5:N137)</f>
        <v>947.71329999999978</v>
      </c>
      <c r="O138" s="56">
        <f t="shared" si="110"/>
        <v>296</v>
      </c>
      <c r="P138" s="58">
        <f t="shared" si="110"/>
        <v>256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opLeftCell="G1" zoomScale="85" zoomScaleNormal="85" workbookViewId="0">
      <selection activeCell="R6" sqref="R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0" t="s">
        <v>88</v>
      </c>
      <c r="D3" s="171"/>
      <c r="E3" s="171"/>
      <c r="F3" s="171"/>
      <c r="G3" s="172"/>
      <c r="H3" s="174" t="s">
        <v>60</v>
      </c>
      <c r="I3" s="175"/>
      <c r="K3" s="176" t="s">
        <v>64</v>
      </c>
      <c r="L3" s="176"/>
      <c r="M3" s="176"/>
      <c r="N3" s="176"/>
      <c r="O3" s="176"/>
      <c r="P3" s="176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/>
      <c r="E5" s="73"/>
      <c r="F5" s="73"/>
      <c r="G5" s="96">
        <f>SUM(D5:F5)</f>
        <v>0</v>
      </c>
      <c r="H5" s="89">
        <v>10000</v>
      </c>
      <c r="I5" s="90">
        <f>G5-H5</f>
        <v>-10000</v>
      </c>
      <c r="K5" s="141" t="s">
        <v>1</v>
      </c>
      <c r="L5" s="7">
        <v>70</v>
      </c>
      <c r="M5" s="5">
        <v>5914</v>
      </c>
      <c r="N5" s="6">
        <f t="shared" ref="N5:N11" si="0">M5/40</f>
        <v>147.85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0</v>
      </c>
      <c r="E6" s="98">
        <f t="shared" ref="E6:F6" si="1">E5*40</f>
        <v>0</v>
      </c>
      <c r="F6" s="98">
        <f t="shared" si="1"/>
        <v>0</v>
      </c>
      <c r="G6" s="99">
        <f>SUM(D6:F6)</f>
        <v>0</v>
      </c>
      <c r="H6" s="91">
        <f>H5*40</f>
        <v>400000</v>
      </c>
      <c r="I6" s="92">
        <f>G6-H6</f>
        <v>-400000</v>
      </c>
      <c r="K6" s="141" t="s">
        <v>2</v>
      </c>
      <c r="L6" s="7">
        <v>70</v>
      </c>
      <c r="M6" s="5">
        <v>3824</v>
      </c>
      <c r="N6" s="6">
        <f t="shared" si="0"/>
        <v>95.6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1272</v>
      </c>
      <c r="N7" s="6">
        <f t="shared" si="0"/>
        <v>31.8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6217</v>
      </c>
      <c r="N8" s="6">
        <f t="shared" si="0"/>
        <v>155.42500000000001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0</v>
      </c>
      <c r="E9" s="100">
        <f>E8-E5</f>
        <v>0</v>
      </c>
      <c r="K9" s="141" t="s">
        <v>5</v>
      </c>
      <c r="L9" s="7">
        <v>120</v>
      </c>
      <c r="M9" s="5">
        <v>7343</v>
      </c>
      <c r="N9" s="6">
        <f t="shared" si="0"/>
        <v>183.57499999999999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727</v>
      </c>
      <c r="N10" s="6">
        <f t="shared" si="0"/>
        <v>18.175000000000001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3" t="s">
        <v>57</v>
      </c>
      <c r="D11" s="173"/>
      <c r="F11" s="173" t="s">
        <v>66</v>
      </c>
      <c r="G11" s="173"/>
      <c r="K11" s="141" t="s">
        <v>7</v>
      </c>
      <c r="L11" s="7">
        <v>60</v>
      </c>
      <c r="M11" s="5">
        <v>8761</v>
      </c>
      <c r="N11" s="6">
        <f t="shared" si="0"/>
        <v>219.02500000000001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4200</v>
      </c>
      <c r="K12" s="141" t="s">
        <v>11</v>
      </c>
      <c r="L12" s="75"/>
      <c r="M12" s="8">
        <f>SUM(M5:M11)</f>
        <v>34058</v>
      </c>
      <c r="N12" s="9">
        <f>SUM(N5:N11)</f>
        <v>851.44999999999993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168000</v>
      </c>
      <c r="S13" s="168" t="s">
        <v>83</v>
      </c>
      <c r="T13" s="168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-5914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-3824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-1272</v>
      </c>
    </row>
    <row r="20" spans="4:15" ht="24" thickBot="1" x14ac:dyDescent="0.6">
      <c r="D20" s="169" t="s">
        <v>64</v>
      </c>
      <c r="E20" s="169"/>
      <c r="F20" s="169"/>
      <c r="G20" s="169"/>
      <c r="H20" s="169"/>
      <c r="K20" s="1" t="s">
        <v>4</v>
      </c>
      <c r="L20" s="110">
        <v>120</v>
      </c>
      <c r="M20" s="5"/>
      <c r="N20" s="5"/>
      <c r="O20" s="116">
        <f t="shared" si="4"/>
        <v>-6217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-7343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-727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-8761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-34058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-851.45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2026-09-05T04:57:53Z</dcterms:modified>
</cp:coreProperties>
</file>