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103DFD4-6B4E-4FCB-8621-C853017ABAC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<sst xmlns="http://schemas.openxmlformats.org/spreadsheetml/2006/main" count="340" uniqueCount="213">
  <si>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</si>
  <si>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</si>
  <si>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</si>
  <si>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</si>
  <si>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</si>
  <si>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</si>
  <si>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</si>
  <si>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</si>
  <si>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</si>
  <si>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</si>
  <si>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</si>
  <si>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</si>
  <si>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</si>
  <si>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</si>
  <si>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</si>
  <si>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</si>
  <si>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</si>
  <si>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</si>
  <si>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</si>
  <si>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</si>
  <si>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</si>
  <si>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</si>
  <si>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</si>
  <si>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</si>
  <si>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</si>
  <si>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</si>
  <si>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</si>
  <si>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</si>
  <si>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</si>
  <si>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</si>
  <si>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</si>
  <si>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</si>
  <si>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</si>
  <si>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</si>
  <si>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</si>
  <si>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</si>
  <si>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</si>
  <si>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</si>
  <si>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</si>
  <si>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</si>
  <si>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</si>
  <si>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</si>
  <si>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</si>
  <si>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</si>
  <si>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</si>
  <si>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</si>
  <si>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</si>
  <si>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</si>
  <si>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</si>
  <si>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</si>
  <si>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</si>
  <si>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</si>
  <si>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</si>
  <si>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</si>
  <si>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</si>
  <si>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</si>
  <si>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</si>
  <si>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</si>
  <si>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</si>
  <si>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</si>
  <si>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</si>
  <si>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</si>
  <si>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</si>
  <si>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</si>
  <si>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</si>
  <si>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</si>
  <si>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</si>
  <si>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</si>
  <si>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</si>
  <si>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</si>
  <si>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</si>
  <si>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</si>
  <si>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</si>
  <si>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</si>
  <si>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</si>
  <si>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</si>
  <si>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</si>
  <si>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</si>
  <si>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</si>
  <si>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</si>
  <si>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</si>
  <si>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</si>
  <si>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</si>
  <si>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</si>
  <si>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</si>
  <si>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</si>
  <si>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</si>
  <si>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</si>
  <si>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</si>
  <si>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</si>
  <si>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</si>
  <si>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</si>
  <si>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</si>
  <si>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</si>
  <si>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</si>
  <si>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</si>
  <si>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</si>
  <si>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</si>
  <si>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</si>
  <si>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</si>
  <si>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</si>
  <si>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</si>
  <si>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</si>
  <si>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</si>
  <si>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</si>
  <si>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</si>
  <si>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</si>
  <si>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</si>
  <si>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</si>
  <si>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</si>
  <si>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</si>
  <si>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</si>
  <si>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</si>
  <si>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</si>
  <si>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</si>
  <si>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</si>
  <si>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</si>
  <si>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</si>
  <si>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</si>
  <si>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</si>
  <si>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</si>
  <si>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</si>
  <si>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</si>
  <si>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</si>
  <si>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</si>
  <si>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</si>
  <si>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</si>
  <si>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</si>
  <si>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</si>
  <si>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</si>
  <si>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</si>
  <si>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</si>
  <si>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</si>
  <si>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</si>
  <si>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</si>
  <si>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</si>
  <si>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</si>
  <si>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</si>
  <si>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</si>
  <si>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</si>
  <si>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</si>
  <si>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</si>
  <si>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</si>
  <si>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</si>
  <si>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</si>
  <si>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</si>
  <si>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</si>
  <si>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</si>
  <si>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</si>
  <si>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</si>
  <si>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</si>
  <si>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</si>
  <si>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</si>
  <si>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</si>
  <si>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</si>
  <si>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</si>
  <si>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</si>
  <si>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</si>
  <si>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</si>
  <si>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</si>
  <si>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</si>
  <si>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</si>
  <si>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</si>
  <si>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</si>
  <si>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</si>
  <si>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</si>
  <si>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</si>
  <si>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</si>
  <si>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</si>
  <si>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</si>
  <si>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</si>
  <si>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</si>
  <si>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</si>
  <si>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</si>
  <si>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</si>
  <si>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</si>
  <si>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</si>
  <si>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</si>
  <si>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</si>
  <si>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</si>
  <si>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</si>
  <si>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</si>
  <si>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</si>
  <si>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</si>
  <si>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</si>
  <si>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</si>
  <si>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</si>
  <si>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</si>
  <si>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</si>
  <si>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</si>
  <si>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</si>
  <si>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</si>
  <si>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</si>
  <si>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</si>
  <si>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</si>
  <si>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</si>
  <si>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</si>
  <si>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</si>
  <si>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</si>
  <si>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</si>
  <si>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</si>
  <si>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</si>
  <si>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</si>
  <si>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</si>
  <si>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</si>
  <si>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</si>
  <si>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</si>
  <si>
    <t xml:space="preserve">SS Departmenral Store Cario Mart </t>
  </si>
  <si>
    <t xml:space="preserve">Euro Behria </t>
  </si>
  <si>
    <t xml:space="preserve">Green Velly </t>
  </si>
  <si>
    <t>Cantt</t>
  </si>
  <si>
    <t>Euro Academy Road</t>
  </si>
  <si>
    <t>Academy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</si>
</sst>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92" zoomScaleNormal="100" workbookViewId="0">
      <selection activeCell="D108" sqref="D10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62">
        <f ca="1">TODAY()</f>
        <v>46293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>
        <v>46288</v>
      </c>
      <c r="B94" s="41">
        <v>90</v>
      </c>
      <c r="C94" s="132" t="s">
        <v>202</v>
      </c>
      <c r="D94" s="132" t="s">
        <v>201</v>
      </c>
      <c r="E94" s="69"/>
      <c r="F94" s="69"/>
      <c r="G94" s="69"/>
      <c r="H94" s="131">
        <v>80</v>
      </c>
      <c r="I94" s="69">
        <v>80</v>
      </c>
      <c r="J94" s="69">
        <v>80</v>
      </c>
      <c r="K94" s="69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>
        <v>46288</v>
      </c>
      <c r="B95" s="41">
        <v>91</v>
      </c>
      <c r="C95" s="132" t="s">
        <v>203</v>
      </c>
      <c r="D95" s="132" t="s">
        <v>104</v>
      </c>
      <c r="E95" s="69"/>
      <c r="F95" s="69">
        <v>80</v>
      </c>
      <c r="G95" s="69">
        <v>80</v>
      </c>
      <c r="H95" s="131">
        <v>80</v>
      </c>
      <c r="I95" s="69">
        <v>80</v>
      </c>
      <c r="J95" s="69">
        <v>80</v>
      </c>
      <c r="K95" s="69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>
        <v>46288</v>
      </c>
      <c r="B96" s="41">
        <v>92</v>
      </c>
      <c r="C96" s="132" t="s">
        <v>136</v>
      </c>
      <c r="D96" s="132" t="s">
        <v>114</v>
      </c>
      <c r="E96" s="69"/>
      <c r="F96" s="69">
        <v>80</v>
      </c>
      <c r="G96" s="69">
        <v>80</v>
      </c>
      <c r="H96" s="131">
        <v>40</v>
      </c>
      <c r="I96" s="69">
        <v>200</v>
      </c>
      <c r="J96" s="69">
        <v>80</v>
      </c>
      <c r="K96" s="69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>
        <v>46288</v>
      </c>
      <c r="B97" s="41">
        <v>93</v>
      </c>
      <c r="C97" s="132" t="s">
        <v>204</v>
      </c>
      <c r="D97" s="132" t="s">
        <v>201</v>
      </c>
      <c r="E97" s="69"/>
      <c r="F97" s="69">
        <v>120</v>
      </c>
      <c r="G97" s="69">
        <v>200</v>
      </c>
      <c r="H97" s="131">
        <v>200</v>
      </c>
      <c r="I97" s="69">
        <v>160</v>
      </c>
      <c r="J97" s="69">
        <v>200</v>
      </c>
      <c r="K97" s="69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>
        <v>46289</v>
      </c>
      <c r="B98" s="41">
        <v>94</v>
      </c>
      <c r="C98" s="132" t="s">
        <v>205</v>
      </c>
      <c r="D98" s="132" t="s">
        <v>130</v>
      </c>
      <c r="E98" s="69"/>
      <c r="F98" s="69">
        <v>80</v>
      </c>
      <c r="G98" s="69">
        <v>80</v>
      </c>
      <c r="H98" s="131">
        <v>40</v>
      </c>
      <c r="I98" s="69">
        <v>80</v>
      </c>
      <c r="J98" s="69">
        <v>80</v>
      </c>
      <c r="K98" s="69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>
        <v>46289</v>
      </c>
      <c r="B99" s="41">
        <v>95</v>
      </c>
      <c r="C99" s="132" t="s">
        <v>206</v>
      </c>
      <c r="D99" s="132" t="s">
        <v>130</v>
      </c>
      <c r="E99" s="69"/>
      <c r="F99" s="69">
        <v>40</v>
      </c>
      <c r="G99" s="69">
        <v>40</v>
      </c>
      <c r="H99" s="131">
        <v>80</v>
      </c>
      <c r="I99" s="69">
        <v>40</v>
      </c>
      <c r="J99" s="69">
        <v>40</v>
      </c>
      <c r="K99" s="69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>
        <v>46289</v>
      </c>
      <c r="B100" s="41">
        <v>96</v>
      </c>
      <c r="C100" s="132" t="s">
        <v>128</v>
      </c>
      <c r="D100" s="132" t="s">
        <v>129</v>
      </c>
      <c r="E100" s="69"/>
      <c r="F100" s="69"/>
      <c r="G100" s="69"/>
      <c r="H100" s="131">
        <v>400</v>
      </c>
      <c r="I100" s="69"/>
      <c r="J100" s="69">
        <v>800</v>
      </c>
      <c r="K100" s="69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183">
        <v>46290</v>
      </c>
      <c r="B101" s="184">
        <v>97</v>
      </c>
      <c r="C101" s="185" t="s">
        <v>207</v>
      </c>
      <c r="D101" s="185" t="s">
        <v>99</v>
      </c>
      <c r="E101" s="186"/>
      <c r="F101" s="186"/>
      <c r="G101" s="186"/>
      <c r="H101" s="187"/>
      <c r="I101" s="186">
        <v>80</v>
      </c>
      <c r="J101" s="186">
        <v>80</v>
      </c>
      <c r="K101" s="186">
        <v>120</v>
      </c>
      <c r="L101" s="122">
        <f t="shared" ref="L101:L132" si="97">SUM(E101:K101)/40</f>
        <v>7</v>
      </c>
      <c r="M101" s="33">
        <v>12</v>
      </c>
      <c r="N101" s="43">
        <f t="shared" si="96"/>
        <v>9.2011000000000003</v>
      </c>
      <c r="O101" s="67">
        <f t="shared" si="88"/>
        <v>0</v>
      </c>
      <c r="P101" s="34">
        <f t="shared" si="89"/>
        <v>14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183">
        <v>46290</v>
      </c>
      <c r="B102" s="184">
        <v>98</v>
      </c>
      <c r="C102" s="185" t="s">
        <v>103</v>
      </c>
      <c r="D102" s="185" t="s">
        <v>104</v>
      </c>
      <c r="E102" s="186"/>
      <c r="F102" s="186">
        <v>40</v>
      </c>
      <c r="G102" s="186">
        <v>80</v>
      </c>
      <c r="H102" s="187">
        <v>120</v>
      </c>
      <c r="I102" s="186">
        <v>120</v>
      </c>
      <c r="J102" s="186">
        <v>120</v>
      </c>
      <c r="K102" s="186">
        <v>240</v>
      </c>
      <c r="L102" s="122">
        <f t="shared" si="97"/>
        <v>18</v>
      </c>
      <c r="M102" s="33">
        <v>8</v>
      </c>
      <c r="N102" s="43">
        <f t="shared" si="96"/>
        <v>9.2011000000000003</v>
      </c>
      <c r="O102" s="67">
        <f t="shared" si="88"/>
        <v>12</v>
      </c>
      <c r="P102" s="34">
        <f t="shared" si="89"/>
        <v>24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183">
        <v>46290</v>
      </c>
      <c r="B103" s="184">
        <v>99</v>
      </c>
      <c r="C103" s="185" t="s">
        <v>155</v>
      </c>
      <c r="D103" s="185" t="s">
        <v>179</v>
      </c>
      <c r="E103" s="186"/>
      <c r="F103" s="186"/>
      <c r="G103" s="186"/>
      <c r="H103" s="187"/>
      <c r="I103" s="186">
        <v>80</v>
      </c>
      <c r="J103" s="186">
        <v>80</v>
      </c>
      <c r="K103" s="186">
        <v>80</v>
      </c>
      <c r="L103" s="122">
        <f t="shared" si="97"/>
        <v>6</v>
      </c>
      <c r="M103" s="33">
        <v>12</v>
      </c>
      <c r="N103" s="43">
        <f t="shared" si="96"/>
        <v>9.2011000000000003</v>
      </c>
      <c r="O103" s="67">
        <f t="shared" si="88"/>
        <v>0</v>
      </c>
      <c r="P103" s="34">
        <f t="shared" si="89"/>
        <v>12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183">
        <v>46290</v>
      </c>
      <c r="B104" s="184">
        <v>100</v>
      </c>
      <c r="C104" s="185" t="s">
        <v>208</v>
      </c>
      <c r="D104" s="185" t="s">
        <v>117</v>
      </c>
      <c r="E104" s="186"/>
      <c r="F104" s="186">
        <v>400</v>
      </c>
      <c r="G104" s="186">
        <v>400</v>
      </c>
      <c r="H104" s="187">
        <v>400</v>
      </c>
      <c r="I104" s="186">
        <v>400</v>
      </c>
      <c r="J104" s="186">
        <v>400</v>
      </c>
      <c r="K104" s="186">
        <v>400</v>
      </c>
      <c r="L104" s="122">
        <f t="shared" si="97"/>
        <v>60</v>
      </c>
      <c r="M104" s="33">
        <v>14</v>
      </c>
      <c r="N104" s="43">
        <f t="shared" si="96"/>
        <v>9.2011000000000003</v>
      </c>
      <c r="O104" s="67">
        <f t="shared" si="88"/>
        <v>60</v>
      </c>
      <c r="P104" s="34">
        <f t="shared" si="89"/>
        <v>60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183">
        <v>46290</v>
      </c>
      <c r="B105" s="184">
        <v>101</v>
      </c>
      <c r="C105" s="185" t="s">
        <v>209</v>
      </c>
      <c r="D105" s="185" t="s">
        <v>210</v>
      </c>
      <c r="E105" s="186"/>
      <c r="F105" s="186">
        <v>120</v>
      </c>
      <c r="G105" s="186">
        <v>120</v>
      </c>
      <c r="H105" s="187">
        <v>120</v>
      </c>
      <c r="I105" s="186">
        <v>80</v>
      </c>
      <c r="J105" s="186">
        <v>80</v>
      </c>
      <c r="K105" s="186">
        <v>80</v>
      </c>
      <c r="L105" s="122">
        <f t="shared" si="97"/>
        <v>15</v>
      </c>
      <c r="M105" s="33">
        <v>10</v>
      </c>
      <c r="N105" s="43">
        <f t="shared" si="96"/>
        <v>9.2011000000000003</v>
      </c>
      <c r="O105" s="67">
        <f t="shared" si="88"/>
        <v>18</v>
      </c>
      <c r="P105" s="34">
        <f t="shared" si="89"/>
        <v>12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143">
        <v>46291</v>
      </c>
      <c r="B106" s="144">
        <v>102</v>
      </c>
      <c r="C106" s="146" t="s">
        <v>211</v>
      </c>
      <c r="D106" s="146" t="s">
        <v>212</v>
      </c>
      <c r="E106" s="145"/>
      <c r="F106" s="145">
        <v>40</v>
      </c>
      <c r="G106" s="145">
        <v>40</v>
      </c>
      <c r="H106" s="147">
        <v>40</v>
      </c>
      <c r="I106" s="145">
        <v>40</v>
      </c>
      <c r="J106" s="145">
        <v>40</v>
      </c>
      <c r="K106" s="145">
        <v>40</v>
      </c>
      <c r="L106" s="122">
        <f t="shared" si="97"/>
        <v>6</v>
      </c>
      <c r="M106" s="33">
        <v>14</v>
      </c>
      <c r="N106" s="43">
        <f t="shared" si="96"/>
        <v>9.2011000000000003</v>
      </c>
      <c r="O106" s="67">
        <f t="shared" si="88"/>
        <v>6</v>
      </c>
      <c r="P106" s="34">
        <f t="shared" si="89"/>
        <v>6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7"/>
        <v>0</v>
      </c>
      <c r="M107" s="33">
        <f t="shared" ref="M106:M133" si="98">SUMPRODUCT($E$4:$K$4,$E$6:$K$6)</f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1379</v>
      </c>
      <c r="N138" s="55">
        <f t="shared" ref="N138:X138" si="109">SUM(N5:N137)</f>
        <v>947.71329999999978</v>
      </c>
      <c r="O138" s="56">
        <f t="shared" si="109"/>
        <v>1950.3000000000002</v>
      </c>
      <c r="P138" s="58">
        <f t="shared" si="109"/>
        <v>2923.95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884</v>
      </c>
      <c r="E5" s="73">
        <v>1660</v>
      </c>
      <c r="F5" s="73">
        <v>100</v>
      </c>
      <c r="G5" s="96">
        <f>SUM(D5:F5)</f>
        <v>2644</v>
      </c>
      <c r="H5" s="89">
        <v>10000</v>
      </c>
      <c r="I5" s="90">
        <f>G5-H5</f>
        <v>-7356</v>
      </c>
      <c r="K5" s="141" t="s">
        <v>1</v>
      </c>
      <c r="L5" s="7">
        <v>70</v>
      </c>
      <c r="M5" s="5">
        <v>10638</v>
      </c>
      <c r="N5" s="6">
        <f t="shared" ref="N5:N11" si="0">M5/40</f>
        <v>265.95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35360</v>
      </c>
      <c r="E6" s="98">
        <f t="shared" ref="E6:F6" si="1">E5*40</f>
        <v>66400</v>
      </c>
      <c r="F6" s="98">
        <f t="shared" si="1"/>
        <v>4000</v>
      </c>
      <c r="G6" s="99">
        <f>SUM(D6:F6)</f>
        <v>105760</v>
      </c>
      <c r="H6" s="91">
        <f>H5*40</f>
        <v>400000</v>
      </c>
      <c r="I6" s="92">
        <f>G6-H6</f>
        <v>-294240</v>
      </c>
      <c r="K6" s="141" t="s">
        <v>2</v>
      </c>
      <c r="L6" s="7">
        <v>70</v>
      </c>
      <c r="M6" s="5">
        <v>6966</v>
      </c>
      <c r="N6" s="6">
        <f t="shared" si="0"/>
        <v>174.15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3042</v>
      </c>
      <c r="N7" s="6">
        <f t="shared" si="0"/>
        <v>76.05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3339</v>
      </c>
      <c r="N8" s="6">
        <f t="shared" si="0"/>
        <v>83.474999999999994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-884</v>
      </c>
      <c r="E9" s="100">
        <f>E8-E5</f>
        <v>-1660</v>
      </c>
      <c r="K9" s="141" t="s">
        <v>5</v>
      </c>
      <c r="L9" s="7">
        <v>120</v>
      </c>
      <c r="M9" s="5">
        <v>4356</v>
      </c>
      <c r="N9" s="6">
        <f t="shared" si="0"/>
        <v>108.9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7854</v>
      </c>
      <c r="N10" s="6">
        <f t="shared" si="0"/>
        <v>196.35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6844</v>
      </c>
      <c r="K12" s="141" t="s">
        <v>11</v>
      </c>
      <c r="L12" s="75"/>
      <c r="M12" s="8">
        <f>SUM(M5:M11)</f>
        <v>36195</v>
      </c>
      <c r="N12" s="9">
        <f>SUM(N5:N11)</f>
        <v>904.875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273760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-10638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-6966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-3042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-3339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-4356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-7854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-36195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-904.875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2026-09-28T05:33:39Z</dcterms:modified>
</cp:coreProperties>
</file>