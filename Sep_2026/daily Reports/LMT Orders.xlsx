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C1C69DE9-CA20-4A7F-A6C9-2EF6FDD8B2F2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M35" i="2" l="1"/>
  <c r="N35" i="2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M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M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M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M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M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M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M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M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M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M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M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M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M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M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M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M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M80" i="2" l="1"/>
  <c r="N80" i="2"/>
  <c r="O80" i="2"/>
  <c r="P80" i="2"/>
  <c r="Q80" i="2"/>
  <c r="T80" i="2" s="1"/>
  <c r="R80" i="2"/>
  <c r="S80" i="2"/>
  <c r="U80" i="2"/>
  <c r="X80" i="2" s="1"/>
  <c r="V80" i="2"/>
  <c r="W80" i="2"/>
  <c r="M81" i="2"/>
  <c r="N81" i="2"/>
  <c r="O81" i="2"/>
  <c r="P81" i="2"/>
  <c r="Q81" i="2"/>
  <c r="T81" i="2" s="1"/>
  <c r="R81" i="2"/>
  <c r="S81" i="2"/>
  <c r="U81" i="2"/>
  <c r="X81" i="2" s="1"/>
  <c r="V81" i="2"/>
  <c r="W81" i="2"/>
  <c r="M82" i="2"/>
  <c r="N82" i="2"/>
  <c r="O82" i="2"/>
  <c r="P82" i="2"/>
  <c r="Q82" i="2"/>
  <c r="T82" i="2" s="1"/>
  <c r="R82" i="2"/>
  <c r="S82" i="2"/>
  <c r="U82" i="2"/>
  <c r="X82" i="2" s="1"/>
  <c r="V82" i="2"/>
  <c r="W82" i="2"/>
  <c r="M83" i="2"/>
  <c r="N83" i="2"/>
  <c r="O83" i="2"/>
  <c r="P83" i="2"/>
  <c r="Q83" i="2"/>
  <c r="T83" i="2" s="1"/>
  <c r="R83" i="2"/>
  <c r="S83" i="2"/>
  <c r="U83" i="2"/>
  <c r="X83" i="2" s="1"/>
  <c r="V83" i="2"/>
  <c r="W83" i="2"/>
  <c r="M84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M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M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M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M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M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M67" i="2"/>
  <c r="N67" i="2"/>
  <c r="O67" i="2"/>
  <c r="P67" i="2"/>
  <c r="Q67" i="2"/>
  <c r="T67" i="2" s="1"/>
  <c r="R67" i="2"/>
  <c r="S67" i="2"/>
  <c r="U67" i="2"/>
  <c r="X67" i="2" s="1"/>
  <c r="V67" i="2"/>
  <c r="W67" i="2"/>
  <c r="M68" i="2"/>
  <c r="N68" i="2"/>
  <c r="O68" i="2"/>
  <c r="P68" i="2"/>
  <c r="Q68" i="2"/>
  <c r="T68" i="2" s="1"/>
  <c r="R68" i="2"/>
  <c r="S68" i="2"/>
  <c r="V68" i="2"/>
  <c r="W68" i="2"/>
  <c r="L69" i="2"/>
  <c r="M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M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M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M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M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M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M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M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M78" i="2"/>
  <c r="N78" i="2"/>
  <c r="O78" i="2"/>
  <c r="P78" i="2"/>
  <c r="Q78" i="2"/>
  <c r="T78" i="2" s="1"/>
  <c r="R78" i="2"/>
  <c r="S78" i="2"/>
  <c r="U78" i="2"/>
  <c r="X78" i="2" s="1"/>
  <c r="V78" i="2"/>
  <c r="W78" i="2"/>
  <c r="M79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M47" i="2" l="1"/>
  <c r="N47" i="2"/>
  <c r="M48" i="2"/>
  <c r="N48" i="2"/>
  <c r="M49" i="2"/>
  <c r="N49" i="2"/>
  <c r="M50" i="2"/>
  <c r="N50" i="2"/>
  <c r="M51" i="2"/>
  <c r="N51" i="2"/>
  <c r="M52" i="2"/>
  <c r="N52" i="2"/>
  <c r="M53" i="2"/>
  <c r="N53" i="2"/>
  <c r="M54" i="2"/>
  <c r="N54" i="2"/>
  <c r="M55" i="2"/>
  <c r="N55" i="2"/>
  <c r="M56" i="2"/>
  <c r="N56" i="2"/>
  <c r="M57" i="2"/>
  <c r="N57" i="2"/>
  <c r="M58" i="2"/>
  <c r="N58" i="2"/>
  <c r="M59" i="2"/>
  <c r="N59" i="2"/>
  <c r="M60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M29" i="2"/>
  <c r="O29" i="2"/>
  <c r="P29" i="2"/>
  <c r="Q29" i="2"/>
  <c r="T29" i="2" s="1"/>
  <c r="R29" i="2"/>
  <c r="S29" i="2"/>
  <c r="U29" i="2"/>
  <c r="X29" i="2" s="1"/>
  <c r="V29" i="2"/>
  <c r="W29" i="2"/>
  <c r="L34" i="2"/>
  <c r="M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M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M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M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M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M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M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M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M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M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M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M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M28" i="2"/>
  <c r="O28" i="2"/>
  <c r="P28" i="2"/>
  <c r="Q28" i="2"/>
  <c r="T28" i="2" s="1"/>
  <c r="R28" i="2"/>
  <c r="S28" i="2"/>
  <c r="U28" i="2"/>
  <c r="X28" i="2" s="1"/>
  <c r="V28" i="2"/>
  <c r="W28" i="2"/>
  <c r="L30" i="2"/>
  <c r="M30" i="2"/>
  <c r="O30" i="2"/>
  <c r="P30" i="2"/>
  <c r="Q30" i="2"/>
  <c r="T30" i="2" s="1"/>
  <c r="R30" i="2"/>
  <c r="S30" i="2"/>
  <c r="U30" i="2"/>
  <c r="X30" i="2" s="1"/>
  <c r="V30" i="2"/>
  <c r="W30" i="2"/>
  <c r="L31" i="2"/>
  <c r="M31" i="2"/>
  <c r="O31" i="2"/>
  <c r="P31" i="2"/>
  <c r="Q31" i="2"/>
  <c r="T31" i="2" s="1"/>
  <c r="R31" i="2"/>
  <c r="S31" i="2"/>
  <c r="U31" i="2"/>
  <c r="X31" i="2" s="1"/>
  <c r="V31" i="2"/>
  <c r="W31" i="2"/>
  <c r="L32" i="2"/>
  <c r="M32" i="2"/>
  <c r="O32" i="2"/>
  <c r="P32" i="2"/>
  <c r="Q32" i="2"/>
  <c r="T32" i="2" s="1"/>
  <c r="R32" i="2"/>
  <c r="S32" i="2"/>
  <c r="U32" i="2"/>
  <c r="X32" i="2" s="1"/>
  <c r="V32" i="2"/>
  <c r="W32" i="2"/>
  <c r="L33" i="2"/>
  <c r="M33" i="2"/>
  <c r="O33" i="2"/>
  <c r="P33" i="2"/>
  <c r="Q33" i="2"/>
  <c r="T33" i="2" s="1"/>
  <c r="R33" i="2"/>
  <c r="S33" i="2"/>
  <c r="U33" i="2"/>
  <c r="X33" i="2" s="1"/>
  <c r="V33" i="2"/>
  <c r="W33" i="2"/>
  <c r="L61" i="2"/>
  <c r="M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M23" i="2"/>
  <c r="M24" i="2"/>
  <c r="M25" i="2"/>
  <c r="M26" i="2"/>
  <c r="M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M21" i="2"/>
  <c r="O21" i="2"/>
  <c r="P21" i="2"/>
  <c r="Q21" i="2"/>
  <c r="T21" i="2" s="1"/>
  <c r="R21" i="2"/>
  <c r="S21" i="2"/>
  <c r="U21" i="2"/>
  <c r="X21" i="2" s="1"/>
  <c r="V21" i="2"/>
  <c r="W21" i="2"/>
  <c r="L22" i="2"/>
  <c r="M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M18" i="2"/>
  <c r="O18" i="2"/>
  <c r="P18" i="2"/>
  <c r="Q18" i="2"/>
  <c r="T18" i="2" s="1"/>
  <c r="R18" i="2"/>
  <c r="S18" i="2"/>
  <c r="U18" i="2"/>
  <c r="X18" i="2" s="1"/>
  <c r="V18" i="2"/>
  <c r="W18" i="2"/>
  <c r="L19" i="2"/>
  <c r="M19" i="2"/>
  <c r="O19" i="2"/>
  <c r="P19" i="2"/>
  <c r="Q19" i="2"/>
  <c r="T19" i="2" s="1"/>
  <c r="R19" i="2"/>
  <c r="S19" i="2"/>
  <c r="U19" i="2"/>
  <c r="X19" i="2" s="1"/>
  <c r="V19" i="2"/>
  <c r="W19" i="2"/>
  <c r="L20" i="2"/>
  <c r="M20" i="2"/>
  <c r="O20" i="2"/>
  <c r="P20" i="2"/>
  <c r="Q20" i="2"/>
  <c r="T20" i="2" s="1"/>
  <c r="R20" i="2"/>
  <c r="S20" i="2"/>
  <c r="U20" i="2"/>
  <c r="X20" i="2" s="1"/>
  <c r="V20" i="2"/>
  <c r="W20" i="2"/>
  <c r="L16" i="2"/>
  <c r="M16" i="2"/>
  <c r="O16" i="2"/>
  <c r="P16" i="2"/>
  <c r="Q16" i="2"/>
  <c r="T16" i="2" s="1"/>
  <c r="R16" i="2"/>
  <c r="S16" i="2"/>
  <c r="U16" i="2"/>
  <c r="X16" i="2" s="1"/>
  <c r="V16" i="2"/>
  <c r="W16" i="2"/>
  <c r="L17" i="2"/>
  <c r="M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<sst xmlns="http://schemas.openxmlformats.org/spreadsheetml/2006/main" count="173" uniqueCount="120">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</sst>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1" xfId="0" applyFont="1" applyFill="1" applyBorder="1"/>
    <xf numFmtId="0" fontId="5" fillId="3" borderId="32" xfId="0" applyFont="1" applyFill="1" applyBorder="1"/>
    <xf numFmtId="0" fontId="5" fillId="3" borderId="1" xfId="0" applyFont="1" applyFill="1" applyBorder="1"/>
    <xf numFmtId="0" fontId="5" fillId="3" borderId="31" xfId="0" applyFont="1" applyFill="1" applyBorder="1"/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abSelected="1" topLeftCell="A7" zoomScaleNormal="100" workbookViewId="0">
      <selection activeCell="C22" sqref="C22"/>
    </sheetView>
  </sheetViews>
  <sheetFormatPr defaultRowHeight="14.5" x14ac:dyDescent="0.35"/>
  <cols>
    <col min="1" max="1" width="5.90625" bestFit="1" customWidth="1"/>
    <col min="3" max="3" width="15.08984375" bestFit="1" customWidth="1"/>
    <col min="4" max="4" width="12" bestFit="1" customWidth="1"/>
    <col min="5" max="5" width="17.7265625" bestFit="1" customWidth="1"/>
  </cols>
  <sheetData>
    <row r="1" spans="1:24" ht="15" thickBot="1" x14ac:dyDescent="0.4">
      <c r="B1" s="162">
        <f ca="1">TODAY()</f>
        <v>46273</v>
      </c>
      <c r="C1" s="162"/>
      <c r="D1" s="162"/>
      <c r="E1" s="162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9" t="s">
        <v>35</v>
      </c>
      <c r="B2" s="163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1"/>
      <c r="M2" s="152"/>
      <c r="N2" s="153"/>
      <c r="O2" s="154" t="s">
        <v>14</v>
      </c>
      <c r="P2" s="155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9"/>
      <c r="B3" s="164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6" t="s">
        <v>11</v>
      </c>
      <c r="M3" s="157"/>
      <c r="N3" s="158"/>
      <c r="O3" s="65"/>
      <c r="P3" s="66"/>
      <c r="Q3" s="166" t="s">
        <v>16</v>
      </c>
      <c r="R3" s="167"/>
      <c r="S3" s="167"/>
      <c r="T3" s="168"/>
      <c r="U3" s="169" t="s">
        <v>17</v>
      </c>
      <c r="V3" s="170"/>
      <c r="W3" s="170"/>
      <c r="X3" s="171"/>
    </row>
    <row r="4" spans="1:24" ht="15" thickBot="1" x14ac:dyDescent="0.4">
      <c r="A4" s="159"/>
      <c r="B4" s="165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38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143">
        <v>46272</v>
      </c>
      <c r="B15" s="144">
        <v>11</v>
      </c>
      <c r="C15" s="145" t="s">
        <v>111</v>
      </c>
      <c r="D15" s="145"/>
      <c r="E15" s="146">
        <v>385</v>
      </c>
      <c r="F15" s="146"/>
      <c r="G15" s="147"/>
      <c r="H15" s="50"/>
      <c r="I15" s="146"/>
      <c r="J15" s="147"/>
      <c r="K15" s="148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143">
        <v>46272</v>
      </c>
      <c r="B16" s="144">
        <v>12</v>
      </c>
      <c r="C16" s="145" t="s">
        <v>112</v>
      </c>
      <c r="D16" s="145" t="s">
        <v>113</v>
      </c>
      <c r="E16" s="146"/>
      <c r="F16" s="146">
        <v>40</v>
      </c>
      <c r="G16" s="147"/>
      <c r="H16" s="50">
        <v>40</v>
      </c>
      <c r="I16" s="146"/>
      <c r="J16" s="147">
        <v>40</v>
      </c>
      <c r="K16" s="148">
        <v>40</v>
      </c>
      <c r="L16" s="42">
        <f t="shared" si="0"/>
        <v>4</v>
      </c>
      <c r="M16" s="33">
        <f t="shared" si="15"/>
        <v>0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143">
        <v>46272</v>
      </c>
      <c r="B17" s="144">
        <v>13</v>
      </c>
      <c r="C17" s="145" t="s">
        <v>112</v>
      </c>
      <c r="D17" s="145" t="s">
        <v>114</v>
      </c>
      <c r="E17" s="146"/>
      <c r="F17" s="146">
        <v>40</v>
      </c>
      <c r="G17" s="147">
        <v>120</v>
      </c>
      <c r="H17" s="50">
        <v>200</v>
      </c>
      <c r="I17" s="146">
        <v>80</v>
      </c>
      <c r="J17" s="147">
        <v>40</v>
      </c>
      <c r="K17" s="148">
        <v>240</v>
      </c>
      <c r="L17" s="42">
        <f t="shared" si="0"/>
        <v>18</v>
      </c>
      <c r="M17" s="33">
        <f t="shared" si="15"/>
        <v>0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143">
        <v>46272</v>
      </c>
      <c r="B18" s="144">
        <v>14</v>
      </c>
      <c r="C18" s="145" t="s">
        <v>112</v>
      </c>
      <c r="D18" s="145" t="s">
        <v>115</v>
      </c>
      <c r="E18" s="146"/>
      <c r="F18" s="146">
        <v>80</v>
      </c>
      <c r="G18" s="147"/>
      <c r="H18" s="50">
        <v>40</v>
      </c>
      <c r="I18" s="146">
        <v>200</v>
      </c>
      <c r="J18" s="147">
        <v>160</v>
      </c>
      <c r="K18" s="148">
        <v>280</v>
      </c>
      <c r="L18" s="42">
        <f t="shared" si="0"/>
        <v>19</v>
      </c>
      <c r="M18" s="33">
        <f t="shared" si="15"/>
        <v>0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143">
        <v>46272</v>
      </c>
      <c r="B19" s="144">
        <v>15</v>
      </c>
      <c r="C19" s="145" t="s">
        <v>112</v>
      </c>
      <c r="D19" s="145" t="s">
        <v>116</v>
      </c>
      <c r="E19" s="146"/>
      <c r="F19" s="146">
        <v>40</v>
      </c>
      <c r="G19" s="147">
        <v>80</v>
      </c>
      <c r="H19" s="50"/>
      <c r="I19" s="146"/>
      <c r="J19" s="147"/>
      <c r="K19" s="148">
        <v>200</v>
      </c>
      <c r="L19" s="42">
        <f t="shared" si="0"/>
        <v>8</v>
      </c>
      <c r="M19" s="33">
        <f t="shared" si="15"/>
        <v>0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143">
        <v>46272</v>
      </c>
      <c r="B20" s="144">
        <v>16</v>
      </c>
      <c r="C20" s="145" t="s">
        <v>112</v>
      </c>
      <c r="D20" s="145" t="s">
        <v>117</v>
      </c>
      <c r="E20" s="146"/>
      <c r="F20" s="146">
        <v>200</v>
      </c>
      <c r="G20" s="147">
        <v>120</v>
      </c>
      <c r="H20" s="50"/>
      <c r="I20" s="146">
        <v>40</v>
      </c>
      <c r="J20" s="147">
        <v>80</v>
      </c>
      <c r="K20" s="148">
        <v>440</v>
      </c>
      <c r="L20" s="42">
        <f t="shared" si="0"/>
        <v>22</v>
      </c>
      <c r="M20" s="33">
        <f t="shared" si="15"/>
        <v>0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143">
        <v>46272</v>
      </c>
      <c r="B21" s="144">
        <v>17</v>
      </c>
      <c r="C21" s="145" t="s">
        <v>118</v>
      </c>
      <c r="D21" s="145" t="s">
        <v>119</v>
      </c>
      <c r="E21" s="146">
        <v>1600</v>
      </c>
      <c r="F21" s="146"/>
      <c r="G21" s="147"/>
      <c r="H21" s="50"/>
      <c r="I21" s="146">
        <v>600</v>
      </c>
      <c r="J21" s="147">
        <v>1000</v>
      </c>
      <c r="K21" s="148">
        <v>800</v>
      </c>
      <c r="L21" s="42">
        <f t="shared" si="0"/>
        <v>100</v>
      </c>
      <c r="M21" s="33">
        <f t="shared" si="15"/>
        <v>0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/>
      <c r="B22" s="41">
        <v>18</v>
      </c>
      <c r="C22" s="140"/>
      <c r="D22" s="140"/>
      <c r="E22" s="44"/>
      <c r="F22" s="44"/>
      <c r="G22" s="69"/>
      <c r="H22" s="43"/>
      <c r="I22" s="44"/>
      <c r="J22" s="69"/>
      <c r="K22" s="70"/>
      <c r="L22" s="42">
        <f t="shared" si="0"/>
        <v>0</v>
      </c>
      <c r="M22" s="33">
        <f t="shared" si="15"/>
        <v>0</v>
      </c>
      <c r="N22" s="43"/>
      <c r="O22" s="67">
        <f t="shared" si="30"/>
        <v>0</v>
      </c>
      <c r="P22" s="34">
        <f t="shared" si="31"/>
        <v>0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/>
      <c r="B23" s="41">
        <v>19</v>
      </c>
      <c r="C23" s="140"/>
      <c r="D23" s="140"/>
      <c r="E23" s="44"/>
      <c r="F23" s="44"/>
      <c r="G23" s="69"/>
      <c r="H23" s="43"/>
      <c r="I23" s="44"/>
      <c r="J23" s="69"/>
      <c r="K23" s="70"/>
      <c r="L23" s="42">
        <f t="shared" si="0"/>
        <v>0</v>
      </c>
      <c r="M23" s="33">
        <f t="shared" si="15"/>
        <v>0</v>
      </c>
      <c r="N23" s="43"/>
      <c r="O23" s="67">
        <f t="shared" si="30"/>
        <v>0</v>
      </c>
      <c r="P23" s="34">
        <f t="shared" si="31"/>
        <v>0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/>
      <c r="B24" s="41">
        <v>20</v>
      </c>
      <c r="C24" s="140"/>
      <c r="D24" s="140"/>
      <c r="E24" s="44"/>
      <c r="F24" s="44"/>
      <c r="G24" s="69"/>
      <c r="H24" s="43"/>
      <c r="I24" s="44"/>
      <c r="J24" s="69"/>
      <c r="K24" s="70"/>
      <c r="L24" s="42">
        <f t="shared" si="0"/>
        <v>0</v>
      </c>
      <c r="M24" s="33">
        <f t="shared" si="15"/>
        <v>0</v>
      </c>
      <c r="N24" s="43"/>
      <c r="O24" s="67">
        <f t="shared" ref="O24:O27" si="37">SUM(F24:H24)/20</f>
        <v>0</v>
      </c>
      <c r="P24" s="34">
        <f t="shared" ref="P24:P27" si="38">SUM(I24:K24)/20</f>
        <v>0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/>
      <c r="B25" s="41">
        <v>21</v>
      </c>
      <c r="C25" s="140"/>
      <c r="D25" s="140"/>
      <c r="E25" s="44"/>
      <c r="F25" s="44"/>
      <c r="G25" s="69"/>
      <c r="H25" s="43"/>
      <c r="I25" s="44"/>
      <c r="J25" s="69"/>
      <c r="K25" s="70"/>
      <c r="L25" s="42">
        <f t="shared" si="0"/>
        <v>0</v>
      </c>
      <c r="M25" s="33">
        <f t="shared" si="15"/>
        <v>0</v>
      </c>
      <c r="N25" s="43"/>
      <c r="O25" s="67">
        <f t="shared" si="37"/>
        <v>0</v>
      </c>
      <c r="P25" s="34">
        <f t="shared" si="38"/>
        <v>0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/>
      <c r="B26" s="41">
        <v>22</v>
      </c>
      <c r="C26" s="140"/>
      <c r="D26" s="140"/>
      <c r="E26" s="44"/>
      <c r="F26" s="44"/>
      <c r="G26" s="69"/>
      <c r="H26" s="43"/>
      <c r="I26" s="44"/>
      <c r="J26" s="69"/>
      <c r="K26" s="70"/>
      <c r="L26" s="42">
        <f t="shared" si="0"/>
        <v>0</v>
      </c>
      <c r="M26" s="33">
        <f t="shared" si="15"/>
        <v>0</v>
      </c>
      <c r="N26" s="43"/>
      <c r="O26" s="67">
        <f t="shared" si="37"/>
        <v>0</v>
      </c>
      <c r="P26" s="34">
        <f t="shared" si="38"/>
        <v>0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/>
      <c r="B27" s="41">
        <v>23</v>
      </c>
      <c r="C27" s="140"/>
      <c r="D27" s="140"/>
      <c r="E27" s="44"/>
      <c r="F27" s="44"/>
      <c r="G27" s="69"/>
      <c r="H27" s="43"/>
      <c r="I27" s="44"/>
      <c r="J27" s="69"/>
      <c r="K27" s="70"/>
      <c r="L27" s="42">
        <f t="shared" si="0"/>
        <v>0</v>
      </c>
      <c r="M27" s="33">
        <f t="shared" si="15"/>
        <v>0</v>
      </c>
      <c r="N27" s="43"/>
      <c r="O27" s="67">
        <f t="shared" si="37"/>
        <v>0</v>
      </c>
      <c r="P27" s="34">
        <f t="shared" si="38"/>
        <v>0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/>
      <c r="B28" s="41">
        <v>24</v>
      </c>
      <c r="C28" s="140"/>
      <c r="D28" s="140"/>
      <c r="E28" s="44"/>
      <c r="F28" s="44"/>
      <c r="G28" s="69"/>
      <c r="H28" s="43"/>
      <c r="I28" s="44"/>
      <c r="J28" s="69"/>
      <c r="K28" s="70"/>
      <c r="L28" s="42">
        <f t="shared" si="0"/>
        <v>0</v>
      </c>
      <c r="M28" s="33">
        <f t="shared" si="15"/>
        <v>0</v>
      </c>
      <c r="N28" s="43"/>
      <c r="O28" s="67">
        <f t="shared" ref="O28:O61" si="41">SUM(F28:H28)/20</f>
        <v>0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/>
      <c r="B29" s="41">
        <v>25</v>
      </c>
      <c r="C29" s="140"/>
      <c r="D29" s="140"/>
      <c r="E29" s="44"/>
      <c r="F29" s="44"/>
      <c r="G29" s="69"/>
      <c r="H29" s="43"/>
      <c r="I29" s="44"/>
      <c r="J29" s="69"/>
      <c r="K29" s="70"/>
      <c r="L29" s="42">
        <f t="shared" si="0"/>
        <v>0</v>
      </c>
      <c r="M29" s="33">
        <f t="shared" si="15"/>
        <v>0</v>
      </c>
      <c r="N29" s="43"/>
      <c r="O29" s="67">
        <f t="shared" ref="O29" si="47">SUM(F29:H29)/20</f>
        <v>0</v>
      </c>
      <c r="P29" s="34">
        <f t="shared" ref="P29" si="48">SUM(I29:K29)/20</f>
        <v>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/>
      <c r="B30" s="41">
        <v>26</v>
      </c>
      <c r="C30" s="140"/>
      <c r="D30" s="140"/>
      <c r="E30" s="44"/>
      <c r="F30" s="44"/>
      <c r="G30" s="69"/>
      <c r="H30" s="43"/>
      <c r="I30" s="44"/>
      <c r="J30" s="69"/>
      <c r="K30" s="70"/>
      <c r="L30" s="42">
        <f t="shared" si="0"/>
        <v>0</v>
      </c>
      <c r="M30" s="33">
        <f t="shared" si="15"/>
        <v>0</v>
      </c>
      <c r="N30" s="43"/>
      <c r="O30" s="67">
        <f t="shared" si="41"/>
        <v>0</v>
      </c>
      <c r="P30" s="34">
        <f t="shared" si="42"/>
        <v>0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/>
      <c r="B31" s="41">
        <v>27</v>
      </c>
      <c r="C31" s="140"/>
      <c r="D31" s="140"/>
      <c r="E31" s="44"/>
      <c r="F31" s="44"/>
      <c r="G31" s="69"/>
      <c r="H31" s="43"/>
      <c r="I31" s="44"/>
      <c r="J31" s="69"/>
      <c r="K31" s="70"/>
      <c r="L31" s="42">
        <f t="shared" si="0"/>
        <v>0</v>
      </c>
      <c r="M31" s="33">
        <f t="shared" si="15"/>
        <v>0</v>
      </c>
      <c r="N31" s="43"/>
      <c r="O31" s="67">
        <f t="shared" si="41"/>
        <v>0</v>
      </c>
      <c r="P31" s="34">
        <f t="shared" si="42"/>
        <v>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/>
      <c r="B32" s="41">
        <v>28</v>
      </c>
      <c r="C32" s="140"/>
      <c r="D32" s="140"/>
      <c r="E32" s="44"/>
      <c r="F32" s="44"/>
      <c r="G32" s="69"/>
      <c r="H32" s="43"/>
      <c r="I32" s="44"/>
      <c r="J32" s="69"/>
      <c r="K32" s="70"/>
      <c r="L32" s="42">
        <f t="shared" si="0"/>
        <v>0</v>
      </c>
      <c r="M32" s="33">
        <f t="shared" si="15"/>
        <v>0</v>
      </c>
      <c r="N32" s="43"/>
      <c r="O32" s="67">
        <f t="shared" si="41"/>
        <v>0</v>
      </c>
      <c r="P32" s="34">
        <f t="shared" si="42"/>
        <v>0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/>
      <c r="B33" s="41">
        <v>29</v>
      </c>
      <c r="C33" s="140"/>
      <c r="D33" s="140"/>
      <c r="E33" s="44"/>
      <c r="F33" s="44"/>
      <c r="G33" s="69"/>
      <c r="H33" s="43"/>
      <c r="I33" s="44"/>
      <c r="J33" s="69"/>
      <c r="K33" s="70"/>
      <c r="L33" s="42">
        <f t="shared" si="0"/>
        <v>0</v>
      </c>
      <c r="M33" s="33">
        <f t="shared" si="15"/>
        <v>0</v>
      </c>
      <c r="N33" s="43"/>
      <c r="O33" s="67">
        <f t="shared" si="41"/>
        <v>0</v>
      </c>
      <c r="P33" s="34">
        <f t="shared" si="42"/>
        <v>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/>
      <c r="B34" s="41">
        <v>30</v>
      </c>
      <c r="C34" s="140"/>
      <c r="D34" s="140"/>
      <c r="E34" s="44"/>
      <c r="F34" s="44"/>
      <c r="G34" s="69"/>
      <c r="H34" s="43"/>
      <c r="I34" s="44"/>
      <c r="J34" s="69"/>
      <c r="K34" s="70"/>
      <c r="L34" s="42">
        <f t="shared" si="0"/>
        <v>0</v>
      </c>
      <c r="M34" s="33">
        <f t="shared" si="15"/>
        <v>0</v>
      </c>
      <c r="N34" s="43">
        <f t="shared" ref="N34:N65" si="53">SUMPRODUCT($E$3:$K$3,$E$6:$K$6)/1000</f>
        <v>9.2011000000000003</v>
      </c>
      <c r="O34" s="67">
        <f t="shared" ref="O34:O47" si="54">SUM(F34:H34)/20</f>
        <v>0</v>
      </c>
      <c r="P34" s="34">
        <f t="shared" ref="P34:P47" si="55">SUM(I34:K34)/20</f>
        <v>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/>
      <c r="B35" s="41">
        <v>31</v>
      </c>
      <c r="C35" s="140"/>
      <c r="D35" s="140"/>
      <c r="E35" s="44"/>
      <c r="F35" s="44"/>
      <c r="G35" s="69"/>
      <c r="H35" s="43"/>
      <c r="I35" s="44"/>
      <c r="J35" s="69"/>
      <c r="K35" s="70"/>
      <c r="L35" s="42">
        <f t="shared" si="0"/>
        <v>0</v>
      </c>
      <c r="M35" s="33">
        <f t="shared" si="15"/>
        <v>0</v>
      </c>
      <c r="N35" s="43">
        <f t="shared" si="53"/>
        <v>9.2011000000000003</v>
      </c>
      <c r="O35" s="67">
        <f t="shared" ref="O35" si="60">SUM(F35:H35)/20</f>
        <v>0</v>
      </c>
      <c r="P35" s="34">
        <f t="shared" ref="P35" si="61">SUM(I35:K35)/20</f>
        <v>0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/>
      <c r="B36" s="41">
        <v>32</v>
      </c>
      <c r="C36" s="140"/>
      <c r="D36" s="140"/>
      <c r="E36" s="44"/>
      <c r="F36" s="44"/>
      <c r="G36" s="69"/>
      <c r="H36" s="43"/>
      <c r="I36" s="44"/>
      <c r="J36" s="69"/>
      <c r="K36" s="70"/>
      <c r="L36" s="42">
        <f t="shared" si="0"/>
        <v>0</v>
      </c>
      <c r="M36" s="33">
        <f t="shared" si="15"/>
        <v>0</v>
      </c>
      <c r="N36" s="43">
        <f t="shared" si="53"/>
        <v>9.2011000000000003</v>
      </c>
      <c r="O36" s="67">
        <f t="shared" si="54"/>
        <v>0</v>
      </c>
      <c r="P36" s="34">
        <f t="shared" si="55"/>
        <v>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/>
      <c r="B37" s="41">
        <v>33</v>
      </c>
      <c r="C37" s="140"/>
      <c r="D37" s="140"/>
      <c r="E37" s="44"/>
      <c r="F37" s="44"/>
      <c r="G37" s="69"/>
      <c r="H37" s="43"/>
      <c r="I37" s="44"/>
      <c r="J37" s="69"/>
      <c r="K37" s="70"/>
      <c r="L37" s="42">
        <f t="shared" ref="L37:L68" si="66">SUM(E37:K37)/40</f>
        <v>0</v>
      </c>
      <c r="M37" s="33">
        <f t="shared" si="15"/>
        <v>0</v>
      </c>
      <c r="N37" s="43">
        <f t="shared" si="53"/>
        <v>9.2011000000000003</v>
      </c>
      <c r="O37" s="67">
        <f t="shared" si="54"/>
        <v>0</v>
      </c>
      <c r="P37" s="34">
        <f t="shared" si="55"/>
        <v>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/>
      <c r="B38" s="41">
        <v>34</v>
      </c>
      <c r="C38" s="140"/>
      <c r="D38" s="140"/>
      <c r="E38" s="44"/>
      <c r="F38" s="44"/>
      <c r="G38" s="69"/>
      <c r="H38" s="43"/>
      <c r="I38" s="44"/>
      <c r="J38" s="69"/>
      <c r="K38" s="70"/>
      <c r="L38" s="42">
        <f t="shared" si="66"/>
        <v>0</v>
      </c>
      <c r="M38" s="33">
        <f t="shared" si="15"/>
        <v>0</v>
      </c>
      <c r="N38" s="43">
        <f t="shared" si="53"/>
        <v>9.2011000000000003</v>
      </c>
      <c r="O38" s="67">
        <f t="shared" si="54"/>
        <v>0</v>
      </c>
      <c r="P38" s="34">
        <f t="shared" si="55"/>
        <v>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/>
      <c r="B39" s="41">
        <v>35</v>
      </c>
      <c r="C39" s="140"/>
      <c r="D39" s="140"/>
      <c r="E39" s="44"/>
      <c r="F39" s="44"/>
      <c r="G39" s="69"/>
      <c r="H39" s="43"/>
      <c r="I39" s="44"/>
      <c r="J39" s="69"/>
      <c r="K39" s="70"/>
      <c r="L39" s="42">
        <f t="shared" si="66"/>
        <v>0</v>
      </c>
      <c r="M39" s="33">
        <f t="shared" ref="M39:M70" si="67">SUMPRODUCT($E$4:$K$4,$E$6:$K$6)</f>
        <v>0</v>
      </c>
      <c r="N39" s="43">
        <f t="shared" si="53"/>
        <v>9.2011000000000003</v>
      </c>
      <c r="O39" s="67">
        <f t="shared" si="54"/>
        <v>0</v>
      </c>
      <c r="P39" s="34">
        <f t="shared" si="55"/>
        <v>0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/>
      <c r="B40" s="41">
        <v>36</v>
      </c>
      <c r="C40" s="140"/>
      <c r="D40" s="140"/>
      <c r="E40" s="44"/>
      <c r="F40" s="44"/>
      <c r="G40" s="69"/>
      <c r="H40" s="43"/>
      <c r="I40" s="44"/>
      <c r="J40" s="69"/>
      <c r="K40" s="70"/>
      <c r="L40" s="42">
        <f t="shared" si="66"/>
        <v>0</v>
      </c>
      <c r="M40" s="33">
        <f t="shared" si="67"/>
        <v>0</v>
      </c>
      <c r="N40" s="43">
        <f t="shared" si="53"/>
        <v>9.2011000000000003</v>
      </c>
      <c r="O40" s="67">
        <f t="shared" si="54"/>
        <v>0</v>
      </c>
      <c r="P40" s="34">
        <f t="shared" si="55"/>
        <v>0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/>
      <c r="B41" s="41">
        <v>37</v>
      </c>
      <c r="C41" s="140"/>
      <c r="D41" s="140"/>
      <c r="E41" s="44"/>
      <c r="F41" s="44"/>
      <c r="G41" s="69"/>
      <c r="H41" s="43"/>
      <c r="I41" s="44"/>
      <c r="J41" s="69"/>
      <c r="K41" s="70"/>
      <c r="L41" s="42">
        <f t="shared" si="66"/>
        <v>0</v>
      </c>
      <c r="M41" s="33">
        <f t="shared" si="67"/>
        <v>0</v>
      </c>
      <c r="N41" s="43">
        <f t="shared" si="53"/>
        <v>9.2011000000000003</v>
      </c>
      <c r="O41" s="67">
        <f t="shared" si="54"/>
        <v>0</v>
      </c>
      <c r="P41" s="34">
        <f t="shared" si="55"/>
        <v>0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/>
      <c r="B42" s="41">
        <v>38</v>
      </c>
      <c r="C42" s="140"/>
      <c r="D42" s="140"/>
      <c r="E42" s="44"/>
      <c r="F42" s="44"/>
      <c r="G42" s="69"/>
      <c r="H42" s="43"/>
      <c r="I42" s="44"/>
      <c r="J42" s="69"/>
      <c r="K42" s="70"/>
      <c r="L42" s="42">
        <f t="shared" si="66"/>
        <v>0</v>
      </c>
      <c r="M42" s="33">
        <f t="shared" si="67"/>
        <v>0</v>
      </c>
      <c r="N42" s="43">
        <f t="shared" si="53"/>
        <v>9.2011000000000003</v>
      </c>
      <c r="O42" s="67">
        <f t="shared" si="54"/>
        <v>0</v>
      </c>
      <c r="P42" s="34">
        <f t="shared" si="55"/>
        <v>0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/>
      <c r="B43" s="41">
        <v>39</v>
      </c>
      <c r="C43" s="140"/>
      <c r="D43" s="140"/>
      <c r="E43" s="44"/>
      <c r="F43" s="44"/>
      <c r="G43" s="69"/>
      <c r="H43" s="43"/>
      <c r="I43" s="44"/>
      <c r="J43" s="69"/>
      <c r="K43" s="70"/>
      <c r="L43" s="42">
        <f t="shared" si="66"/>
        <v>0</v>
      </c>
      <c r="M43" s="33">
        <f t="shared" si="67"/>
        <v>0</v>
      </c>
      <c r="N43" s="43">
        <f t="shared" si="53"/>
        <v>9.2011000000000003</v>
      </c>
      <c r="O43" s="67">
        <f t="shared" si="54"/>
        <v>0</v>
      </c>
      <c r="P43" s="34">
        <f t="shared" si="55"/>
        <v>0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/>
      <c r="B44" s="41">
        <v>40</v>
      </c>
      <c r="C44" s="140"/>
      <c r="D44" s="140"/>
      <c r="E44" s="44"/>
      <c r="F44" s="44"/>
      <c r="G44" s="69"/>
      <c r="H44" s="43"/>
      <c r="I44" s="44"/>
      <c r="J44" s="69"/>
      <c r="K44" s="70"/>
      <c r="L44" s="42">
        <f t="shared" si="66"/>
        <v>0</v>
      </c>
      <c r="M44" s="33">
        <f t="shared" si="67"/>
        <v>0</v>
      </c>
      <c r="N44" s="43">
        <f t="shared" si="53"/>
        <v>9.2011000000000003</v>
      </c>
      <c r="O44" s="67">
        <f t="shared" si="54"/>
        <v>0</v>
      </c>
      <c r="P44" s="34">
        <f t="shared" si="55"/>
        <v>0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/>
      <c r="B45" s="41">
        <v>41</v>
      </c>
      <c r="C45" s="140"/>
      <c r="D45" s="140"/>
      <c r="E45" s="44"/>
      <c r="F45" s="44"/>
      <c r="G45" s="69"/>
      <c r="H45" s="43"/>
      <c r="I45" s="44"/>
      <c r="J45" s="69"/>
      <c r="K45" s="70"/>
      <c r="L45" s="42">
        <f t="shared" si="66"/>
        <v>0</v>
      </c>
      <c r="M45" s="33">
        <f t="shared" si="67"/>
        <v>0</v>
      </c>
      <c r="N45" s="43">
        <f t="shared" si="53"/>
        <v>9.2011000000000003</v>
      </c>
      <c r="O45" s="67">
        <f t="shared" si="54"/>
        <v>0</v>
      </c>
      <c r="P45" s="34">
        <f t="shared" si="55"/>
        <v>0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/>
      <c r="B46" s="41">
        <v>42</v>
      </c>
      <c r="C46" s="140"/>
      <c r="D46" s="140"/>
      <c r="E46" s="44"/>
      <c r="F46" s="44"/>
      <c r="G46" s="69"/>
      <c r="H46" s="43"/>
      <c r="I46" s="44"/>
      <c r="J46" s="69"/>
      <c r="K46" s="70"/>
      <c r="L46" s="42">
        <f t="shared" si="66"/>
        <v>0</v>
      </c>
      <c r="M46" s="33">
        <f t="shared" si="67"/>
        <v>0</v>
      </c>
      <c r="N46" s="43">
        <f t="shared" si="53"/>
        <v>9.2011000000000003</v>
      </c>
      <c r="O46" s="67">
        <f t="shared" si="54"/>
        <v>0</v>
      </c>
      <c r="P46" s="34">
        <f t="shared" si="55"/>
        <v>0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/>
      <c r="B47" s="41">
        <v>43</v>
      </c>
      <c r="C47" s="140"/>
      <c r="D47" s="140"/>
      <c r="E47" s="44"/>
      <c r="F47" s="44"/>
      <c r="G47" s="69"/>
      <c r="H47" s="43"/>
      <c r="I47" s="44"/>
      <c r="J47" s="69"/>
      <c r="K47" s="70"/>
      <c r="L47" s="42">
        <f t="shared" si="66"/>
        <v>0</v>
      </c>
      <c r="M47" s="33">
        <f t="shared" si="67"/>
        <v>0</v>
      </c>
      <c r="N47" s="43">
        <f t="shared" si="53"/>
        <v>9.2011000000000003</v>
      </c>
      <c r="O47" s="67">
        <f t="shared" si="54"/>
        <v>0</v>
      </c>
      <c r="P47" s="34">
        <f t="shared" si="55"/>
        <v>0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/>
      <c r="B48" s="41">
        <v>44</v>
      </c>
      <c r="C48" s="140"/>
      <c r="D48" s="140"/>
      <c r="E48" s="44"/>
      <c r="F48" s="44"/>
      <c r="G48" s="69"/>
      <c r="H48" s="43"/>
      <c r="I48" s="44"/>
      <c r="J48" s="69"/>
      <c r="K48" s="70"/>
      <c r="L48" s="42">
        <f t="shared" si="66"/>
        <v>0</v>
      </c>
      <c r="M48" s="33">
        <f t="shared" si="67"/>
        <v>0</v>
      </c>
      <c r="N48" s="43">
        <f t="shared" si="53"/>
        <v>9.2011000000000003</v>
      </c>
      <c r="O48" s="67">
        <f t="shared" ref="O48:O60" si="68">SUM(F48:H48)/20</f>
        <v>0</v>
      </c>
      <c r="P48" s="34">
        <f t="shared" ref="P48:P60" si="69">SUM(I48:K48)/20</f>
        <v>0</v>
      </c>
      <c r="Q48" s="45"/>
      <c r="R48" s="46"/>
      <c r="S48" s="46"/>
      <c r="T48" s="47"/>
      <c r="U48" s="48"/>
      <c r="V48" s="49">
        <f t="shared" ref="V48:V60" si="70">SUM(F48:H48)*$V$3</f>
        <v>0</v>
      </c>
      <c r="W48" s="49">
        <f t="shared" ref="W48:W60" si="71">SUM(I48:K48)*$W$3</f>
        <v>0</v>
      </c>
      <c r="X48" s="50"/>
    </row>
    <row r="49" spans="1:24" x14ac:dyDescent="0.35">
      <c r="A49" s="72"/>
      <c r="B49" s="41">
        <v>45</v>
      </c>
      <c r="C49" s="140"/>
      <c r="D49" s="140"/>
      <c r="E49" s="44"/>
      <c r="F49" s="44"/>
      <c r="G49" s="69"/>
      <c r="H49" s="43"/>
      <c r="I49" s="44"/>
      <c r="J49" s="69"/>
      <c r="K49" s="70"/>
      <c r="L49" s="42">
        <f t="shared" si="66"/>
        <v>0</v>
      </c>
      <c r="M49" s="33">
        <f t="shared" si="67"/>
        <v>0</v>
      </c>
      <c r="N49" s="43">
        <f t="shared" si="53"/>
        <v>9.2011000000000003</v>
      </c>
      <c r="O49" s="67">
        <f t="shared" si="68"/>
        <v>0</v>
      </c>
      <c r="P49" s="34">
        <f t="shared" si="69"/>
        <v>0</v>
      </c>
      <c r="Q49" s="45"/>
      <c r="R49" s="46"/>
      <c r="S49" s="46"/>
      <c r="T49" s="47"/>
      <c r="U49" s="48"/>
      <c r="V49" s="49">
        <f t="shared" si="70"/>
        <v>0</v>
      </c>
      <c r="W49" s="49">
        <f t="shared" si="71"/>
        <v>0</v>
      </c>
      <c r="X49" s="50"/>
    </row>
    <row r="50" spans="1:24" x14ac:dyDescent="0.35">
      <c r="A50" s="72"/>
      <c r="B50" s="41">
        <v>46</v>
      </c>
      <c r="C50" s="140"/>
      <c r="D50" s="140"/>
      <c r="E50" s="44"/>
      <c r="F50" s="44"/>
      <c r="G50" s="69"/>
      <c r="H50" s="43"/>
      <c r="I50" s="44"/>
      <c r="J50" s="69"/>
      <c r="K50" s="70"/>
      <c r="L50" s="42">
        <f t="shared" si="66"/>
        <v>0</v>
      </c>
      <c r="M50" s="33">
        <f t="shared" si="67"/>
        <v>0</v>
      </c>
      <c r="N50" s="43">
        <f t="shared" si="53"/>
        <v>9.2011000000000003</v>
      </c>
      <c r="O50" s="67">
        <f t="shared" si="68"/>
        <v>0</v>
      </c>
      <c r="P50" s="34">
        <f t="shared" si="69"/>
        <v>0</v>
      </c>
      <c r="Q50" s="45"/>
      <c r="R50" s="46"/>
      <c r="S50" s="46"/>
      <c r="T50" s="47"/>
      <c r="U50" s="48"/>
      <c r="V50" s="49">
        <f t="shared" si="70"/>
        <v>0</v>
      </c>
      <c r="W50" s="49">
        <f t="shared" si="71"/>
        <v>0</v>
      </c>
      <c r="X50" s="50"/>
    </row>
    <row r="51" spans="1:24" x14ac:dyDescent="0.35">
      <c r="A51" s="72"/>
      <c r="B51" s="41">
        <v>47</v>
      </c>
      <c r="C51" s="140"/>
      <c r="D51" s="140"/>
      <c r="E51" s="44"/>
      <c r="F51" s="44"/>
      <c r="G51" s="69"/>
      <c r="H51" s="43"/>
      <c r="I51" s="44"/>
      <c r="J51" s="69"/>
      <c r="K51" s="70"/>
      <c r="L51" s="42">
        <f t="shared" si="66"/>
        <v>0</v>
      </c>
      <c r="M51" s="33">
        <f t="shared" si="67"/>
        <v>0</v>
      </c>
      <c r="N51" s="43">
        <f t="shared" si="53"/>
        <v>9.2011000000000003</v>
      </c>
      <c r="O51" s="67">
        <f t="shared" si="68"/>
        <v>0</v>
      </c>
      <c r="P51" s="34">
        <f t="shared" si="69"/>
        <v>0</v>
      </c>
      <c r="Q51" s="45"/>
      <c r="R51" s="46"/>
      <c r="S51" s="46"/>
      <c r="T51" s="47"/>
      <c r="U51" s="48"/>
      <c r="V51" s="49">
        <f t="shared" si="70"/>
        <v>0</v>
      </c>
      <c r="W51" s="49">
        <f t="shared" si="71"/>
        <v>0</v>
      </c>
      <c r="X51" s="50"/>
    </row>
    <row r="52" spans="1:24" x14ac:dyDescent="0.35">
      <c r="A52" s="72"/>
      <c r="B52" s="41">
        <v>48</v>
      </c>
      <c r="C52" s="140"/>
      <c r="D52" s="140"/>
      <c r="E52" s="44"/>
      <c r="F52" s="44"/>
      <c r="G52" s="69"/>
      <c r="H52" s="43"/>
      <c r="I52" s="44"/>
      <c r="J52" s="69"/>
      <c r="K52" s="70"/>
      <c r="L52" s="42">
        <f t="shared" si="66"/>
        <v>0</v>
      </c>
      <c r="M52" s="33">
        <f t="shared" si="67"/>
        <v>0</v>
      </c>
      <c r="N52" s="43">
        <f t="shared" si="53"/>
        <v>9.2011000000000003</v>
      </c>
      <c r="O52" s="67">
        <f t="shared" si="68"/>
        <v>0</v>
      </c>
      <c r="P52" s="34">
        <f t="shared" si="69"/>
        <v>0</v>
      </c>
      <c r="Q52" s="45"/>
      <c r="R52" s="46"/>
      <c r="S52" s="46"/>
      <c r="T52" s="47"/>
      <c r="U52" s="48"/>
      <c r="V52" s="49">
        <f t="shared" si="70"/>
        <v>0</v>
      </c>
      <c r="W52" s="49">
        <f t="shared" si="71"/>
        <v>0</v>
      </c>
      <c r="X52" s="50"/>
    </row>
    <row r="53" spans="1:24" x14ac:dyDescent="0.35">
      <c r="A53" s="72"/>
      <c r="B53" s="41">
        <v>49</v>
      </c>
      <c r="C53" s="132"/>
      <c r="D53" s="132"/>
      <c r="E53" s="44"/>
      <c r="F53" s="44"/>
      <c r="G53" s="69"/>
      <c r="H53" s="43"/>
      <c r="I53" s="44"/>
      <c r="J53" s="69"/>
      <c r="K53" s="70"/>
      <c r="L53" s="42">
        <f t="shared" si="66"/>
        <v>0</v>
      </c>
      <c r="M53" s="33">
        <f t="shared" si="67"/>
        <v>0</v>
      </c>
      <c r="N53" s="43">
        <f t="shared" si="53"/>
        <v>9.2011000000000003</v>
      </c>
      <c r="O53" s="67">
        <f t="shared" si="68"/>
        <v>0</v>
      </c>
      <c r="P53" s="34">
        <f t="shared" si="69"/>
        <v>0</v>
      </c>
      <c r="Q53" s="45"/>
      <c r="R53" s="46"/>
      <c r="S53" s="46"/>
      <c r="T53" s="47"/>
      <c r="U53" s="48"/>
      <c r="V53" s="49">
        <f t="shared" si="70"/>
        <v>0</v>
      </c>
      <c r="W53" s="49">
        <f t="shared" si="71"/>
        <v>0</v>
      </c>
      <c r="X53" s="50"/>
    </row>
    <row r="54" spans="1:24" x14ac:dyDescent="0.35">
      <c r="A54" s="72"/>
      <c r="B54" s="41">
        <v>50</v>
      </c>
      <c r="C54" s="132"/>
      <c r="D54" s="132"/>
      <c r="E54" s="44"/>
      <c r="F54" s="44"/>
      <c r="G54" s="69"/>
      <c r="H54" s="43"/>
      <c r="I54" s="44"/>
      <c r="J54" s="69"/>
      <c r="K54" s="70"/>
      <c r="L54" s="42">
        <f t="shared" si="66"/>
        <v>0</v>
      </c>
      <c r="M54" s="33">
        <f t="shared" si="67"/>
        <v>0</v>
      </c>
      <c r="N54" s="43">
        <f t="shared" si="53"/>
        <v>9.2011000000000003</v>
      </c>
      <c r="O54" s="67">
        <f t="shared" si="68"/>
        <v>0</v>
      </c>
      <c r="P54" s="34">
        <f t="shared" si="69"/>
        <v>0</v>
      </c>
      <c r="Q54" s="45"/>
      <c r="R54" s="46"/>
      <c r="S54" s="46"/>
      <c r="T54" s="47"/>
      <c r="U54" s="48"/>
      <c r="V54" s="49">
        <f t="shared" si="70"/>
        <v>0</v>
      </c>
      <c r="W54" s="49">
        <f t="shared" si="71"/>
        <v>0</v>
      </c>
      <c r="X54" s="50"/>
    </row>
    <row r="55" spans="1:24" x14ac:dyDescent="0.35">
      <c r="A55" s="72"/>
      <c r="B55" s="41">
        <v>51</v>
      </c>
      <c r="C55" s="132"/>
      <c r="D55" s="132"/>
      <c r="E55" s="44"/>
      <c r="F55" s="44"/>
      <c r="G55" s="69"/>
      <c r="H55" s="43"/>
      <c r="I55" s="44"/>
      <c r="J55" s="69"/>
      <c r="K55" s="70"/>
      <c r="L55" s="42">
        <f t="shared" si="66"/>
        <v>0</v>
      </c>
      <c r="M55" s="33">
        <f t="shared" si="67"/>
        <v>0</v>
      </c>
      <c r="N55" s="43">
        <f t="shared" si="53"/>
        <v>9.2011000000000003</v>
      </c>
      <c r="O55" s="67">
        <f t="shared" si="68"/>
        <v>0</v>
      </c>
      <c r="P55" s="34">
        <f t="shared" si="69"/>
        <v>0</v>
      </c>
      <c r="Q55" s="45"/>
      <c r="R55" s="46"/>
      <c r="S55" s="46"/>
      <c r="T55" s="47"/>
      <c r="U55" s="48"/>
      <c r="V55" s="49">
        <f t="shared" si="70"/>
        <v>0</v>
      </c>
      <c r="W55" s="49">
        <f t="shared" si="71"/>
        <v>0</v>
      </c>
      <c r="X55" s="50"/>
    </row>
    <row r="56" spans="1:24" x14ac:dyDescent="0.35">
      <c r="A56" s="72"/>
      <c r="B56" s="41">
        <v>52</v>
      </c>
      <c r="C56" s="132"/>
      <c r="D56" s="132"/>
      <c r="E56" s="44"/>
      <c r="F56" s="44"/>
      <c r="G56" s="69"/>
      <c r="H56" s="43"/>
      <c r="I56" s="44"/>
      <c r="J56" s="69"/>
      <c r="K56" s="70"/>
      <c r="L56" s="42">
        <f t="shared" si="66"/>
        <v>0</v>
      </c>
      <c r="M56" s="33">
        <f t="shared" si="67"/>
        <v>0</v>
      </c>
      <c r="N56" s="43">
        <f t="shared" si="53"/>
        <v>9.2011000000000003</v>
      </c>
      <c r="O56" s="67">
        <f t="shared" si="68"/>
        <v>0</v>
      </c>
      <c r="P56" s="34">
        <f t="shared" si="69"/>
        <v>0</v>
      </c>
      <c r="Q56" s="45"/>
      <c r="R56" s="46"/>
      <c r="S56" s="46"/>
      <c r="T56" s="47"/>
      <c r="U56" s="48"/>
      <c r="V56" s="49">
        <f t="shared" si="70"/>
        <v>0</v>
      </c>
      <c r="W56" s="49">
        <f t="shared" si="71"/>
        <v>0</v>
      </c>
      <c r="X56" s="50"/>
    </row>
    <row r="57" spans="1:24" x14ac:dyDescent="0.35">
      <c r="A57" s="72"/>
      <c r="B57" s="41">
        <v>53</v>
      </c>
      <c r="C57" s="132"/>
      <c r="D57" s="132"/>
      <c r="E57" s="44"/>
      <c r="F57" s="44"/>
      <c r="G57" s="69"/>
      <c r="H57" s="43"/>
      <c r="I57" s="44"/>
      <c r="J57" s="69"/>
      <c r="K57" s="70"/>
      <c r="L57" s="42">
        <f t="shared" si="66"/>
        <v>0</v>
      </c>
      <c r="M57" s="33">
        <f t="shared" si="67"/>
        <v>0</v>
      </c>
      <c r="N57" s="43">
        <f t="shared" si="53"/>
        <v>9.2011000000000003</v>
      </c>
      <c r="O57" s="67">
        <f t="shared" si="68"/>
        <v>0</v>
      </c>
      <c r="P57" s="34">
        <f t="shared" si="69"/>
        <v>0</v>
      </c>
      <c r="Q57" s="45"/>
      <c r="R57" s="46"/>
      <c r="S57" s="46"/>
      <c r="T57" s="47"/>
      <c r="U57" s="48"/>
      <c r="V57" s="49">
        <f t="shared" si="70"/>
        <v>0</v>
      </c>
      <c r="W57" s="49">
        <f t="shared" si="71"/>
        <v>0</v>
      </c>
      <c r="X57" s="50"/>
    </row>
    <row r="58" spans="1:24" x14ac:dyDescent="0.35">
      <c r="A58" s="72"/>
      <c r="B58" s="41">
        <v>54</v>
      </c>
      <c r="C58" s="132"/>
      <c r="D58" s="132"/>
      <c r="E58" s="44"/>
      <c r="F58" s="69"/>
      <c r="G58" s="69"/>
      <c r="H58" s="131"/>
      <c r="I58" s="69"/>
      <c r="J58" s="69"/>
      <c r="K58" s="69"/>
      <c r="L58" s="122">
        <f t="shared" si="66"/>
        <v>0</v>
      </c>
      <c r="M58" s="33">
        <f t="shared" si="67"/>
        <v>0</v>
      </c>
      <c r="N58" s="43">
        <f t="shared" si="53"/>
        <v>9.2011000000000003</v>
      </c>
      <c r="O58" s="67">
        <f t="shared" si="68"/>
        <v>0</v>
      </c>
      <c r="P58" s="34">
        <f t="shared" si="69"/>
        <v>0</v>
      </c>
      <c r="Q58" s="45"/>
      <c r="R58" s="46"/>
      <c r="S58" s="46"/>
      <c r="T58" s="47"/>
      <c r="U58" s="48"/>
      <c r="V58" s="49">
        <f t="shared" si="70"/>
        <v>0</v>
      </c>
      <c r="W58" s="49">
        <f t="shared" si="71"/>
        <v>0</v>
      </c>
      <c r="X58" s="50"/>
    </row>
    <row r="59" spans="1:24" x14ac:dyDescent="0.35">
      <c r="A59" s="72"/>
      <c r="B59" s="41">
        <v>55</v>
      </c>
      <c r="C59" s="132"/>
      <c r="D59" s="132"/>
      <c r="E59" s="44"/>
      <c r="F59" s="69"/>
      <c r="G59" s="69"/>
      <c r="H59" s="131"/>
      <c r="I59" s="69"/>
      <c r="J59" s="69"/>
      <c r="K59" s="69"/>
      <c r="L59" s="122">
        <f t="shared" si="66"/>
        <v>0</v>
      </c>
      <c r="M59" s="33">
        <f t="shared" si="67"/>
        <v>0</v>
      </c>
      <c r="N59" s="43">
        <f t="shared" si="53"/>
        <v>9.2011000000000003</v>
      </c>
      <c r="O59" s="67">
        <f t="shared" si="68"/>
        <v>0</v>
      </c>
      <c r="P59" s="34">
        <f t="shared" si="69"/>
        <v>0</v>
      </c>
      <c r="Q59" s="45"/>
      <c r="R59" s="46"/>
      <c r="S59" s="46"/>
      <c r="T59" s="47"/>
      <c r="U59" s="48"/>
      <c r="V59" s="49">
        <f t="shared" si="70"/>
        <v>0</v>
      </c>
      <c r="W59" s="49">
        <f t="shared" si="71"/>
        <v>0</v>
      </c>
      <c r="X59" s="50"/>
    </row>
    <row r="60" spans="1:24" x14ac:dyDescent="0.35">
      <c r="A60" s="72"/>
      <c r="B60" s="41">
        <v>56</v>
      </c>
      <c r="C60" s="132"/>
      <c r="D60" s="132"/>
      <c r="E60" s="44"/>
      <c r="F60" s="69"/>
      <c r="G60" s="69"/>
      <c r="H60" s="131"/>
      <c r="I60" s="69"/>
      <c r="J60" s="69"/>
      <c r="K60" s="69"/>
      <c r="L60" s="122">
        <f t="shared" si="66"/>
        <v>0</v>
      </c>
      <c r="M60" s="33">
        <f t="shared" si="67"/>
        <v>0</v>
      </c>
      <c r="N60" s="43">
        <f t="shared" si="53"/>
        <v>9.2011000000000003</v>
      </c>
      <c r="O60" s="67">
        <f t="shared" si="68"/>
        <v>0</v>
      </c>
      <c r="P60" s="34">
        <f t="shared" si="69"/>
        <v>0</v>
      </c>
      <c r="Q60" s="45"/>
      <c r="R60" s="46"/>
      <c r="S60" s="46"/>
      <c r="T60" s="47"/>
      <c r="U60" s="48"/>
      <c r="V60" s="49">
        <f t="shared" si="70"/>
        <v>0</v>
      </c>
      <c r="W60" s="49">
        <f t="shared" si="71"/>
        <v>0</v>
      </c>
      <c r="X60" s="50"/>
    </row>
    <row r="61" spans="1:24" x14ac:dyDescent="0.35">
      <c r="A61" s="72"/>
      <c r="B61" s="41">
        <v>57</v>
      </c>
      <c r="C61" s="132"/>
      <c r="D61" s="132"/>
      <c r="E61" s="44"/>
      <c r="F61" s="69"/>
      <c r="G61" s="69"/>
      <c r="H61" s="131"/>
      <c r="I61" s="69"/>
      <c r="J61" s="69"/>
      <c r="K61" s="69"/>
      <c r="L61" s="122">
        <f t="shared" si="66"/>
        <v>0</v>
      </c>
      <c r="M61" s="33">
        <f t="shared" si="67"/>
        <v>0</v>
      </c>
      <c r="N61" s="43">
        <f t="shared" si="53"/>
        <v>9.2011000000000003</v>
      </c>
      <c r="O61" s="67">
        <f t="shared" si="41"/>
        <v>0</v>
      </c>
      <c r="P61" s="34">
        <f t="shared" si="42"/>
        <v>0</v>
      </c>
      <c r="Q61" s="45" t="e">
        <f t="shared" ref="Q61:Q92" si="72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3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/>
      <c r="B62" s="41">
        <v>58</v>
      </c>
      <c r="C62" s="132"/>
      <c r="D62" s="132"/>
      <c r="E62" s="44"/>
      <c r="F62" s="69"/>
      <c r="G62" s="69"/>
      <c r="H62" s="131"/>
      <c r="I62" s="69"/>
      <c r="J62" s="69"/>
      <c r="K62" s="69"/>
      <c r="L62" s="122">
        <f t="shared" si="66"/>
        <v>0</v>
      </c>
      <c r="M62" s="33">
        <f t="shared" si="67"/>
        <v>0</v>
      </c>
      <c r="N62" s="43">
        <f t="shared" si="53"/>
        <v>9.2011000000000003</v>
      </c>
      <c r="O62" s="67">
        <f t="shared" ref="O62:O79" si="74">SUM(F62:H62)/20</f>
        <v>0</v>
      </c>
      <c r="P62" s="34">
        <f t="shared" ref="P62:P79" si="75">SUM(I62:K62)/20</f>
        <v>0</v>
      </c>
      <c r="Q62" s="45" t="e">
        <f t="shared" si="72"/>
        <v>#VALUE!</v>
      </c>
      <c r="R62" s="46">
        <f t="shared" si="5"/>
        <v>0</v>
      </c>
      <c r="S62" s="46">
        <f t="shared" si="6"/>
        <v>0</v>
      </c>
      <c r="T62" s="47" t="e">
        <f t="shared" ref="T62:T79" si="76">SUM(Q62:S62)</f>
        <v>#VALUE!</v>
      </c>
      <c r="U62" s="48" t="e">
        <f t="shared" si="73"/>
        <v>#VALUE!</v>
      </c>
      <c r="V62" s="49">
        <f t="shared" ref="V62:V79" si="77">SUM(F62:H62)*$V$3</f>
        <v>0</v>
      </c>
      <c r="W62" s="49">
        <f t="shared" ref="W62:W79" si="78">SUM(I62:K62)*$W$3</f>
        <v>0</v>
      </c>
      <c r="X62" s="50" t="e">
        <f t="shared" ref="X62:X79" si="79">SUM(U62:W62)</f>
        <v>#VALUE!</v>
      </c>
    </row>
    <row r="63" spans="1:24" x14ac:dyDescent="0.35">
      <c r="A63" s="72"/>
      <c r="B63" s="41">
        <v>59</v>
      </c>
      <c r="C63" s="132"/>
      <c r="D63" s="132"/>
      <c r="E63" s="44"/>
      <c r="F63" s="69"/>
      <c r="G63" s="69"/>
      <c r="H63" s="131"/>
      <c r="I63" s="69"/>
      <c r="J63" s="69"/>
      <c r="K63" s="69"/>
      <c r="L63" s="122">
        <f t="shared" si="66"/>
        <v>0</v>
      </c>
      <c r="M63" s="33">
        <f t="shared" si="67"/>
        <v>0</v>
      </c>
      <c r="N63" s="43">
        <f t="shared" si="53"/>
        <v>9.2011000000000003</v>
      </c>
      <c r="O63" s="67">
        <f t="shared" si="74"/>
        <v>0</v>
      </c>
      <c r="P63" s="34">
        <f t="shared" si="75"/>
        <v>0</v>
      </c>
      <c r="Q63" s="45" t="e">
        <f t="shared" si="72"/>
        <v>#VALUE!</v>
      </c>
      <c r="R63" s="46">
        <f t="shared" si="5"/>
        <v>0</v>
      </c>
      <c r="S63" s="46">
        <f t="shared" si="6"/>
        <v>0</v>
      </c>
      <c r="T63" s="47" t="e">
        <f t="shared" si="76"/>
        <v>#VALUE!</v>
      </c>
      <c r="U63" s="48" t="e">
        <f t="shared" si="73"/>
        <v>#VALUE!</v>
      </c>
      <c r="V63" s="49">
        <f t="shared" si="77"/>
        <v>0</v>
      </c>
      <c r="W63" s="49">
        <f t="shared" si="78"/>
        <v>0</v>
      </c>
      <c r="X63" s="50" t="e">
        <f t="shared" si="79"/>
        <v>#VALUE!</v>
      </c>
    </row>
    <row r="64" spans="1:24" x14ac:dyDescent="0.35">
      <c r="A64" s="72"/>
      <c r="B64" s="41">
        <v>60</v>
      </c>
      <c r="C64" s="132"/>
      <c r="D64" s="132"/>
      <c r="E64" s="44"/>
      <c r="F64" s="69"/>
      <c r="G64" s="69"/>
      <c r="H64" s="131"/>
      <c r="I64" s="69"/>
      <c r="J64" s="69"/>
      <c r="K64" s="69"/>
      <c r="L64" s="122">
        <f t="shared" si="66"/>
        <v>0</v>
      </c>
      <c r="M64" s="33">
        <f t="shared" si="67"/>
        <v>0</v>
      </c>
      <c r="N64" s="43">
        <f t="shared" si="53"/>
        <v>9.2011000000000003</v>
      </c>
      <c r="O64" s="67">
        <f t="shared" si="74"/>
        <v>0</v>
      </c>
      <c r="P64" s="34">
        <f t="shared" si="75"/>
        <v>0</v>
      </c>
      <c r="Q64" s="45" t="e">
        <f t="shared" si="72"/>
        <v>#VALUE!</v>
      </c>
      <c r="R64" s="46">
        <f t="shared" si="5"/>
        <v>0</v>
      </c>
      <c r="S64" s="46">
        <f t="shared" si="6"/>
        <v>0</v>
      </c>
      <c r="T64" s="47" t="e">
        <f t="shared" si="76"/>
        <v>#VALUE!</v>
      </c>
      <c r="U64" s="48" t="e">
        <f t="shared" si="73"/>
        <v>#VALUE!</v>
      </c>
      <c r="V64" s="49">
        <f t="shared" si="77"/>
        <v>0</v>
      </c>
      <c r="W64" s="49">
        <f t="shared" si="78"/>
        <v>0</v>
      </c>
      <c r="X64" s="50" t="e">
        <f t="shared" si="79"/>
        <v>#VALUE!</v>
      </c>
    </row>
    <row r="65" spans="1:24" x14ac:dyDescent="0.35">
      <c r="A65" s="72"/>
      <c r="B65" s="41">
        <v>61</v>
      </c>
      <c r="C65" s="132"/>
      <c r="D65" s="132"/>
      <c r="E65" s="44"/>
      <c r="F65" s="69"/>
      <c r="G65" s="69"/>
      <c r="H65" s="131"/>
      <c r="I65" s="69"/>
      <c r="J65" s="69"/>
      <c r="K65" s="69"/>
      <c r="L65" s="122">
        <f t="shared" si="66"/>
        <v>0</v>
      </c>
      <c r="M65" s="33">
        <f t="shared" si="67"/>
        <v>0</v>
      </c>
      <c r="N65" s="43">
        <f t="shared" si="53"/>
        <v>9.2011000000000003</v>
      </c>
      <c r="O65" s="67">
        <f t="shared" si="74"/>
        <v>0</v>
      </c>
      <c r="P65" s="34">
        <f t="shared" si="75"/>
        <v>0</v>
      </c>
      <c r="Q65" s="45" t="e">
        <f t="shared" si="72"/>
        <v>#VALUE!</v>
      </c>
      <c r="R65" s="46">
        <f t="shared" si="5"/>
        <v>0</v>
      </c>
      <c r="S65" s="46">
        <f t="shared" si="6"/>
        <v>0</v>
      </c>
      <c r="T65" s="47" t="e">
        <f t="shared" si="76"/>
        <v>#VALUE!</v>
      </c>
      <c r="U65" s="48" t="e">
        <f t="shared" si="73"/>
        <v>#VALUE!</v>
      </c>
      <c r="V65" s="49">
        <f t="shared" si="77"/>
        <v>0</v>
      </c>
      <c r="W65" s="49">
        <f t="shared" si="78"/>
        <v>0</v>
      </c>
      <c r="X65" s="50" t="e">
        <f t="shared" si="79"/>
        <v>#VALUE!</v>
      </c>
    </row>
    <row r="66" spans="1:24" x14ac:dyDescent="0.35">
      <c r="A66" s="72"/>
      <c r="B66" s="41">
        <v>62</v>
      </c>
      <c r="C66" s="132"/>
      <c r="D66" s="132"/>
      <c r="E66" s="44"/>
      <c r="F66" s="69"/>
      <c r="G66" s="69"/>
      <c r="H66" s="131"/>
      <c r="I66" s="69"/>
      <c r="J66" s="69"/>
      <c r="K66" s="69"/>
      <c r="L66" s="122">
        <f t="shared" si="66"/>
        <v>0</v>
      </c>
      <c r="M66" s="33">
        <f t="shared" si="67"/>
        <v>0</v>
      </c>
      <c r="N66" s="43">
        <f t="shared" ref="N66:N97" si="80">SUMPRODUCT($E$3:$K$3,$E$6:$K$6)/1000</f>
        <v>9.2011000000000003</v>
      </c>
      <c r="O66" s="67">
        <f t="shared" si="74"/>
        <v>0</v>
      </c>
      <c r="P66" s="34">
        <f t="shared" si="75"/>
        <v>0</v>
      </c>
      <c r="Q66" s="45" t="e">
        <f t="shared" si="72"/>
        <v>#VALUE!</v>
      </c>
      <c r="R66" s="46">
        <f t="shared" si="5"/>
        <v>0</v>
      </c>
      <c r="S66" s="46">
        <f t="shared" si="6"/>
        <v>0</v>
      </c>
      <c r="T66" s="47" t="e">
        <f t="shared" si="76"/>
        <v>#VALUE!</v>
      </c>
      <c r="U66" s="48" t="e">
        <f t="shared" si="73"/>
        <v>#VALUE!</v>
      </c>
      <c r="V66" s="49">
        <f t="shared" si="77"/>
        <v>0</v>
      </c>
      <c r="W66" s="49">
        <f t="shared" si="78"/>
        <v>0</v>
      </c>
      <c r="X66" s="50" t="e">
        <f t="shared" si="79"/>
        <v>#VALUE!</v>
      </c>
    </row>
    <row r="67" spans="1:24" x14ac:dyDescent="0.35">
      <c r="A67" s="72"/>
      <c r="B67" s="41">
        <v>63</v>
      </c>
      <c r="C67" s="132"/>
      <c r="D67" s="132"/>
      <c r="E67" s="44"/>
      <c r="F67" s="69"/>
      <c r="G67" s="69"/>
      <c r="H67" s="131"/>
      <c r="I67" s="69"/>
      <c r="J67" s="69"/>
      <c r="K67" s="69"/>
      <c r="L67" s="122">
        <f t="shared" si="66"/>
        <v>0</v>
      </c>
      <c r="M67" s="33">
        <f t="shared" si="67"/>
        <v>0</v>
      </c>
      <c r="N67" s="43">
        <f t="shared" si="80"/>
        <v>9.2011000000000003</v>
      </c>
      <c r="O67" s="67">
        <f t="shared" si="74"/>
        <v>0</v>
      </c>
      <c r="P67" s="34">
        <f t="shared" si="75"/>
        <v>0</v>
      </c>
      <c r="Q67" s="45" t="e">
        <f t="shared" si="72"/>
        <v>#VALUE!</v>
      </c>
      <c r="R67" s="46">
        <f t="shared" si="5"/>
        <v>0</v>
      </c>
      <c r="S67" s="46">
        <f t="shared" si="6"/>
        <v>0</v>
      </c>
      <c r="T67" s="47" t="e">
        <f t="shared" si="76"/>
        <v>#VALUE!</v>
      </c>
      <c r="U67" s="48" t="e">
        <f t="shared" si="73"/>
        <v>#VALUE!</v>
      </c>
      <c r="V67" s="49">
        <f t="shared" si="77"/>
        <v>0</v>
      </c>
      <c r="W67" s="49">
        <f t="shared" si="78"/>
        <v>0</v>
      </c>
      <c r="X67" s="50" t="e">
        <f t="shared" si="79"/>
        <v>#VALUE!</v>
      </c>
    </row>
    <row r="68" spans="1:24" x14ac:dyDescent="0.35">
      <c r="A68" s="72"/>
      <c r="B68" s="41">
        <v>64</v>
      </c>
      <c r="C68" s="132"/>
      <c r="D68" s="132"/>
      <c r="E68" s="44"/>
      <c r="F68" s="69"/>
      <c r="G68" s="69"/>
      <c r="H68" s="131"/>
      <c r="I68" s="69"/>
      <c r="J68" s="69"/>
      <c r="K68" s="69"/>
      <c r="L68" s="122">
        <f t="shared" si="66"/>
        <v>0</v>
      </c>
      <c r="M68" s="33">
        <f t="shared" si="67"/>
        <v>0</v>
      </c>
      <c r="N68" s="43">
        <f t="shared" si="80"/>
        <v>9.2011000000000003</v>
      </c>
      <c r="O68" s="67">
        <f t="shared" si="74"/>
        <v>0</v>
      </c>
      <c r="P68" s="34">
        <f t="shared" si="75"/>
        <v>0</v>
      </c>
      <c r="Q68" s="45" t="e">
        <f t="shared" si="72"/>
        <v>#VALUE!</v>
      </c>
      <c r="R68" s="46">
        <f t="shared" si="5"/>
        <v>0</v>
      </c>
      <c r="S68" s="46">
        <f t="shared" si="6"/>
        <v>0</v>
      </c>
      <c r="T68" s="47" t="e">
        <f t="shared" si="76"/>
        <v>#VALUE!</v>
      </c>
      <c r="U68" s="48" t="e">
        <f t="shared" si="73"/>
        <v>#VALUE!</v>
      </c>
      <c r="V68" s="49">
        <f t="shared" si="77"/>
        <v>0</v>
      </c>
      <c r="W68" s="49">
        <f t="shared" si="78"/>
        <v>0</v>
      </c>
      <c r="X68" s="50" t="e">
        <f t="shared" si="79"/>
        <v>#VALUE!</v>
      </c>
    </row>
    <row r="69" spans="1:24" x14ac:dyDescent="0.35">
      <c r="A69" s="72"/>
      <c r="B69" s="41">
        <v>65</v>
      </c>
      <c r="C69" s="132"/>
      <c r="D69" s="132"/>
      <c r="E69" s="44"/>
      <c r="F69" s="69"/>
      <c r="G69" s="69"/>
      <c r="H69" s="131"/>
      <c r="I69" s="69"/>
      <c r="J69" s="69"/>
      <c r="K69" s="69"/>
      <c r="L69" s="122">
        <f t="shared" ref="L69:L100" si="81">SUM(E69:K69)/40</f>
        <v>0</v>
      </c>
      <c r="M69" s="33">
        <f t="shared" si="67"/>
        <v>0</v>
      </c>
      <c r="N69" s="43">
        <f t="shared" si="80"/>
        <v>9.2011000000000003</v>
      </c>
      <c r="O69" s="67">
        <f t="shared" si="74"/>
        <v>0</v>
      </c>
      <c r="P69" s="34">
        <f t="shared" si="75"/>
        <v>0</v>
      </c>
      <c r="Q69" s="45" t="e">
        <f t="shared" si="72"/>
        <v>#VALUE!</v>
      </c>
      <c r="R69" s="46">
        <f t="shared" si="5"/>
        <v>0</v>
      </c>
      <c r="S69" s="46">
        <f t="shared" si="6"/>
        <v>0</v>
      </c>
      <c r="T69" s="47" t="e">
        <f t="shared" si="76"/>
        <v>#VALUE!</v>
      </c>
      <c r="U69" s="48" t="e">
        <f t="shared" si="73"/>
        <v>#VALUE!</v>
      </c>
      <c r="V69" s="49">
        <f t="shared" si="77"/>
        <v>0</v>
      </c>
      <c r="W69" s="49">
        <f t="shared" si="78"/>
        <v>0</v>
      </c>
      <c r="X69" s="50" t="e">
        <f t="shared" si="79"/>
        <v>#VALUE!</v>
      </c>
    </row>
    <row r="70" spans="1:24" x14ac:dyDescent="0.35">
      <c r="A70" s="72"/>
      <c r="B70" s="41">
        <v>66</v>
      </c>
      <c r="C70" s="132"/>
      <c r="D70" s="132"/>
      <c r="E70" s="44"/>
      <c r="F70" s="69"/>
      <c r="G70" s="69"/>
      <c r="H70" s="131"/>
      <c r="I70" s="69"/>
      <c r="J70" s="69"/>
      <c r="K70" s="69"/>
      <c r="L70" s="122">
        <f t="shared" si="81"/>
        <v>0</v>
      </c>
      <c r="M70" s="33">
        <f t="shared" si="67"/>
        <v>0</v>
      </c>
      <c r="N70" s="43">
        <f t="shared" si="80"/>
        <v>9.2011000000000003</v>
      </c>
      <c r="O70" s="67">
        <f t="shared" si="74"/>
        <v>0</v>
      </c>
      <c r="P70" s="34">
        <f t="shared" si="75"/>
        <v>0</v>
      </c>
      <c r="Q70" s="45" t="e">
        <f t="shared" si="72"/>
        <v>#VALUE!</v>
      </c>
      <c r="R70" s="46">
        <f t="shared" si="5"/>
        <v>0</v>
      </c>
      <c r="S70" s="46">
        <f t="shared" si="6"/>
        <v>0</v>
      </c>
      <c r="T70" s="47" t="e">
        <f t="shared" si="76"/>
        <v>#VALUE!</v>
      </c>
      <c r="U70" s="48" t="e">
        <f t="shared" si="73"/>
        <v>#VALUE!</v>
      </c>
      <c r="V70" s="49">
        <f t="shared" si="77"/>
        <v>0</v>
      </c>
      <c r="W70" s="49">
        <f t="shared" si="78"/>
        <v>0</v>
      </c>
      <c r="X70" s="50" t="e">
        <f t="shared" si="79"/>
        <v>#VALUE!</v>
      </c>
    </row>
    <row r="71" spans="1:24" x14ac:dyDescent="0.35">
      <c r="A71" s="72"/>
      <c r="B71" s="41">
        <v>67</v>
      </c>
      <c r="C71" s="132"/>
      <c r="D71" s="132"/>
      <c r="E71" s="44"/>
      <c r="F71" s="69"/>
      <c r="G71" s="69"/>
      <c r="H71" s="131"/>
      <c r="I71" s="69"/>
      <c r="J71" s="69"/>
      <c r="K71" s="69"/>
      <c r="L71" s="122">
        <f t="shared" si="81"/>
        <v>0</v>
      </c>
      <c r="M71" s="33">
        <f t="shared" ref="M71:M102" si="82">SUMPRODUCT($E$4:$K$4,$E$6:$K$6)</f>
        <v>0</v>
      </c>
      <c r="N71" s="43">
        <f t="shared" si="80"/>
        <v>9.2011000000000003</v>
      </c>
      <c r="O71" s="67">
        <f t="shared" si="74"/>
        <v>0</v>
      </c>
      <c r="P71" s="34">
        <f t="shared" si="75"/>
        <v>0</v>
      </c>
      <c r="Q71" s="45" t="e">
        <f t="shared" si="72"/>
        <v>#VALUE!</v>
      </c>
      <c r="R71" s="46">
        <f t="shared" si="5"/>
        <v>0</v>
      </c>
      <c r="S71" s="46">
        <f t="shared" si="6"/>
        <v>0</v>
      </c>
      <c r="T71" s="47" t="e">
        <f t="shared" si="76"/>
        <v>#VALUE!</v>
      </c>
      <c r="U71" s="48" t="e">
        <f t="shared" si="73"/>
        <v>#VALUE!</v>
      </c>
      <c r="V71" s="49">
        <f t="shared" si="77"/>
        <v>0</v>
      </c>
      <c r="W71" s="49">
        <f t="shared" si="78"/>
        <v>0</v>
      </c>
      <c r="X71" s="50" t="e">
        <f t="shared" si="79"/>
        <v>#VALUE!</v>
      </c>
    </row>
    <row r="72" spans="1:24" x14ac:dyDescent="0.35">
      <c r="A72" s="72"/>
      <c r="B72" s="41">
        <v>68</v>
      </c>
      <c r="C72" s="132"/>
      <c r="D72" s="132"/>
      <c r="E72" s="44"/>
      <c r="F72" s="69"/>
      <c r="G72" s="69"/>
      <c r="H72" s="131"/>
      <c r="I72" s="69"/>
      <c r="J72" s="69"/>
      <c r="K72" s="69"/>
      <c r="L72" s="122">
        <f t="shared" si="81"/>
        <v>0</v>
      </c>
      <c r="M72" s="33">
        <f t="shared" si="82"/>
        <v>0</v>
      </c>
      <c r="N72" s="43">
        <f t="shared" si="80"/>
        <v>9.2011000000000003</v>
      </c>
      <c r="O72" s="67">
        <f t="shared" si="74"/>
        <v>0</v>
      </c>
      <c r="P72" s="34">
        <f t="shared" si="75"/>
        <v>0</v>
      </c>
      <c r="Q72" s="45" t="e">
        <f t="shared" si="72"/>
        <v>#VALUE!</v>
      </c>
      <c r="R72" s="46">
        <f t="shared" si="5"/>
        <v>0</v>
      </c>
      <c r="S72" s="46">
        <f t="shared" si="6"/>
        <v>0</v>
      </c>
      <c r="T72" s="47" t="e">
        <f t="shared" si="76"/>
        <v>#VALUE!</v>
      </c>
      <c r="U72" s="48" t="e">
        <f t="shared" si="73"/>
        <v>#VALUE!</v>
      </c>
      <c r="V72" s="49">
        <f t="shared" si="77"/>
        <v>0</v>
      </c>
      <c r="W72" s="49">
        <f t="shared" si="78"/>
        <v>0</v>
      </c>
      <c r="X72" s="50" t="e">
        <f t="shared" si="79"/>
        <v>#VALUE!</v>
      </c>
    </row>
    <row r="73" spans="1:24" x14ac:dyDescent="0.35">
      <c r="A73" s="72"/>
      <c r="B73" s="41">
        <v>69</v>
      </c>
      <c r="C73" s="132"/>
      <c r="D73" s="132"/>
      <c r="E73" s="44"/>
      <c r="F73" s="69"/>
      <c r="G73" s="69"/>
      <c r="H73" s="131"/>
      <c r="I73" s="69"/>
      <c r="J73" s="69"/>
      <c r="K73" s="69"/>
      <c r="L73" s="122">
        <f t="shared" si="81"/>
        <v>0</v>
      </c>
      <c r="M73" s="33">
        <f t="shared" si="82"/>
        <v>0</v>
      </c>
      <c r="N73" s="43">
        <f t="shared" si="80"/>
        <v>9.2011000000000003</v>
      </c>
      <c r="O73" s="67">
        <f t="shared" si="74"/>
        <v>0</v>
      </c>
      <c r="P73" s="34">
        <f t="shared" si="75"/>
        <v>0</v>
      </c>
      <c r="Q73" s="45" t="e">
        <f t="shared" si="72"/>
        <v>#VALUE!</v>
      </c>
      <c r="R73" s="46">
        <f t="shared" si="5"/>
        <v>0</v>
      </c>
      <c r="S73" s="46">
        <f t="shared" si="6"/>
        <v>0</v>
      </c>
      <c r="T73" s="47" t="e">
        <f t="shared" si="76"/>
        <v>#VALUE!</v>
      </c>
      <c r="U73" s="48" t="e">
        <f t="shared" si="73"/>
        <v>#VALUE!</v>
      </c>
      <c r="V73" s="49">
        <f t="shared" si="77"/>
        <v>0</v>
      </c>
      <c r="W73" s="49">
        <f t="shared" si="78"/>
        <v>0</v>
      </c>
      <c r="X73" s="50" t="e">
        <f t="shared" si="79"/>
        <v>#VALUE!</v>
      </c>
    </row>
    <row r="74" spans="1:24" x14ac:dyDescent="0.35">
      <c r="A74" s="72"/>
      <c r="B74" s="41">
        <v>70</v>
      </c>
      <c r="C74" s="132"/>
      <c r="D74" s="132"/>
      <c r="E74" s="44"/>
      <c r="F74" s="69"/>
      <c r="G74" s="69"/>
      <c r="H74" s="131"/>
      <c r="I74" s="69"/>
      <c r="J74" s="69"/>
      <c r="K74" s="69"/>
      <c r="L74" s="122">
        <f t="shared" si="81"/>
        <v>0</v>
      </c>
      <c r="M74" s="33">
        <f t="shared" si="82"/>
        <v>0</v>
      </c>
      <c r="N74" s="43">
        <f t="shared" si="80"/>
        <v>9.2011000000000003</v>
      </c>
      <c r="O74" s="67">
        <f t="shared" si="74"/>
        <v>0</v>
      </c>
      <c r="P74" s="34">
        <f t="shared" si="75"/>
        <v>0</v>
      </c>
      <c r="Q74" s="45" t="e">
        <f t="shared" si="72"/>
        <v>#VALUE!</v>
      </c>
      <c r="R74" s="46">
        <f t="shared" si="5"/>
        <v>0</v>
      </c>
      <c r="S74" s="46">
        <f t="shared" si="6"/>
        <v>0</v>
      </c>
      <c r="T74" s="47" t="e">
        <f t="shared" si="76"/>
        <v>#VALUE!</v>
      </c>
      <c r="U74" s="48" t="e">
        <f t="shared" si="73"/>
        <v>#VALUE!</v>
      </c>
      <c r="V74" s="49">
        <f t="shared" si="77"/>
        <v>0</v>
      </c>
      <c r="W74" s="49">
        <f t="shared" si="78"/>
        <v>0</v>
      </c>
      <c r="X74" s="50" t="e">
        <f t="shared" si="79"/>
        <v>#VALUE!</v>
      </c>
    </row>
    <row r="75" spans="1:24" x14ac:dyDescent="0.35">
      <c r="A75" s="72"/>
      <c r="B75" s="41">
        <v>71</v>
      </c>
      <c r="C75" s="132"/>
      <c r="D75" s="132"/>
      <c r="E75" s="44"/>
      <c r="F75" s="69"/>
      <c r="G75" s="69"/>
      <c r="H75" s="131"/>
      <c r="I75" s="69"/>
      <c r="J75" s="69"/>
      <c r="K75" s="69"/>
      <c r="L75" s="122">
        <f t="shared" si="81"/>
        <v>0</v>
      </c>
      <c r="M75" s="33">
        <f t="shared" si="82"/>
        <v>0</v>
      </c>
      <c r="N75" s="43">
        <f t="shared" si="80"/>
        <v>9.2011000000000003</v>
      </c>
      <c r="O75" s="67">
        <f t="shared" si="74"/>
        <v>0</v>
      </c>
      <c r="P75" s="34">
        <f t="shared" si="75"/>
        <v>0</v>
      </c>
      <c r="Q75" s="45" t="e">
        <f t="shared" si="72"/>
        <v>#VALUE!</v>
      </c>
      <c r="R75" s="46">
        <f t="shared" si="5"/>
        <v>0</v>
      </c>
      <c r="S75" s="46">
        <f t="shared" si="6"/>
        <v>0</v>
      </c>
      <c r="T75" s="47" t="e">
        <f t="shared" si="76"/>
        <v>#VALUE!</v>
      </c>
      <c r="U75" s="48" t="e">
        <f t="shared" si="73"/>
        <v>#VALUE!</v>
      </c>
      <c r="V75" s="49">
        <f t="shared" si="77"/>
        <v>0</v>
      </c>
      <c r="W75" s="49">
        <f t="shared" si="78"/>
        <v>0</v>
      </c>
      <c r="X75" s="50" t="e">
        <f t="shared" si="79"/>
        <v>#VALUE!</v>
      </c>
    </row>
    <row r="76" spans="1:24" x14ac:dyDescent="0.35">
      <c r="A76" s="72"/>
      <c r="B76" s="41">
        <v>72</v>
      </c>
      <c r="C76" s="132"/>
      <c r="D76" s="132"/>
      <c r="E76" s="44"/>
      <c r="F76" s="69"/>
      <c r="G76" s="69"/>
      <c r="H76" s="131"/>
      <c r="I76" s="69"/>
      <c r="J76" s="69"/>
      <c r="K76" s="69"/>
      <c r="L76" s="122">
        <f t="shared" si="81"/>
        <v>0</v>
      </c>
      <c r="M76" s="33">
        <f t="shared" si="82"/>
        <v>0</v>
      </c>
      <c r="N76" s="43">
        <f t="shared" si="80"/>
        <v>9.2011000000000003</v>
      </c>
      <c r="O76" s="67">
        <f t="shared" si="74"/>
        <v>0</v>
      </c>
      <c r="P76" s="34">
        <f t="shared" si="75"/>
        <v>0</v>
      </c>
      <c r="Q76" s="45" t="e">
        <f t="shared" si="72"/>
        <v>#VALUE!</v>
      </c>
      <c r="R76" s="46">
        <f t="shared" si="5"/>
        <v>0</v>
      </c>
      <c r="S76" s="46">
        <f t="shared" si="6"/>
        <v>0</v>
      </c>
      <c r="T76" s="47" t="e">
        <f t="shared" si="76"/>
        <v>#VALUE!</v>
      </c>
      <c r="U76" s="48" t="e">
        <f t="shared" si="73"/>
        <v>#VALUE!</v>
      </c>
      <c r="V76" s="49">
        <f t="shared" si="77"/>
        <v>0</v>
      </c>
      <c r="W76" s="49">
        <f t="shared" si="78"/>
        <v>0</v>
      </c>
      <c r="X76" s="50" t="e">
        <f t="shared" si="79"/>
        <v>#VALUE!</v>
      </c>
    </row>
    <row r="77" spans="1:24" x14ac:dyDescent="0.35">
      <c r="A77" s="72"/>
      <c r="B77" s="41">
        <v>73</v>
      </c>
      <c r="C77" s="132"/>
      <c r="D77" s="132"/>
      <c r="E77" s="44"/>
      <c r="F77" s="69"/>
      <c r="G77" s="69"/>
      <c r="H77" s="131"/>
      <c r="I77" s="69"/>
      <c r="J77" s="69"/>
      <c r="K77" s="69"/>
      <c r="L77" s="122">
        <f t="shared" si="81"/>
        <v>0</v>
      </c>
      <c r="M77" s="33">
        <f t="shared" si="82"/>
        <v>0</v>
      </c>
      <c r="N77" s="43">
        <f t="shared" si="80"/>
        <v>9.2011000000000003</v>
      </c>
      <c r="O77" s="67">
        <f t="shared" si="74"/>
        <v>0</v>
      </c>
      <c r="P77" s="34">
        <f t="shared" si="75"/>
        <v>0</v>
      </c>
      <c r="Q77" s="45" t="e">
        <f t="shared" si="72"/>
        <v>#VALUE!</v>
      </c>
      <c r="R77" s="46">
        <f t="shared" si="5"/>
        <v>0</v>
      </c>
      <c r="S77" s="46">
        <f t="shared" si="6"/>
        <v>0</v>
      </c>
      <c r="T77" s="47" t="e">
        <f t="shared" si="76"/>
        <v>#VALUE!</v>
      </c>
      <c r="U77" s="48" t="e">
        <f t="shared" si="73"/>
        <v>#VALUE!</v>
      </c>
      <c r="V77" s="49">
        <f t="shared" si="77"/>
        <v>0</v>
      </c>
      <c r="W77" s="49">
        <f t="shared" si="78"/>
        <v>0</v>
      </c>
      <c r="X77" s="50" t="e">
        <f t="shared" si="79"/>
        <v>#VALUE!</v>
      </c>
    </row>
    <row r="78" spans="1:24" x14ac:dyDescent="0.35">
      <c r="A78" s="72"/>
      <c r="B78" s="41">
        <v>74</v>
      </c>
      <c r="C78" s="132"/>
      <c r="D78" s="132"/>
      <c r="E78" s="44"/>
      <c r="F78" s="44"/>
      <c r="G78" s="44"/>
      <c r="H78" s="122"/>
      <c r="I78" s="44"/>
      <c r="J78" s="44"/>
      <c r="K78" s="44"/>
      <c r="L78" s="122">
        <f t="shared" si="81"/>
        <v>0</v>
      </c>
      <c r="M78" s="33">
        <f t="shared" si="82"/>
        <v>0</v>
      </c>
      <c r="N78" s="43">
        <f t="shared" si="80"/>
        <v>9.2011000000000003</v>
      </c>
      <c r="O78" s="67">
        <f t="shared" si="74"/>
        <v>0</v>
      </c>
      <c r="P78" s="34">
        <f t="shared" si="75"/>
        <v>0</v>
      </c>
      <c r="Q78" s="45" t="e">
        <f t="shared" si="72"/>
        <v>#VALUE!</v>
      </c>
      <c r="R78" s="46">
        <f t="shared" si="5"/>
        <v>0</v>
      </c>
      <c r="S78" s="46">
        <f t="shared" si="6"/>
        <v>0</v>
      </c>
      <c r="T78" s="47" t="e">
        <f t="shared" si="76"/>
        <v>#VALUE!</v>
      </c>
      <c r="U78" s="48" t="e">
        <f t="shared" si="73"/>
        <v>#VALUE!</v>
      </c>
      <c r="V78" s="49">
        <f t="shared" si="77"/>
        <v>0</v>
      </c>
      <c r="W78" s="49">
        <f t="shared" si="78"/>
        <v>0</v>
      </c>
      <c r="X78" s="50" t="e">
        <f t="shared" si="79"/>
        <v>#VALUE!</v>
      </c>
    </row>
    <row r="79" spans="1:24" x14ac:dyDescent="0.35">
      <c r="A79" s="72"/>
      <c r="B79" s="41">
        <v>75</v>
      </c>
      <c r="C79" s="132"/>
      <c r="D79" s="132"/>
      <c r="E79" s="44"/>
      <c r="F79" s="44"/>
      <c r="G79" s="44"/>
      <c r="H79" s="122"/>
      <c r="I79" s="44"/>
      <c r="J79" s="44"/>
      <c r="K79" s="44"/>
      <c r="L79" s="122">
        <f t="shared" si="81"/>
        <v>0</v>
      </c>
      <c r="M79" s="33">
        <f t="shared" si="82"/>
        <v>0</v>
      </c>
      <c r="N79" s="43">
        <f t="shared" si="80"/>
        <v>9.2011000000000003</v>
      </c>
      <c r="O79" s="67">
        <f t="shared" si="74"/>
        <v>0</v>
      </c>
      <c r="P79" s="34">
        <f t="shared" si="75"/>
        <v>0</v>
      </c>
      <c r="Q79" s="45" t="e">
        <f t="shared" si="72"/>
        <v>#VALUE!</v>
      </c>
      <c r="R79" s="46">
        <f t="shared" si="5"/>
        <v>0</v>
      </c>
      <c r="S79" s="46">
        <f t="shared" si="6"/>
        <v>0</v>
      </c>
      <c r="T79" s="47" t="e">
        <f t="shared" si="76"/>
        <v>#VALUE!</v>
      </c>
      <c r="U79" s="48" t="e">
        <f t="shared" si="73"/>
        <v>#VALUE!</v>
      </c>
      <c r="V79" s="49">
        <f t="shared" si="77"/>
        <v>0</v>
      </c>
      <c r="W79" s="49">
        <f t="shared" si="78"/>
        <v>0</v>
      </c>
      <c r="X79" s="50" t="e">
        <f t="shared" si="79"/>
        <v>#VALUE!</v>
      </c>
    </row>
    <row r="80" spans="1:24" x14ac:dyDescent="0.35">
      <c r="A80" s="72"/>
      <c r="B80" s="41">
        <v>76</v>
      </c>
      <c r="C80" s="132"/>
      <c r="D80" s="132"/>
      <c r="E80" s="44"/>
      <c r="F80" s="44"/>
      <c r="G80" s="44"/>
      <c r="H80" s="122"/>
      <c r="I80" s="44"/>
      <c r="J80" s="44"/>
      <c r="K80" s="44"/>
      <c r="L80" s="122">
        <f t="shared" si="81"/>
        <v>0</v>
      </c>
      <c r="M80" s="33">
        <f t="shared" si="82"/>
        <v>0</v>
      </c>
      <c r="N80" s="43">
        <f t="shared" si="80"/>
        <v>9.2011000000000003</v>
      </c>
      <c r="O80" s="67">
        <f t="shared" ref="O80:O84" si="83">SUM(F80:H80)/20</f>
        <v>0</v>
      </c>
      <c r="P80" s="34">
        <f t="shared" ref="P80:P84" si="84">SUM(I80:K80)/20</f>
        <v>0</v>
      </c>
      <c r="Q80" s="45" t="e">
        <f t="shared" si="72"/>
        <v>#VALUE!</v>
      </c>
      <c r="R80" s="46">
        <f t="shared" si="5"/>
        <v>0</v>
      </c>
      <c r="S80" s="46">
        <f t="shared" si="6"/>
        <v>0</v>
      </c>
      <c r="T80" s="47" t="e">
        <f t="shared" ref="T80:T84" si="85">SUM(Q80:S80)</f>
        <v>#VALUE!</v>
      </c>
      <c r="U80" s="48" t="e">
        <f t="shared" si="73"/>
        <v>#VALUE!</v>
      </c>
      <c r="V80" s="49">
        <f t="shared" ref="V80:V84" si="86">SUM(F80:H80)*$V$3</f>
        <v>0</v>
      </c>
      <c r="W80" s="49">
        <f t="shared" ref="W80:W84" si="87">SUM(I80:K80)*$W$3</f>
        <v>0</v>
      </c>
      <c r="X80" s="50" t="e">
        <f t="shared" ref="X80:X84" si="88">SUM(U80:W80)</f>
        <v>#VALUE!</v>
      </c>
    </row>
    <row r="81" spans="1:24" x14ac:dyDescent="0.35">
      <c r="A81" s="72"/>
      <c r="B81" s="41">
        <v>77</v>
      </c>
      <c r="C81" s="132"/>
      <c r="D81" s="132"/>
      <c r="E81" s="44"/>
      <c r="F81" s="44"/>
      <c r="G81" s="44"/>
      <c r="H81" s="122"/>
      <c r="I81" s="44"/>
      <c r="J81" s="44"/>
      <c r="K81" s="44"/>
      <c r="L81" s="122">
        <f t="shared" si="81"/>
        <v>0</v>
      </c>
      <c r="M81" s="33">
        <f t="shared" si="82"/>
        <v>0</v>
      </c>
      <c r="N81" s="43">
        <f t="shared" si="80"/>
        <v>9.2011000000000003</v>
      </c>
      <c r="O81" s="67">
        <f t="shared" si="83"/>
        <v>0</v>
      </c>
      <c r="P81" s="34">
        <f t="shared" si="84"/>
        <v>0</v>
      </c>
      <c r="Q81" s="45" t="e">
        <f t="shared" si="72"/>
        <v>#VALUE!</v>
      </c>
      <c r="R81" s="46">
        <f t="shared" si="5"/>
        <v>0</v>
      </c>
      <c r="S81" s="46">
        <f t="shared" si="6"/>
        <v>0</v>
      </c>
      <c r="T81" s="47" t="e">
        <f t="shared" si="85"/>
        <v>#VALUE!</v>
      </c>
      <c r="U81" s="48" t="e">
        <f t="shared" si="73"/>
        <v>#VALUE!</v>
      </c>
      <c r="V81" s="49">
        <f t="shared" si="86"/>
        <v>0</v>
      </c>
      <c r="W81" s="49">
        <f t="shared" si="87"/>
        <v>0</v>
      </c>
      <c r="X81" s="50" t="e">
        <f t="shared" si="88"/>
        <v>#VALUE!</v>
      </c>
    </row>
    <row r="82" spans="1:24" x14ac:dyDescent="0.35">
      <c r="A82" s="72"/>
      <c r="B82" s="41">
        <v>78</v>
      </c>
      <c r="C82" s="132"/>
      <c r="D82" s="132"/>
      <c r="E82" s="44"/>
      <c r="F82" s="44"/>
      <c r="G82" s="44"/>
      <c r="H82" s="122"/>
      <c r="I82" s="44"/>
      <c r="J82" s="44"/>
      <c r="K82" s="44"/>
      <c r="L82" s="122">
        <f t="shared" si="81"/>
        <v>0</v>
      </c>
      <c r="M82" s="33">
        <f t="shared" si="82"/>
        <v>0</v>
      </c>
      <c r="N82" s="43">
        <f t="shared" si="80"/>
        <v>9.2011000000000003</v>
      </c>
      <c r="O82" s="67">
        <f t="shared" si="83"/>
        <v>0</v>
      </c>
      <c r="P82" s="34">
        <f t="shared" si="84"/>
        <v>0</v>
      </c>
      <c r="Q82" s="45" t="e">
        <f t="shared" si="72"/>
        <v>#VALUE!</v>
      </c>
      <c r="R82" s="46">
        <f t="shared" si="5"/>
        <v>0</v>
      </c>
      <c r="S82" s="46">
        <f t="shared" si="6"/>
        <v>0</v>
      </c>
      <c r="T82" s="47" t="e">
        <f t="shared" si="85"/>
        <v>#VALUE!</v>
      </c>
      <c r="U82" s="48" t="e">
        <f t="shared" si="73"/>
        <v>#VALUE!</v>
      </c>
      <c r="V82" s="49">
        <f t="shared" si="86"/>
        <v>0</v>
      </c>
      <c r="W82" s="49">
        <f t="shared" si="87"/>
        <v>0</v>
      </c>
      <c r="X82" s="50" t="e">
        <f t="shared" si="88"/>
        <v>#VALUE!</v>
      </c>
    </row>
    <row r="83" spans="1:24" x14ac:dyDescent="0.35">
      <c r="A83" s="72"/>
      <c r="B83" s="41">
        <v>79</v>
      </c>
      <c r="C83" s="132"/>
      <c r="D83" s="132"/>
      <c r="E83" s="44"/>
      <c r="F83" s="44"/>
      <c r="G83" s="44"/>
      <c r="H83" s="122"/>
      <c r="I83" s="44"/>
      <c r="J83" s="44"/>
      <c r="K83" s="44"/>
      <c r="L83" s="122">
        <f t="shared" si="81"/>
        <v>0</v>
      </c>
      <c r="M83" s="33">
        <f t="shared" si="82"/>
        <v>0</v>
      </c>
      <c r="N83" s="43">
        <f t="shared" si="80"/>
        <v>9.2011000000000003</v>
      </c>
      <c r="O83" s="67">
        <f t="shared" si="83"/>
        <v>0</v>
      </c>
      <c r="P83" s="34">
        <f t="shared" si="84"/>
        <v>0</v>
      </c>
      <c r="Q83" s="45" t="e">
        <f t="shared" si="72"/>
        <v>#VALUE!</v>
      </c>
      <c r="R83" s="46">
        <f t="shared" si="5"/>
        <v>0</v>
      </c>
      <c r="S83" s="46">
        <f t="shared" si="6"/>
        <v>0</v>
      </c>
      <c r="T83" s="47" t="e">
        <f t="shared" si="85"/>
        <v>#VALUE!</v>
      </c>
      <c r="U83" s="48" t="e">
        <f t="shared" si="73"/>
        <v>#VALUE!</v>
      </c>
      <c r="V83" s="49">
        <f t="shared" si="86"/>
        <v>0</v>
      </c>
      <c r="W83" s="49">
        <f t="shared" si="87"/>
        <v>0</v>
      </c>
      <c r="X83" s="50" t="e">
        <f t="shared" si="88"/>
        <v>#VALUE!</v>
      </c>
    </row>
    <row r="84" spans="1:24" x14ac:dyDescent="0.35">
      <c r="A84" s="72"/>
      <c r="B84" s="41">
        <v>80</v>
      </c>
      <c r="C84" s="132"/>
      <c r="D84" s="132"/>
      <c r="E84" s="44"/>
      <c r="F84" s="44"/>
      <c r="G84" s="44"/>
      <c r="H84" s="122"/>
      <c r="I84" s="44"/>
      <c r="J84" s="44"/>
      <c r="K84" s="44"/>
      <c r="L84" s="122">
        <f t="shared" si="81"/>
        <v>0</v>
      </c>
      <c r="M84" s="33">
        <f t="shared" si="82"/>
        <v>0</v>
      </c>
      <c r="N84" s="43">
        <f t="shared" si="80"/>
        <v>9.2011000000000003</v>
      </c>
      <c r="O84" s="67">
        <f t="shared" si="83"/>
        <v>0</v>
      </c>
      <c r="P84" s="34">
        <f t="shared" si="84"/>
        <v>0</v>
      </c>
      <c r="Q84" s="45" t="e">
        <f t="shared" si="72"/>
        <v>#VALUE!</v>
      </c>
      <c r="R84" s="46">
        <f t="shared" si="5"/>
        <v>0</v>
      </c>
      <c r="S84" s="46">
        <f t="shared" si="6"/>
        <v>0</v>
      </c>
      <c r="T84" s="47" t="e">
        <f t="shared" si="85"/>
        <v>#VALUE!</v>
      </c>
      <c r="U84" s="48" t="e">
        <f t="shared" si="73"/>
        <v>#VALUE!</v>
      </c>
      <c r="V84" s="49">
        <f t="shared" si="86"/>
        <v>0</v>
      </c>
      <c r="W84" s="49">
        <f t="shared" si="87"/>
        <v>0</v>
      </c>
      <c r="X84" s="50" t="e">
        <f t="shared" si="88"/>
        <v>#VALUE!</v>
      </c>
    </row>
    <row r="85" spans="1:24" x14ac:dyDescent="0.35">
      <c r="A85" s="72"/>
      <c r="B85" s="41">
        <v>81</v>
      </c>
      <c r="C85" s="132"/>
      <c r="D85" s="132"/>
      <c r="E85" s="44"/>
      <c r="F85" s="44"/>
      <c r="G85" s="44"/>
      <c r="H85" s="122"/>
      <c r="I85" s="44"/>
      <c r="J85" s="44"/>
      <c r="K85" s="44"/>
      <c r="L85" s="122">
        <f t="shared" si="81"/>
        <v>0</v>
      </c>
      <c r="M85" s="33">
        <f t="shared" si="82"/>
        <v>0</v>
      </c>
      <c r="N85" s="43">
        <f t="shared" si="80"/>
        <v>9.2011000000000003</v>
      </c>
      <c r="O85" s="67">
        <f t="shared" ref="O85:O132" si="89">SUM(F85:H85)/20</f>
        <v>0</v>
      </c>
      <c r="P85" s="34">
        <f t="shared" ref="P85:P132" si="90">SUM(I85:K85)/20</f>
        <v>0</v>
      </c>
      <c r="Q85" s="45" t="e">
        <f t="shared" si="72"/>
        <v>#VALUE!</v>
      </c>
      <c r="R85" s="46">
        <f t="shared" si="5"/>
        <v>0</v>
      </c>
      <c r="S85" s="46">
        <f t="shared" si="6"/>
        <v>0</v>
      </c>
      <c r="T85" s="47" t="e">
        <f t="shared" ref="T85:T132" si="91">SUM(Q85:S85)</f>
        <v>#VALUE!</v>
      </c>
      <c r="U85" s="48" t="e">
        <f t="shared" si="73"/>
        <v>#VALUE!</v>
      </c>
      <c r="V85" s="49">
        <f t="shared" ref="V85:V132" si="92">SUM(F85:H85)*$V$3</f>
        <v>0</v>
      </c>
      <c r="W85" s="49">
        <f t="shared" ref="W85:W132" si="93">SUM(I85:K85)*$W$3</f>
        <v>0</v>
      </c>
      <c r="X85" s="50" t="e">
        <f t="shared" ref="X85:X132" si="94">SUM(U85:W85)</f>
        <v>#VALUE!</v>
      </c>
    </row>
    <row r="86" spans="1:24" x14ac:dyDescent="0.35">
      <c r="A86" s="72"/>
      <c r="B86" s="41">
        <v>82</v>
      </c>
      <c r="C86" s="132"/>
      <c r="D86" s="132"/>
      <c r="E86" s="44"/>
      <c r="F86" s="44"/>
      <c r="G86" s="44"/>
      <c r="H86" s="122"/>
      <c r="I86" s="44"/>
      <c r="J86" s="44"/>
      <c r="K86" s="44"/>
      <c r="L86" s="122">
        <f t="shared" si="81"/>
        <v>0</v>
      </c>
      <c r="M86" s="33">
        <f t="shared" si="82"/>
        <v>0</v>
      </c>
      <c r="N86" s="43">
        <f t="shared" si="80"/>
        <v>9.2011000000000003</v>
      </c>
      <c r="O86" s="67">
        <f t="shared" si="89"/>
        <v>0</v>
      </c>
      <c r="P86" s="34">
        <f t="shared" si="90"/>
        <v>0</v>
      </c>
      <c r="Q86" s="45" t="e">
        <f t="shared" si="72"/>
        <v>#VALUE!</v>
      </c>
      <c r="R86" s="46">
        <f t="shared" si="5"/>
        <v>0</v>
      </c>
      <c r="S86" s="46">
        <f t="shared" si="6"/>
        <v>0</v>
      </c>
      <c r="T86" s="47" t="e">
        <f t="shared" si="91"/>
        <v>#VALUE!</v>
      </c>
      <c r="U86" s="48" t="e">
        <f t="shared" si="73"/>
        <v>#VALUE!</v>
      </c>
      <c r="V86" s="49">
        <f t="shared" si="92"/>
        <v>0</v>
      </c>
      <c r="W86" s="49">
        <f t="shared" si="93"/>
        <v>0</v>
      </c>
      <c r="X86" s="50" t="e">
        <f t="shared" si="94"/>
        <v>#VALUE!</v>
      </c>
    </row>
    <row r="87" spans="1:24" x14ac:dyDescent="0.35">
      <c r="A87" s="72"/>
      <c r="B87" s="41">
        <v>83</v>
      </c>
      <c r="C87" s="132"/>
      <c r="D87" s="132"/>
      <c r="E87" s="44"/>
      <c r="F87" s="44"/>
      <c r="G87" s="44"/>
      <c r="H87" s="122"/>
      <c r="I87" s="44"/>
      <c r="J87" s="44"/>
      <c r="K87" s="44"/>
      <c r="L87" s="122">
        <f t="shared" si="81"/>
        <v>0</v>
      </c>
      <c r="M87" s="33">
        <f t="shared" si="82"/>
        <v>0</v>
      </c>
      <c r="N87" s="43">
        <f t="shared" si="80"/>
        <v>9.2011000000000003</v>
      </c>
      <c r="O87" s="67">
        <f t="shared" si="89"/>
        <v>0</v>
      </c>
      <c r="P87" s="34">
        <f t="shared" si="90"/>
        <v>0</v>
      </c>
      <c r="Q87" s="45" t="e">
        <f t="shared" si="72"/>
        <v>#VALUE!</v>
      </c>
      <c r="R87" s="46">
        <f t="shared" si="5"/>
        <v>0</v>
      </c>
      <c r="S87" s="46">
        <f t="shared" si="6"/>
        <v>0</v>
      </c>
      <c r="T87" s="47" t="e">
        <f t="shared" si="91"/>
        <v>#VALUE!</v>
      </c>
      <c r="U87" s="48" t="e">
        <f t="shared" si="73"/>
        <v>#VALUE!</v>
      </c>
      <c r="V87" s="49">
        <f t="shared" si="92"/>
        <v>0</v>
      </c>
      <c r="W87" s="49">
        <f t="shared" si="93"/>
        <v>0</v>
      </c>
      <c r="X87" s="50" t="e">
        <f t="shared" si="94"/>
        <v>#VALUE!</v>
      </c>
    </row>
    <row r="88" spans="1:24" x14ac:dyDescent="0.35">
      <c r="A88" s="72"/>
      <c r="B88" s="41">
        <v>84</v>
      </c>
      <c r="C88" s="132"/>
      <c r="D88" s="132"/>
      <c r="E88" s="44"/>
      <c r="F88" s="44"/>
      <c r="G88" s="44"/>
      <c r="H88" s="122"/>
      <c r="I88" s="44"/>
      <c r="J88" s="44"/>
      <c r="K88" s="44"/>
      <c r="L88" s="122">
        <f t="shared" si="81"/>
        <v>0</v>
      </c>
      <c r="M88" s="33">
        <f t="shared" si="82"/>
        <v>0</v>
      </c>
      <c r="N88" s="43">
        <f t="shared" si="80"/>
        <v>9.2011000000000003</v>
      </c>
      <c r="O88" s="67">
        <f t="shared" si="89"/>
        <v>0</v>
      </c>
      <c r="P88" s="34">
        <f t="shared" si="90"/>
        <v>0</v>
      </c>
      <c r="Q88" s="45" t="e">
        <f t="shared" si="72"/>
        <v>#VALUE!</v>
      </c>
      <c r="R88" s="46">
        <f t="shared" si="5"/>
        <v>0</v>
      </c>
      <c r="S88" s="46">
        <f t="shared" si="6"/>
        <v>0</v>
      </c>
      <c r="T88" s="47" t="e">
        <f t="shared" si="91"/>
        <v>#VALUE!</v>
      </c>
      <c r="U88" s="48" t="e">
        <f t="shared" si="73"/>
        <v>#VALUE!</v>
      </c>
      <c r="V88" s="49">
        <f t="shared" si="92"/>
        <v>0</v>
      </c>
      <c r="W88" s="49">
        <f t="shared" si="93"/>
        <v>0</v>
      </c>
      <c r="X88" s="50" t="e">
        <f t="shared" si="94"/>
        <v>#VALUE!</v>
      </c>
    </row>
    <row r="89" spans="1:24" x14ac:dyDescent="0.35">
      <c r="A89" s="72"/>
      <c r="B89" s="41">
        <v>85</v>
      </c>
      <c r="C89" s="132"/>
      <c r="D89" s="132"/>
      <c r="E89" s="44"/>
      <c r="F89" s="44"/>
      <c r="G89" s="44"/>
      <c r="H89" s="122"/>
      <c r="I89" s="44"/>
      <c r="J89" s="44"/>
      <c r="K89" s="44"/>
      <c r="L89" s="122">
        <f t="shared" si="81"/>
        <v>0</v>
      </c>
      <c r="M89" s="33">
        <f t="shared" si="82"/>
        <v>0</v>
      </c>
      <c r="N89" s="43">
        <f t="shared" si="80"/>
        <v>9.2011000000000003</v>
      </c>
      <c r="O89" s="67">
        <f t="shared" si="89"/>
        <v>0</v>
      </c>
      <c r="P89" s="34">
        <f t="shared" si="90"/>
        <v>0</v>
      </c>
      <c r="Q89" s="45" t="e">
        <f t="shared" si="72"/>
        <v>#VALUE!</v>
      </c>
      <c r="R89" s="46">
        <f t="shared" si="5"/>
        <v>0</v>
      </c>
      <c r="S89" s="46">
        <f t="shared" si="6"/>
        <v>0</v>
      </c>
      <c r="T89" s="47" t="e">
        <f t="shared" si="91"/>
        <v>#VALUE!</v>
      </c>
      <c r="U89" s="48" t="e">
        <f t="shared" si="73"/>
        <v>#VALUE!</v>
      </c>
      <c r="V89" s="49">
        <f t="shared" si="92"/>
        <v>0</v>
      </c>
      <c r="W89" s="49">
        <f t="shared" si="93"/>
        <v>0</v>
      </c>
      <c r="X89" s="50" t="e">
        <f t="shared" si="94"/>
        <v>#VALUE!</v>
      </c>
    </row>
    <row r="90" spans="1:24" x14ac:dyDescent="0.35">
      <c r="A90" s="72"/>
      <c r="B90" s="41">
        <v>86</v>
      </c>
      <c r="C90" s="121"/>
      <c r="D90" s="121"/>
      <c r="E90" s="44"/>
      <c r="F90" s="44"/>
      <c r="G90" s="44"/>
      <c r="H90" s="122"/>
      <c r="I90" s="44"/>
      <c r="J90" s="44"/>
      <c r="K90" s="44"/>
      <c r="L90" s="122">
        <f t="shared" si="81"/>
        <v>0</v>
      </c>
      <c r="M90" s="33">
        <f t="shared" si="82"/>
        <v>0</v>
      </c>
      <c r="N90" s="43">
        <f t="shared" si="80"/>
        <v>9.2011000000000003</v>
      </c>
      <c r="O90" s="67">
        <f t="shared" si="89"/>
        <v>0</v>
      </c>
      <c r="P90" s="34">
        <f t="shared" si="90"/>
        <v>0</v>
      </c>
      <c r="Q90" s="45" t="e">
        <f t="shared" si="72"/>
        <v>#VALUE!</v>
      </c>
      <c r="R90" s="46">
        <f t="shared" si="5"/>
        <v>0</v>
      </c>
      <c r="S90" s="46">
        <f t="shared" si="6"/>
        <v>0</v>
      </c>
      <c r="T90" s="47" t="e">
        <f t="shared" si="91"/>
        <v>#VALUE!</v>
      </c>
      <c r="U90" s="48" t="e">
        <f t="shared" si="73"/>
        <v>#VALUE!</v>
      </c>
      <c r="V90" s="49">
        <f t="shared" si="92"/>
        <v>0</v>
      </c>
      <c r="W90" s="49">
        <f t="shared" si="93"/>
        <v>0</v>
      </c>
      <c r="X90" s="50" t="e">
        <f t="shared" si="94"/>
        <v>#VALUE!</v>
      </c>
    </row>
    <row r="91" spans="1:24" x14ac:dyDescent="0.35">
      <c r="A91" s="72"/>
      <c r="B91" s="41">
        <v>87</v>
      </c>
      <c r="C91" s="121"/>
      <c r="D91" s="121"/>
      <c r="E91" s="44"/>
      <c r="F91" s="44"/>
      <c r="G91" s="44"/>
      <c r="H91" s="122"/>
      <c r="I91" s="44"/>
      <c r="J91" s="44"/>
      <c r="K91" s="44"/>
      <c r="L91" s="122">
        <f t="shared" si="81"/>
        <v>0</v>
      </c>
      <c r="M91" s="33">
        <f t="shared" si="82"/>
        <v>0</v>
      </c>
      <c r="N91" s="43">
        <f t="shared" si="80"/>
        <v>9.2011000000000003</v>
      </c>
      <c r="O91" s="67">
        <f t="shared" si="89"/>
        <v>0</v>
      </c>
      <c r="P91" s="34">
        <f t="shared" si="90"/>
        <v>0</v>
      </c>
      <c r="Q91" s="45" t="e">
        <f t="shared" si="72"/>
        <v>#VALUE!</v>
      </c>
      <c r="R91" s="46">
        <f t="shared" si="5"/>
        <v>0</v>
      </c>
      <c r="S91" s="46">
        <f t="shared" si="6"/>
        <v>0</v>
      </c>
      <c r="T91" s="47" t="e">
        <f t="shared" si="91"/>
        <v>#VALUE!</v>
      </c>
      <c r="U91" s="48" t="e">
        <f t="shared" si="73"/>
        <v>#VALUE!</v>
      </c>
      <c r="V91" s="49">
        <f t="shared" si="92"/>
        <v>0</v>
      </c>
      <c r="W91" s="49">
        <f t="shared" si="93"/>
        <v>0</v>
      </c>
      <c r="X91" s="50" t="e">
        <f t="shared" si="94"/>
        <v>#VALUE!</v>
      </c>
    </row>
    <row r="92" spans="1:24" x14ac:dyDescent="0.35">
      <c r="A92" s="72"/>
      <c r="B92" s="41">
        <v>88</v>
      </c>
      <c r="C92" s="121"/>
      <c r="D92" s="121"/>
      <c r="E92" s="44"/>
      <c r="F92" s="44"/>
      <c r="G92" s="44"/>
      <c r="H92" s="122"/>
      <c r="I92" s="44"/>
      <c r="J92" s="44"/>
      <c r="K92" s="44"/>
      <c r="L92" s="122">
        <f t="shared" si="81"/>
        <v>0</v>
      </c>
      <c r="M92" s="33">
        <f t="shared" si="82"/>
        <v>0</v>
      </c>
      <c r="N92" s="43">
        <f t="shared" si="80"/>
        <v>9.2011000000000003</v>
      </c>
      <c r="O92" s="67">
        <f t="shared" si="89"/>
        <v>0</v>
      </c>
      <c r="P92" s="34">
        <f t="shared" si="90"/>
        <v>0</v>
      </c>
      <c r="Q92" s="45" t="e">
        <f t="shared" si="72"/>
        <v>#VALUE!</v>
      </c>
      <c r="R92" s="46">
        <f t="shared" si="5"/>
        <v>0</v>
      </c>
      <c r="S92" s="46">
        <f t="shared" si="6"/>
        <v>0</v>
      </c>
      <c r="T92" s="47" t="e">
        <f t="shared" si="91"/>
        <v>#VALUE!</v>
      </c>
      <c r="U92" s="48" t="e">
        <f t="shared" si="73"/>
        <v>#VALUE!</v>
      </c>
      <c r="V92" s="49">
        <f t="shared" si="92"/>
        <v>0</v>
      </c>
      <c r="W92" s="49">
        <f t="shared" si="93"/>
        <v>0</v>
      </c>
      <c r="X92" s="50" t="e">
        <f t="shared" si="94"/>
        <v>#VALUE!</v>
      </c>
    </row>
    <row r="93" spans="1:24" x14ac:dyDescent="0.35">
      <c r="A93" s="72"/>
      <c r="B93" s="41">
        <v>89</v>
      </c>
      <c r="C93" s="121"/>
      <c r="D93" s="121"/>
      <c r="E93" s="44"/>
      <c r="F93" s="44"/>
      <c r="G93" s="44"/>
      <c r="H93" s="122"/>
      <c r="I93" s="44"/>
      <c r="J93" s="44"/>
      <c r="K93" s="44"/>
      <c r="L93" s="122">
        <f t="shared" si="81"/>
        <v>0</v>
      </c>
      <c r="M93" s="33">
        <f t="shared" si="82"/>
        <v>0</v>
      </c>
      <c r="N93" s="43">
        <f t="shared" si="80"/>
        <v>9.2011000000000003</v>
      </c>
      <c r="O93" s="67">
        <f t="shared" si="89"/>
        <v>0</v>
      </c>
      <c r="P93" s="34">
        <f t="shared" si="90"/>
        <v>0</v>
      </c>
      <c r="Q93" s="45" t="e">
        <f t="shared" ref="Q93:Q124" si="95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1"/>
        <v>#VALUE!</v>
      </c>
      <c r="U93" s="48" t="e">
        <f t="shared" ref="U93:U124" si="96">SUM(E93:E93)*$U$3</f>
        <v>#VALUE!</v>
      </c>
      <c r="V93" s="49">
        <f t="shared" si="92"/>
        <v>0</v>
      </c>
      <c r="W93" s="49">
        <f t="shared" si="93"/>
        <v>0</v>
      </c>
      <c r="X93" s="50" t="e">
        <f t="shared" si="94"/>
        <v>#VALUE!</v>
      </c>
    </row>
    <row r="94" spans="1:24" x14ac:dyDescent="0.35">
      <c r="A94" s="72"/>
      <c r="B94" s="41">
        <v>90</v>
      </c>
      <c r="C94" s="121"/>
      <c r="D94" s="121"/>
      <c r="E94" s="44"/>
      <c r="F94" s="44"/>
      <c r="G94" s="44"/>
      <c r="H94" s="122"/>
      <c r="I94" s="44"/>
      <c r="J94" s="44"/>
      <c r="K94" s="44"/>
      <c r="L94" s="122">
        <f t="shared" si="81"/>
        <v>0</v>
      </c>
      <c r="M94" s="33">
        <f t="shared" si="82"/>
        <v>0</v>
      </c>
      <c r="N94" s="43">
        <f t="shared" si="80"/>
        <v>9.2011000000000003</v>
      </c>
      <c r="O94" s="67">
        <f t="shared" si="89"/>
        <v>0</v>
      </c>
      <c r="P94" s="34">
        <f t="shared" si="90"/>
        <v>0</v>
      </c>
      <c r="Q94" s="45" t="e">
        <f t="shared" si="95"/>
        <v>#VALUE!</v>
      </c>
      <c r="R94" s="46">
        <f t="shared" si="5"/>
        <v>0</v>
      </c>
      <c r="S94" s="46">
        <f t="shared" si="6"/>
        <v>0</v>
      </c>
      <c r="T94" s="47" t="e">
        <f t="shared" si="91"/>
        <v>#VALUE!</v>
      </c>
      <c r="U94" s="48" t="e">
        <f t="shared" si="96"/>
        <v>#VALUE!</v>
      </c>
      <c r="V94" s="49">
        <f t="shared" si="92"/>
        <v>0</v>
      </c>
      <c r="W94" s="49">
        <f t="shared" si="93"/>
        <v>0</v>
      </c>
      <c r="X94" s="50" t="e">
        <f t="shared" si="94"/>
        <v>#VALUE!</v>
      </c>
    </row>
    <row r="95" spans="1:24" x14ac:dyDescent="0.35">
      <c r="A95" s="72"/>
      <c r="B95" s="41">
        <v>91</v>
      </c>
      <c r="C95" s="121"/>
      <c r="D95" s="121"/>
      <c r="E95" s="44"/>
      <c r="F95" s="44"/>
      <c r="G95" s="44"/>
      <c r="H95" s="122"/>
      <c r="I95" s="44"/>
      <c r="J95" s="44"/>
      <c r="K95" s="44"/>
      <c r="L95" s="122">
        <f t="shared" si="81"/>
        <v>0</v>
      </c>
      <c r="M95" s="33">
        <f t="shared" si="82"/>
        <v>0</v>
      </c>
      <c r="N95" s="43">
        <f t="shared" si="80"/>
        <v>9.2011000000000003</v>
      </c>
      <c r="O95" s="67">
        <f t="shared" si="89"/>
        <v>0</v>
      </c>
      <c r="P95" s="34">
        <f t="shared" si="90"/>
        <v>0</v>
      </c>
      <c r="Q95" s="45" t="e">
        <f t="shared" si="95"/>
        <v>#VALUE!</v>
      </c>
      <c r="R95" s="46">
        <f t="shared" si="5"/>
        <v>0</v>
      </c>
      <c r="S95" s="46">
        <f t="shared" si="6"/>
        <v>0</v>
      </c>
      <c r="T95" s="47" t="e">
        <f t="shared" si="91"/>
        <v>#VALUE!</v>
      </c>
      <c r="U95" s="48" t="e">
        <f t="shared" si="96"/>
        <v>#VALUE!</v>
      </c>
      <c r="V95" s="49">
        <f t="shared" si="92"/>
        <v>0</v>
      </c>
      <c r="W95" s="49">
        <f t="shared" si="93"/>
        <v>0</v>
      </c>
      <c r="X95" s="50" t="e">
        <f t="shared" si="94"/>
        <v>#VALUE!</v>
      </c>
    </row>
    <row r="96" spans="1:24" x14ac:dyDescent="0.35">
      <c r="A96" s="72"/>
      <c r="B96" s="41">
        <v>92</v>
      </c>
      <c r="C96" s="121"/>
      <c r="D96" s="121"/>
      <c r="E96" s="44"/>
      <c r="F96" s="44"/>
      <c r="G96" s="44"/>
      <c r="H96" s="122"/>
      <c r="I96" s="44"/>
      <c r="J96" s="44"/>
      <c r="K96" s="44"/>
      <c r="L96" s="122">
        <f t="shared" si="81"/>
        <v>0</v>
      </c>
      <c r="M96" s="33">
        <f t="shared" si="82"/>
        <v>0</v>
      </c>
      <c r="N96" s="43">
        <f t="shared" si="80"/>
        <v>9.2011000000000003</v>
      </c>
      <c r="O96" s="67">
        <f t="shared" si="89"/>
        <v>0</v>
      </c>
      <c r="P96" s="34">
        <f t="shared" si="90"/>
        <v>0</v>
      </c>
      <c r="Q96" s="45" t="e">
        <f t="shared" si="95"/>
        <v>#VALUE!</v>
      </c>
      <c r="R96" s="46">
        <f t="shared" si="5"/>
        <v>0</v>
      </c>
      <c r="S96" s="46">
        <f t="shared" si="6"/>
        <v>0</v>
      </c>
      <c r="T96" s="47" t="e">
        <f t="shared" si="91"/>
        <v>#VALUE!</v>
      </c>
      <c r="U96" s="48" t="e">
        <f t="shared" si="96"/>
        <v>#VALUE!</v>
      </c>
      <c r="V96" s="49">
        <f t="shared" si="92"/>
        <v>0</v>
      </c>
      <c r="W96" s="49">
        <f t="shared" si="93"/>
        <v>0</v>
      </c>
      <c r="X96" s="50" t="e">
        <f t="shared" si="94"/>
        <v>#VALUE!</v>
      </c>
    </row>
    <row r="97" spans="1:24" x14ac:dyDescent="0.35">
      <c r="A97" s="72"/>
      <c r="B97" s="41">
        <v>93</v>
      </c>
      <c r="C97" s="121"/>
      <c r="D97" s="121"/>
      <c r="E97" s="44"/>
      <c r="F97" s="44"/>
      <c r="G97" s="44"/>
      <c r="H97" s="122"/>
      <c r="I97" s="44"/>
      <c r="J97" s="44"/>
      <c r="K97" s="44"/>
      <c r="L97" s="122">
        <f t="shared" si="81"/>
        <v>0</v>
      </c>
      <c r="M97" s="33">
        <f t="shared" si="82"/>
        <v>0</v>
      </c>
      <c r="N97" s="43">
        <f t="shared" si="80"/>
        <v>9.2011000000000003</v>
      </c>
      <c r="O97" s="67">
        <f t="shared" si="89"/>
        <v>0</v>
      </c>
      <c r="P97" s="34">
        <f t="shared" si="90"/>
        <v>0</v>
      </c>
      <c r="Q97" s="45" t="e">
        <f t="shared" si="95"/>
        <v>#VALUE!</v>
      </c>
      <c r="R97" s="46">
        <f t="shared" si="5"/>
        <v>0</v>
      </c>
      <c r="S97" s="46">
        <f t="shared" si="6"/>
        <v>0</v>
      </c>
      <c r="T97" s="47" t="e">
        <f t="shared" si="91"/>
        <v>#VALUE!</v>
      </c>
      <c r="U97" s="48" t="e">
        <f t="shared" si="96"/>
        <v>#VALUE!</v>
      </c>
      <c r="V97" s="49">
        <f t="shared" si="92"/>
        <v>0</v>
      </c>
      <c r="W97" s="49">
        <f t="shared" si="93"/>
        <v>0</v>
      </c>
      <c r="X97" s="50" t="e">
        <f t="shared" si="94"/>
        <v>#VALUE!</v>
      </c>
    </row>
    <row r="98" spans="1:24" x14ac:dyDescent="0.35">
      <c r="A98" s="72"/>
      <c r="B98" s="41">
        <v>94</v>
      </c>
      <c r="C98" s="121"/>
      <c r="D98" s="121"/>
      <c r="E98" s="44"/>
      <c r="F98" s="44"/>
      <c r="G98" s="44"/>
      <c r="H98" s="122"/>
      <c r="I98" s="44"/>
      <c r="J98" s="44"/>
      <c r="K98" s="44"/>
      <c r="L98" s="122">
        <f t="shared" si="81"/>
        <v>0</v>
      </c>
      <c r="M98" s="33">
        <f t="shared" si="82"/>
        <v>0</v>
      </c>
      <c r="N98" s="43">
        <f t="shared" ref="N98:N133" si="97">SUMPRODUCT($E$3:$K$3,$E$6:$K$6)/1000</f>
        <v>9.2011000000000003</v>
      </c>
      <c r="O98" s="67">
        <f t="shared" si="89"/>
        <v>0</v>
      </c>
      <c r="P98" s="34">
        <f t="shared" si="90"/>
        <v>0</v>
      </c>
      <c r="Q98" s="45" t="e">
        <f t="shared" si="95"/>
        <v>#VALUE!</v>
      </c>
      <c r="R98" s="46">
        <f t="shared" si="5"/>
        <v>0</v>
      </c>
      <c r="S98" s="46">
        <f t="shared" si="6"/>
        <v>0</v>
      </c>
      <c r="T98" s="47" t="e">
        <f t="shared" si="91"/>
        <v>#VALUE!</v>
      </c>
      <c r="U98" s="48" t="e">
        <f t="shared" si="96"/>
        <v>#VALUE!</v>
      </c>
      <c r="V98" s="49">
        <f t="shared" si="92"/>
        <v>0</v>
      </c>
      <c r="W98" s="49">
        <f t="shared" si="93"/>
        <v>0</v>
      </c>
      <c r="X98" s="50" t="e">
        <f t="shared" si="94"/>
        <v>#VALUE!</v>
      </c>
    </row>
    <row r="99" spans="1:24" x14ac:dyDescent="0.35">
      <c r="A99" s="72"/>
      <c r="B99" s="41">
        <v>95</v>
      </c>
      <c r="C99" s="121"/>
      <c r="D99" s="121"/>
      <c r="E99" s="44"/>
      <c r="F99" s="44"/>
      <c r="G99" s="44"/>
      <c r="H99" s="122"/>
      <c r="I99" s="44"/>
      <c r="J99" s="44"/>
      <c r="K99" s="44"/>
      <c r="L99" s="122">
        <f t="shared" si="81"/>
        <v>0</v>
      </c>
      <c r="M99" s="33">
        <f t="shared" si="82"/>
        <v>0</v>
      </c>
      <c r="N99" s="43">
        <f t="shared" si="97"/>
        <v>9.2011000000000003</v>
      </c>
      <c r="O99" s="67">
        <f t="shared" si="89"/>
        <v>0</v>
      </c>
      <c r="P99" s="34">
        <f t="shared" si="90"/>
        <v>0</v>
      </c>
      <c r="Q99" s="45" t="e">
        <f t="shared" si="95"/>
        <v>#VALUE!</v>
      </c>
      <c r="R99" s="46">
        <f t="shared" si="5"/>
        <v>0</v>
      </c>
      <c r="S99" s="46">
        <f t="shared" si="6"/>
        <v>0</v>
      </c>
      <c r="T99" s="47" t="e">
        <f t="shared" si="91"/>
        <v>#VALUE!</v>
      </c>
      <c r="U99" s="48" t="e">
        <f t="shared" si="96"/>
        <v>#VALUE!</v>
      </c>
      <c r="V99" s="49">
        <f t="shared" si="92"/>
        <v>0</v>
      </c>
      <c r="W99" s="49">
        <f t="shared" si="93"/>
        <v>0</v>
      </c>
      <c r="X99" s="50" t="e">
        <f t="shared" si="94"/>
        <v>#VALUE!</v>
      </c>
    </row>
    <row r="100" spans="1:24" x14ac:dyDescent="0.35">
      <c r="A100" s="72"/>
      <c r="B100" s="41">
        <v>96</v>
      </c>
      <c r="C100" s="121"/>
      <c r="D100" s="121"/>
      <c r="E100" s="44"/>
      <c r="F100" s="44"/>
      <c r="G100" s="44"/>
      <c r="H100" s="122"/>
      <c r="I100" s="44"/>
      <c r="J100" s="44"/>
      <c r="K100" s="44"/>
      <c r="L100" s="122">
        <f t="shared" si="81"/>
        <v>0</v>
      </c>
      <c r="M100" s="33">
        <f t="shared" si="82"/>
        <v>0</v>
      </c>
      <c r="N100" s="43">
        <f t="shared" si="97"/>
        <v>9.2011000000000003</v>
      </c>
      <c r="O100" s="67">
        <f t="shared" si="89"/>
        <v>0</v>
      </c>
      <c r="P100" s="34">
        <f t="shared" si="90"/>
        <v>0</v>
      </c>
      <c r="Q100" s="45" t="e">
        <f t="shared" si="95"/>
        <v>#VALUE!</v>
      </c>
      <c r="R100" s="46">
        <f t="shared" si="5"/>
        <v>0</v>
      </c>
      <c r="S100" s="46">
        <f t="shared" si="6"/>
        <v>0</v>
      </c>
      <c r="T100" s="47" t="e">
        <f t="shared" si="91"/>
        <v>#VALUE!</v>
      </c>
      <c r="U100" s="48" t="e">
        <f t="shared" si="96"/>
        <v>#VALUE!</v>
      </c>
      <c r="V100" s="49">
        <f t="shared" si="92"/>
        <v>0</v>
      </c>
      <c r="W100" s="49">
        <f t="shared" si="93"/>
        <v>0</v>
      </c>
      <c r="X100" s="50" t="e">
        <f t="shared" si="94"/>
        <v>#VALUE!</v>
      </c>
    </row>
    <row r="101" spans="1:24" x14ac:dyDescent="0.35">
      <c r="A101" s="72"/>
      <c r="B101" s="41">
        <v>97</v>
      </c>
      <c r="C101" s="121"/>
      <c r="D101" s="121"/>
      <c r="E101" s="44"/>
      <c r="F101" s="44"/>
      <c r="G101" s="44"/>
      <c r="H101" s="122"/>
      <c r="I101" s="44"/>
      <c r="J101" s="44"/>
      <c r="K101" s="44"/>
      <c r="L101" s="122">
        <f t="shared" ref="L101:L132" si="98">SUM(E101:K101)/40</f>
        <v>0</v>
      </c>
      <c r="M101" s="33">
        <f t="shared" si="82"/>
        <v>0</v>
      </c>
      <c r="N101" s="43">
        <f t="shared" si="97"/>
        <v>9.2011000000000003</v>
      </c>
      <c r="O101" s="67">
        <f t="shared" si="89"/>
        <v>0</v>
      </c>
      <c r="P101" s="34">
        <f t="shared" si="90"/>
        <v>0</v>
      </c>
      <c r="Q101" s="45" t="e">
        <f t="shared" si="95"/>
        <v>#VALUE!</v>
      </c>
      <c r="R101" s="46">
        <f t="shared" si="5"/>
        <v>0</v>
      </c>
      <c r="S101" s="46">
        <f t="shared" si="6"/>
        <v>0</v>
      </c>
      <c r="T101" s="47" t="e">
        <f t="shared" si="91"/>
        <v>#VALUE!</v>
      </c>
      <c r="U101" s="48" t="e">
        <f t="shared" si="96"/>
        <v>#VALUE!</v>
      </c>
      <c r="V101" s="49">
        <f t="shared" si="92"/>
        <v>0</v>
      </c>
      <c r="W101" s="49">
        <f t="shared" si="93"/>
        <v>0</v>
      </c>
      <c r="X101" s="50" t="e">
        <f t="shared" si="94"/>
        <v>#VALUE!</v>
      </c>
    </row>
    <row r="102" spans="1:24" x14ac:dyDescent="0.35">
      <c r="A102" s="72"/>
      <c r="B102" s="41">
        <v>98</v>
      </c>
      <c r="C102" s="121"/>
      <c r="D102" s="121"/>
      <c r="E102" s="44"/>
      <c r="F102" s="44"/>
      <c r="G102" s="44"/>
      <c r="H102" s="122"/>
      <c r="I102" s="44"/>
      <c r="J102" s="44"/>
      <c r="K102" s="44"/>
      <c r="L102" s="122">
        <f t="shared" si="98"/>
        <v>0</v>
      </c>
      <c r="M102" s="33">
        <f t="shared" si="82"/>
        <v>0</v>
      </c>
      <c r="N102" s="43">
        <f t="shared" si="97"/>
        <v>9.2011000000000003</v>
      </c>
      <c r="O102" s="67">
        <f t="shared" si="89"/>
        <v>0</v>
      </c>
      <c r="P102" s="34">
        <f t="shared" si="90"/>
        <v>0</v>
      </c>
      <c r="Q102" s="45" t="e">
        <f t="shared" si="95"/>
        <v>#VALUE!</v>
      </c>
      <c r="R102" s="46">
        <f t="shared" si="5"/>
        <v>0</v>
      </c>
      <c r="S102" s="46">
        <f t="shared" si="6"/>
        <v>0</v>
      </c>
      <c r="T102" s="47" t="e">
        <f t="shared" si="91"/>
        <v>#VALUE!</v>
      </c>
      <c r="U102" s="48" t="e">
        <f t="shared" si="96"/>
        <v>#VALUE!</v>
      </c>
      <c r="V102" s="49">
        <f t="shared" si="92"/>
        <v>0</v>
      </c>
      <c r="W102" s="49">
        <f t="shared" si="93"/>
        <v>0</v>
      </c>
      <c r="X102" s="50" t="e">
        <f t="shared" si="94"/>
        <v>#VALUE!</v>
      </c>
    </row>
    <row r="103" spans="1:24" x14ac:dyDescent="0.35">
      <c r="A103" s="72"/>
      <c r="B103" s="41">
        <v>99</v>
      </c>
      <c r="C103" s="121"/>
      <c r="D103" s="121"/>
      <c r="E103" s="44"/>
      <c r="F103" s="44"/>
      <c r="G103" s="44"/>
      <c r="H103" s="122"/>
      <c r="I103" s="44"/>
      <c r="J103" s="44"/>
      <c r="K103" s="44"/>
      <c r="L103" s="122">
        <f t="shared" si="98"/>
        <v>0</v>
      </c>
      <c r="M103" s="33">
        <f t="shared" ref="M103:M133" si="99">SUMPRODUCT($E$4:$K$4,$E$6:$K$6)</f>
        <v>0</v>
      </c>
      <c r="N103" s="43">
        <f t="shared" si="97"/>
        <v>9.2011000000000003</v>
      </c>
      <c r="O103" s="67">
        <f t="shared" si="89"/>
        <v>0</v>
      </c>
      <c r="P103" s="34">
        <f t="shared" si="90"/>
        <v>0</v>
      </c>
      <c r="Q103" s="45" t="e">
        <f t="shared" si="95"/>
        <v>#VALUE!</v>
      </c>
      <c r="R103" s="46">
        <f t="shared" si="5"/>
        <v>0</v>
      </c>
      <c r="S103" s="46">
        <f t="shared" si="6"/>
        <v>0</v>
      </c>
      <c r="T103" s="47" t="e">
        <f t="shared" si="91"/>
        <v>#VALUE!</v>
      </c>
      <c r="U103" s="48" t="e">
        <f t="shared" si="96"/>
        <v>#VALUE!</v>
      </c>
      <c r="V103" s="49">
        <f t="shared" si="92"/>
        <v>0</v>
      </c>
      <c r="W103" s="49">
        <f t="shared" si="93"/>
        <v>0</v>
      </c>
      <c r="X103" s="50" t="e">
        <f t="shared" si="94"/>
        <v>#VALUE!</v>
      </c>
    </row>
    <row r="104" spans="1:24" x14ac:dyDescent="0.35">
      <c r="A104" s="72"/>
      <c r="B104" s="41">
        <v>100</v>
      </c>
      <c r="C104" s="121"/>
      <c r="D104" s="121"/>
      <c r="E104" s="44"/>
      <c r="F104" s="44"/>
      <c r="G104" s="44"/>
      <c r="H104" s="122"/>
      <c r="I104" s="44"/>
      <c r="J104" s="44"/>
      <c r="K104" s="44"/>
      <c r="L104" s="122">
        <f t="shared" si="98"/>
        <v>0</v>
      </c>
      <c r="M104" s="33">
        <f t="shared" si="99"/>
        <v>0</v>
      </c>
      <c r="N104" s="43">
        <f t="shared" si="97"/>
        <v>9.2011000000000003</v>
      </c>
      <c r="O104" s="67">
        <f t="shared" si="89"/>
        <v>0</v>
      </c>
      <c r="P104" s="34">
        <f t="shared" si="90"/>
        <v>0</v>
      </c>
      <c r="Q104" s="45" t="e">
        <f t="shared" si="95"/>
        <v>#VALUE!</v>
      </c>
      <c r="R104" s="46">
        <f t="shared" si="5"/>
        <v>0</v>
      </c>
      <c r="S104" s="46">
        <f t="shared" si="6"/>
        <v>0</v>
      </c>
      <c r="T104" s="47" t="e">
        <f t="shared" si="91"/>
        <v>#VALUE!</v>
      </c>
      <c r="U104" s="48" t="e">
        <f t="shared" si="96"/>
        <v>#VALUE!</v>
      </c>
      <c r="V104" s="49">
        <f t="shared" si="92"/>
        <v>0</v>
      </c>
      <c r="W104" s="49">
        <f t="shared" si="93"/>
        <v>0</v>
      </c>
      <c r="X104" s="50" t="e">
        <f t="shared" si="94"/>
        <v>#VALUE!</v>
      </c>
    </row>
    <row r="105" spans="1:24" x14ac:dyDescent="0.35">
      <c r="A105" s="72"/>
      <c r="B105" s="41">
        <v>101</v>
      </c>
      <c r="C105" s="121"/>
      <c r="D105" s="121"/>
      <c r="E105" s="44"/>
      <c r="F105" s="44"/>
      <c r="G105" s="44"/>
      <c r="H105" s="122"/>
      <c r="I105" s="44"/>
      <c r="J105" s="44"/>
      <c r="K105" s="44"/>
      <c r="L105" s="122">
        <f t="shared" si="98"/>
        <v>0</v>
      </c>
      <c r="M105" s="33">
        <f t="shared" si="99"/>
        <v>0</v>
      </c>
      <c r="N105" s="43">
        <f t="shared" si="97"/>
        <v>9.2011000000000003</v>
      </c>
      <c r="O105" s="67">
        <f t="shared" si="89"/>
        <v>0</v>
      </c>
      <c r="P105" s="34">
        <f t="shared" si="90"/>
        <v>0</v>
      </c>
      <c r="Q105" s="45" t="e">
        <f t="shared" si="95"/>
        <v>#VALUE!</v>
      </c>
      <c r="R105" s="46">
        <f t="shared" si="5"/>
        <v>0</v>
      </c>
      <c r="S105" s="46">
        <f t="shared" si="6"/>
        <v>0</v>
      </c>
      <c r="T105" s="47" t="e">
        <f t="shared" si="91"/>
        <v>#VALUE!</v>
      </c>
      <c r="U105" s="48" t="e">
        <f t="shared" si="96"/>
        <v>#VALUE!</v>
      </c>
      <c r="V105" s="49">
        <f t="shared" si="92"/>
        <v>0</v>
      </c>
      <c r="W105" s="49">
        <f t="shared" si="93"/>
        <v>0</v>
      </c>
      <c r="X105" s="50" t="e">
        <f t="shared" si="94"/>
        <v>#VALUE!</v>
      </c>
    </row>
    <row r="106" spans="1:24" x14ac:dyDescent="0.35">
      <c r="A106" s="72"/>
      <c r="B106" s="41">
        <v>102</v>
      </c>
      <c r="C106" s="121"/>
      <c r="D106" s="121"/>
      <c r="E106" s="44"/>
      <c r="F106" s="44"/>
      <c r="G106" s="44"/>
      <c r="H106" s="122"/>
      <c r="I106" s="44"/>
      <c r="J106" s="44"/>
      <c r="K106" s="44"/>
      <c r="L106" s="122">
        <f t="shared" si="98"/>
        <v>0</v>
      </c>
      <c r="M106" s="33">
        <f t="shared" si="99"/>
        <v>0</v>
      </c>
      <c r="N106" s="43">
        <f t="shared" si="97"/>
        <v>9.2011000000000003</v>
      </c>
      <c r="O106" s="67">
        <f t="shared" si="89"/>
        <v>0</v>
      </c>
      <c r="P106" s="34">
        <f t="shared" si="90"/>
        <v>0</v>
      </c>
      <c r="Q106" s="45" t="e">
        <f t="shared" si="95"/>
        <v>#VALUE!</v>
      </c>
      <c r="R106" s="46">
        <f t="shared" si="5"/>
        <v>0</v>
      </c>
      <c r="S106" s="46">
        <f t="shared" si="6"/>
        <v>0</v>
      </c>
      <c r="T106" s="47" t="e">
        <f t="shared" si="91"/>
        <v>#VALUE!</v>
      </c>
      <c r="U106" s="48" t="e">
        <f t="shared" si="96"/>
        <v>#VALUE!</v>
      </c>
      <c r="V106" s="49">
        <f t="shared" si="92"/>
        <v>0</v>
      </c>
      <c r="W106" s="49">
        <f t="shared" si="93"/>
        <v>0</v>
      </c>
      <c r="X106" s="50" t="e">
        <f t="shared" si="94"/>
        <v>#VALUE!</v>
      </c>
    </row>
    <row r="107" spans="1:24" x14ac:dyDescent="0.35">
      <c r="A107" s="72"/>
      <c r="B107" s="41">
        <v>103</v>
      </c>
      <c r="C107" s="121"/>
      <c r="D107" s="121"/>
      <c r="E107" s="44"/>
      <c r="F107" s="44"/>
      <c r="G107" s="44"/>
      <c r="H107" s="122"/>
      <c r="I107" s="44"/>
      <c r="J107" s="44"/>
      <c r="K107" s="44"/>
      <c r="L107" s="122">
        <f t="shared" si="98"/>
        <v>0</v>
      </c>
      <c r="M107" s="33">
        <f t="shared" si="99"/>
        <v>0</v>
      </c>
      <c r="N107" s="43">
        <f t="shared" si="97"/>
        <v>9.2011000000000003</v>
      </c>
      <c r="O107" s="67">
        <f t="shared" si="89"/>
        <v>0</v>
      </c>
      <c r="P107" s="34">
        <f t="shared" si="90"/>
        <v>0</v>
      </c>
      <c r="Q107" s="45" t="e">
        <f t="shared" si="95"/>
        <v>#VALUE!</v>
      </c>
      <c r="R107" s="46">
        <f t="shared" si="5"/>
        <v>0</v>
      </c>
      <c r="S107" s="46">
        <f t="shared" si="6"/>
        <v>0</v>
      </c>
      <c r="T107" s="47" t="e">
        <f t="shared" si="91"/>
        <v>#VALUE!</v>
      </c>
      <c r="U107" s="48" t="e">
        <f t="shared" si="96"/>
        <v>#VALUE!</v>
      </c>
      <c r="V107" s="49">
        <f t="shared" si="92"/>
        <v>0</v>
      </c>
      <c r="W107" s="49">
        <f t="shared" si="93"/>
        <v>0</v>
      </c>
      <c r="X107" s="50" t="e">
        <f t="shared" si="94"/>
        <v>#VALUE!</v>
      </c>
    </row>
    <row r="108" spans="1:24" x14ac:dyDescent="0.35">
      <c r="A108" s="72"/>
      <c r="B108" s="41">
        <v>104</v>
      </c>
      <c r="C108" s="121"/>
      <c r="D108" s="121"/>
      <c r="E108" s="44"/>
      <c r="F108" s="44"/>
      <c r="G108" s="44"/>
      <c r="H108" s="122"/>
      <c r="I108" s="44"/>
      <c r="J108" s="44"/>
      <c r="K108" s="44"/>
      <c r="L108" s="122">
        <f t="shared" si="98"/>
        <v>0</v>
      </c>
      <c r="M108" s="33">
        <f t="shared" si="99"/>
        <v>0</v>
      </c>
      <c r="N108" s="43">
        <f t="shared" si="97"/>
        <v>9.2011000000000003</v>
      </c>
      <c r="O108" s="67">
        <f t="shared" si="89"/>
        <v>0</v>
      </c>
      <c r="P108" s="34">
        <f t="shared" si="90"/>
        <v>0</v>
      </c>
      <c r="Q108" s="45" t="e">
        <f t="shared" si="95"/>
        <v>#VALUE!</v>
      </c>
      <c r="R108" s="46">
        <f t="shared" si="5"/>
        <v>0</v>
      </c>
      <c r="S108" s="46">
        <f t="shared" si="6"/>
        <v>0</v>
      </c>
      <c r="T108" s="47" t="e">
        <f t="shared" si="91"/>
        <v>#VALUE!</v>
      </c>
      <c r="U108" s="48" t="e">
        <f t="shared" si="96"/>
        <v>#VALUE!</v>
      </c>
      <c r="V108" s="49">
        <f t="shared" si="92"/>
        <v>0</v>
      </c>
      <c r="W108" s="49">
        <f t="shared" si="93"/>
        <v>0</v>
      </c>
      <c r="X108" s="50" t="e">
        <f t="shared" si="94"/>
        <v>#VALUE!</v>
      </c>
    </row>
    <row r="109" spans="1:24" x14ac:dyDescent="0.35">
      <c r="A109" s="72"/>
      <c r="B109" s="41">
        <v>105</v>
      </c>
      <c r="C109" s="121"/>
      <c r="D109" s="121"/>
      <c r="E109" s="44"/>
      <c r="F109" s="44"/>
      <c r="G109" s="44"/>
      <c r="H109" s="122"/>
      <c r="I109" s="44"/>
      <c r="J109" s="44"/>
      <c r="K109" s="44"/>
      <c r="L109" s="122">
        <f t="shared" si="98"/>
        <v>0</v>
      </c>
      <c r="M109" s="33">
        <f t="shared" si="99"/>
        <v>0</v>
      </c>
      <c r="N109" s="43">
        <f t="shared" si="97"/>
        <v>9.2011000000000003</v>
      </c>
      <c r="O109" s="67">
        <f t="shared" si="89"/>
        <v>0</v>
      </c>
      <c r="P109" s="34">
        <f t="shared" si="90"/>
        <v>0</v>
      </c>
      <c r="Q109" s="45" t="e">
        <f t="shared" si="95"/>
        <v>#VALUE!</v>
      </c>
      <c r="R109" s="46">
        <f t="shared" si="5"/>
        <v>0</v>
      </c>
      <c r="S109" s="46">
        <f t="shared" si="6"/>
        <v>0</v>
      </c>
      <c r="T109" s="47" t="e">
        <f t="shared" si="91"/>
        <v>#VALUE!</v>
      </c>
      <c r="U109" s="48" t="e">
        <f t="shared" si="96"/>
        <v>#VALUE!</v>
      </c>
      <c r="V109" s="49">
        <f t="shared" si="92"/>
        <v>0</v>
      </c>
      <c r="W109" s="49">
        <f t="shared" si="93"/>
        <v>0</v>
      </c>
      <c r="X109" s="50" t="e">
        <f t="shared" si="94"/>
        <v>#VALUE!</v>
      </c>
    </row>
    <row r="110" spans="1:24" x14ac:dyDescent="0.35">
      <c r="A110" s="72"/>
      <c r="B110" s="41">
        <v>106</v>
      </c>
      <c r="C110" s="121"/>
      <c r="D110" s="121"/>
      <c r="E110" s="44"/>
      <c r="F110" s="44"/>
      <c r="G110" s="44"/>
      <c r="H110" s="122"/>
      <c r="I110" s="44"/>
      <c r="J110" s="44"/>
      <c r="K110" s="44"/>
      <c r="L110" s="122">
        <f t="shared" si="98"/>
        <v>0</v>
      </c>
      <c r="M110" s="33">
        <f t="shared" si="99"/>
        <v>0</v>
      </c>
      <c r="N110" s="43">
        <f t="shared" si="97"/>
        <v>9.2011000000000003</v>
      </c>
      <c r="O110" s="67">
        <f t="shared" si="89"/>
        <v>0</v>
      </c>
      <c r="P110" s="34">
        <f t="shared" si="90"/>
        <v>0</v>
      </c>
      <c r="Q110" s="45" t="e">
        <f t="shared" si="95"/>
        <v>#VALUE!</v>
      </c>
      <c r="R110" s="46">
        <f t="shared" si="5"/>
        <v>0</v>
      </c>
      <c r="S110" s="46">
        <f t="shared" si="6"/>
        <v>0</v>
      </c>
      <c r="T110" s="47" t="e">
        <f t="shared" si="91"/>
        <v>#VALUE!</v>
      </c>
      <c r="U110" s="48" t="e">
        <f t="shared" si="96"/>
        <v>#VALUE!</v>
      </c>
      <c r="V110" s="49">
        <f t="shared" si="92"/>
        <v>0</v>
      </c>
      <c r="W110" s="49">
        <f t="shared" si="93"/>
        <v>0</v>
      </c>
      <c r="X110" s="50" t="e">
        <f t="shared" si="94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8"/>
        <v>0</v>
      </c>
      <c r="M111" s="33">
        <f t="shared" si="99"/>
        <v>0</v>
      </c>
      <c r="N111" s="43">
        <f t="shared" si="97"/>
        <v>9.2011000000000003</v>
      </c>
      <c r="O111" s="67">
        <f t="shared" si="89"/>
        <v>0</v>
      </c>
      <c r="P111" s="34">
        <f t="shared" si="90"/>
        <v>0</v>
      </c>
      <c r="Q111" s="45" t="e">
        <f t="shared" si="95"/>
        <v>#VALUE!</v>
      </c>
      <c r="R111" s="46">
        <f t="shared" si="5"/>
        <v>0</v>
      </c>
      <c r="S111" s="46">
        <f t="shared" si="6"/>
        <v>0</v>
      </c>
      <c r="T111" s="47" t="e">
        <f t="shared" si="91"/>
        <v>#VALUE!</v>
      </c>
      <c r="U111" s="48" t="e">
        <f t="shared" si="96"/>
        <v>#VALUE!</v>
      </c>
      <c r="V111" s="49">
        <f t="shared" si="92"/>
        <v>0</v>
      </c>
      <c r="W111" s="49">
        <f t="shared" si="93"/>
        <v>0</v>
      </c>
      <c r="X111" s="50" t="e">
        <f t="shared" si="94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8"/>
        <v>0</v>
      </c>
      <c r="M112" s="33">
        <f t="shared" si="99"/>
        <v>0</v>
      </c>
      <c r="N112" s="43">
        <f t="shared" si="97"/>
        <v>9.2011000000000003</v>
      </c>
      <c r="O112" s="67">
        <f t="shared" si="89"/>
        <v>0</v>
      </c>
      <c r="P112" s="34">
        <f t="shared" si="90"/>
        <v>0</v>
      </c>
      <c r="Q112" s="45" t="e">
        <f t="shared" si="95"/>
        <v>#VALUE!</v>
      </c>
      <c r="R112" s="46">
        <f t="shared" si="5"/>
        <v>0</v>
      </c>
      <c r="S112" s="46">
        <f t="shared" si="6"/>
        <v>0</v>
      </c>
      <c r="T112" s="47" t="e">
        <f t="shared" si="91"/>
        <v>#VALUE!</v>
      </c>
      <c r="U112" s="48" t="e">
        <f t="shared" si="96"/>
        <v>#VALUE!</v>
      </c>
      <c r="V112" s="49">
        <f t="shared" si="92"/>
        <v>0</v>
      </c>
      <c r="W112" s="49">
        <f t="shared" si="93"/>
        <v>0</v>
      </c>
      <c r="X112" s="50" t="e">
        <f t="shared" si="94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8"/>
        <v>0</v>
      </c>
      <c r="M113" s="33">
        <f t="shared" si="99"/>
        <v>0</v>
      </c>
      <c r="N113" s="43">
        <f t="shared" si="97"/>
        <v>9.2011000000000003</v>
      </c>
      <c r="O113" s="67">
        <f t="shared" si="89"/>
        <v>0</v>
      </c>
      <c r="P113" s="34">
        <f t="shared" si="90"/>
        <v>0</v>
      </c>
      <c r="Q113" s="45" t="e">
        <f t="shared" si="95"/>
        <v>#VALUE!</v>
      </c>
      <c r="R113" s="46">
        <f t="shared" si="5"/>
        <v>0</v>
      </c>
      <c r="S113" s="46">
        <f t="shared" si="6"/>
        <v>0</v>
      </c>
      <c r="T113" s="47" t="e">
        <f t="shared" si="91"/>
        <v>#VALUE!</v>
      </c>
      <c r="U113" s="48" t="e">
        <f t="shared" si="96"/>
        <v>#VALUE!</v>
      </c>
      <c r="V113" s="49">
        <f t="shared" si="92"/>
        <v>0</v>
      </c>
      <c r="W113" s="49">
        <f t="shared" si="93"/>
        <v>0</v>
      </c>
      <c r="X113" s="50" t="e">
        <f t="shared" si="94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8"/>
        <v>0</v>
      </c>
      <c r="M114" s="33">
        <f t="shared" si="99"/>
        <v>0</v>
      </c>
      <c r="N114" s="43">
        <f t="shared" si="97"/>
        <v>9.2011000000000003</v>
      </c>
      <c r="O114" s="67">
        <f t="shared" si="89"/>
        <v>0</v>
      </c>
      <c r="P114" s="34">
        <f t="shared" si="90"/>
        <v>0</v>
      </c>
      <c r="Q114" s="45" t="e">
        <f t="shared" si="95"/>
        <v>#VALUE!</v>
      </c>
      <c r="R114" s="46">
        <f t="shared" si="5"/>
        <v>0</v>
      </c>
      <c r="S114" s="46">
        <f t="shared" si="6"/>
        <v>0</v>
      </c>
      <c r="T114" s="47" t="e">
        <f t="shared" si="91"/>
        <v>#VALUE!</v>
      </c>
      <c r="U114" s="48" t="e">
        <f t="shared" si="96"/>
        <v>#VALUE!</v>
      </c>
      <c r="V114" s="49">
        <f t="shared" si="92"/>
        <v>0</v>
      </c>
      <c r="W114" s="49">
        <f t="shared" si="93"/>
        <v>0</v>
      </c>
      <c r="X114" s="50" t="e">
        <f t="shared" si="94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8"/>
        <v>0</v>
      </c>
      <c r="M115" s="33">
        <f t="shared" si="99"/>
        <v>0</v>
      </c>
      <c r="N115" s="43">
        <f t="shared" si="97"/>
        <v>9.2011000000000003</v>
      </c>
      <c r="O115" s="67">
        <f t="shared" si="89"/>
        <v>0</v>
      </c>
      <c r="P115" s="34">
        <f t="shared" si="90"/>
        <v>0</v>
      </c>
      <c r="Q115" s="45" t="e">
        <f t="shared" si="95"/>
        <v>#VALUE!</v>
      </c>
      <c r="R115" s="46">
        <f t="shared" si="5"/>
        <v>0</v>
      </c>
      <c r="S115" s="46">
        <f t="shared" si="6"/>
        <v>0</v>
      </c>
      <c r="T115" s="47" t="e">
        <f t="shared" si="91"/>
        <v>#VALUE!</v>
      </c>
      <c r="U115" s="48" t="e">
        <f t="shared" si="96"/>
        <v>#VALUE!</v>
      </c>
      <c r="V115" s="49">
        <f t="shared" si="92"/>
        <v>0</v>
      </c>
      <c r="W115" s="49">
        <f t="shared" si="93"/>
        <v>0</v>
      </c>
      <c r="X115" s="50" t="e">
        <f t="shared" si="94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8"/>
        <v>0</v>
      </c>
      <c r="M116" s="33">
        <f t="shared" si="99"/>
        <v>0</v>
      </c>
      <c r="N116" s="43">
        <f t="shared" si="97"/>
        <v>9.2011000000000003</v>
      </c>
      <c r="O116" s="67">
        <f t="shared" si="89"/>
        <v>0</v>
      </c>
      <c r="P116" s="34">
        <f t="shared" si="90"/>
        <v>0</v>
      </c>
      <c r="Q116" s="45" t="e">
        <f t="shared" si="95"/>
        <v>#VALUE!</v>
      </c>
      <c r="R116" s="46">
        <f t="shared" si="5"/>
        <v>0</v>
      </c>
      <c r="S116" s="46">
        <f t="shared" si="6"/>
        <v>0</v>
      </c>
      <c r="T116" s="47" t="e">
        <f t="shared" si="91"/>
        <v>#VALUE!</v>
      </c>
      <c r="U116" s="48" t="e">
        <f t="shared" si="96"/>
        <v>#VALUE!</v>
      </c>
      <c r="V116" s="49">
        <f t="shared" si="92"/>
        <v>0</v>
      </c>
      <c r="W116" s="49">
        <f t="shared" si="93"/>
        <v>0</v>
      </c>
      <c r="X116" s="50" t="e">
        <f t="shared" si="94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8"/>
        <v>0</v>
      </c>
      <c r="M117" s="33">
        <f t="shared" si="99"/>
        <v>0</v>
      </c>
      <c r="N117" s="43">
        <f t="shared" si="97"/>
        <v>9.2011000000000003</v>
      </c>
      <c r="O117" s="67">
        <f t="shared" si="89"/>
        <v>0</v>
      </c>
      <c r="P117" s="34">
        <f t="shared" si="90"/>
        <v>0</v>
      </c>
      <c r="Q117" s="45" t="e">
        <f t="shared" si="95"/>
        <v>#VALUE!</v>
      </c>
      <c r="R117" s="46">
        <f t="shared" si="5"/>
        <v>0</v>
      </c>
      <c r="S117" s="46">
        <f t="shared" si="6"/>
        <v>0</v>
      </c>
      <c r="T117" s="47" t="e">
        <f t="shared" si="91"/>
        <v>#VALUE!</v>
      </c>
      <c r="U117" s="48" t="e">
        <f t="shared" si="96"/>
        <v>#VALUE!</v>
      </c>
      <c r="V117" s="49">
        <f t="shared" si="92"/>
        <v>0</v>
      </c>
      <c r="W117" s="49">
        <f t="shared" si="93"/>
        <v>0</v>
      </c>
      <c r="X117" s="50" t="e">
        <f t="shared" si="94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8"/>
        <v>0</v>
      </c>
      <c r="M118" s="33">
        <f t="shared" si="99"/>
        <v>0</v>
      </c>
      <c r="N118" s="43">
        <f t="shared" si="97"/>
        <v>9.2011000000000003</v>
      </c>
      <c r="O118" s="67">
        <f t="shared" si="89"/>
        <v>0</v>
      </c>
      <c r="P118" s="34">
        <f t="shared" si="90"/>
        <v>0</v>
      </c>
      <c r="Q118" s="45" t="e">
        <f t="shared" si="95"/>
        <v>#VALUE!</v>
      </c>
      <c r="R118" s="46">
        <f t="shared" si="5"/>
        <v>0</v>
      </c>
      <c r="S118" s="46">
        <f t="shared" si="6"/>
        <v>0</v>
      </c>
      <c r="T118" s="47" t="e">
        <f t="shared" si="91"/>
        <v>#VALUE!</v>
      </c>
      <c r="U118" s="48" t="e">
        <f t="shared" si="96"/>
        <v>#VALUE!</v>
      </c>
      <c r="V118" s="49">
        <f t="shared" si="92"/>
        <v>0</v>
      </c>
      <c r="W118" s="49">
        <f t="shared" si="93"/>
        <v>0</v>
      </c>
      <c r="X118" s="50" t="e">
        <f t="shared" si="94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8"/>
        <v>0</v>
      </c>
      <c r="M119" s="33">
        <f t="shared" si="99"/>
        <v>0</v>
      </c>
      <c r="N119" s="43">
        <f t="shared" si="97"/>
        <v>9.2011000000000003</v>
      </c>
      <c r="O119" s="67">
        <f t="shared" si="89"/>
        <v>0</v>
      </c>
      <c r="P119" s="34">
        <f t="shared" si="90"/>
        <v>0</v>
      </c>
      <c r="Q119" s="45" t="e">
        <f t="shared" si="95"/>
        <v>#VALUE!</v>
      </c>
      <c r="R119" s="46">
        <f t="shared" si="5"/>
        <v>0</v>
      </c>
      <c r="S119" s="46">
        <f t="shared" si="6"/>
        <v>0</v>
      </c>
      <c r="T119" s="47" t="e">
        <f t="shared" si="91"/>
        <v>#VALUE!</v>
      </c>
      <c r="U119" s="48" t="e">
        <f t="shared" si="96"/>
        <v>#VALUE!</v>
      </c>
      <c r="V119" s="49">
        <f t="shared" si="92"/>
        <v>0</v>
      </c>
      <c r="W119" s="49">
        <f t="shared" si="93"/>
        <v>0</v>
      </c>
      <c r="X119" s="50" t="e">
        <f t="shared" si="94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8"/>
        <v>0</v>
      </c>
      <c r="M120" s="33">
        <f t="shared" si="99"/>
        <v>0</v>
      </c>
      <c r="N120" s="43">
        <f t="shared" si="97"/>
        <v>9.2011000000000003</v>
      </c>
      <c r="O120" s="67">
        <f t="shared" si="89"/>
        <v>0</v>
      </c>
      <c r="P120" s="34">
        <f t="shared" si="90"/>
        <v>0</v>
      </c>
      <c r="Q120" s="45" t="e">
        <f t="shared" si="95"/>
        <v>#VALUE!</v>
      </c>
      <c r="R120" s="46">
        <f t="shared" si="5"/>
        <v>0</v>
      </c>
      <c r="S120" s="46">
        <f t="shared" si="6"/>
        <v>0</v>
      </c>
      <c r="T120" s="47" t="e">
        <f t="shared" si="91"/>
        <v>#VALUE!</v>
      </c>
      <c r="U120" s="48" t="e">
        <f t="shared" si="96"/>
        <v>#VALUE!</v>
      </c>
      <c r="V120" s="49">
        <f t="shared" si="92"/>
        <v>0</v>
      </c>
      <c r="W120" s="49">
        <f t="shared" si="93"/>
        <v>0</v>
      </c>
      <c r="X120" s="50" t="e">
        <f t="shared" si="94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8"/>
        <v>0</v>
      </c>
      <c r="M121" s="33">
        <f t="shared" si="99"/>
        <v>0</v>
      </c>
      <c r="N121" s="43">
        <f t="shared" si="97"/>
        <v>9.2011000000000003</v>
      </c>
      <c r="O121" s="67">
        <f t="shared" si="89"/>
        <v>0</v>
      </c>
      <c r="P121" s="34">
        <f t="shared" si="90"/>
        <v>0</v>
      </c>
      <c r="Q121" s="45" t="e">
        <f t="shared" si="95"/>
        <v>#VALUE!</v>
      </c>
      <c r="R121" s="46">
        <f t="shared" si="5"/>
        <v>0</v>
      </c>
      <c r="S121" s="46">
        <f t="shared" si="6"/>
        <v>0</v>
      </c>
      <c r="T121" s="47" t="e">
        <f t="shared" si="91"/>
        <v>#VALUE!</v>
      </c>
      <c r="U121" s="48" t="e">
        <f t="shared" si="96"/>
        <v>#VALUE!</v>
      </c>
      <c r="V121" s="49">
        <f t="shared" si="92"/>
        <v>0</v>
      </c>
      <c r="W121" s="49">
        <f t="shared" si="93"/>
        <v>0</v>
      </c>
      <c r="X121" s="50" t="e">
        <f t="shared" si="94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8"/>
        <v>0</v>
      </c>
      <c r="M122" s="33">
        <f t="shared" si="99"/>
        <v>0</v>
      </c>
      <c r="N122" s="43">
        <f t="shared" si="97"/>
        <v>9.2011000000000003</v>
      </c>
      <c r="O122" s="67">
        <f t="shared" si="89"/>
        <v>0</v>
      </c>
      <c r="P122" s="34">
        <f t="shared" si="90"/>
        <v>0</v>
      </c>
      <c r="Q122" s="45" t="e">
        <f t="shared" si="95"/>
        <v>#VALUE!</v>
      </c>
      <c r="R122" s="46">
        <f t="shared" si="5"/>
        <v>0</v>
      </c>
      <c r="S122" s="46">
        <f t="shared" si="6"/>
        <v>0</v>
      </c>
      <c r="T122" s="47" t="e">
        <f t="shared" si="91"/>
        <v>#VALUE!</v>
      </c>
      <c r="U122" s="48" t="e">
        <f t="shared" si="96"/>
        <v>#VALUE!</v>
      </c>
      <c r="V122" s="49">
        <f t="shared" si="92"/>
        <v>0</v>
      </c>
      <c r="W122" s="49">
        <f t="shared" si="93"/>
        <v>0</v>
      </c>
      <c r="X122" s="50" t="e">
        <f t="shared" si="94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8"/>
        <v>0</v>
      </c>
      <c r="M123" s="33">
        <f t="shared" si="99"/>
        <v>0</v>
      </c>
      <c r="N123" s="43">
        <f t="shared" si="97"/>
        <v>9.2011000000000003</v>
      </c>
      <c r="O123" s="67">
        <f t="shared" si="89"/>
        <v>0</v>
      </c>
      <c r="P123" s="34">
        <f t="shared" si="90"/>
        <v>0</v>
      </c>
      <c r="Q123" s="45" t="e">
        <f t="shared" si="95"/>
        <v>#VALUE!</v>
      </c>
      <c r="R123" s="46">
        <f t="shared" si="5"/>
        <v>0</v>
      </c>
      <c r="S123" s="46">
        <f t="shared" si="6"/>
        <v>0</v>
      </c>
      <c r="T123" s="47" t="e">
        <f t="shared" si="91"/>
        <v>#VALUE!</v>
      </c>
      <c r="U123" s="48" t="e">
        <f t="shared" si="96"/>
        <v>#VALUE!</v>
      </c>
      <c r="V123" s="49">
        <f t="shared" si="92"/>
        <v>0</v>
      </c>
      <c r="W123" s="49">
        <f t="shared" si="93"/>
        <v>0</v>
      </c>
      <c r="X123" s="50" t="e">
        <f t="shared" si="94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8"/>
        <v>0</v>
      </c>
      <c r="M124" s="33">
        <f t="shared" si="99"/>
        <v>0</v>
      </c>
      <c r="N124" s="43">
        <f t="shared" si="97"/>
        <v>9.2011000000000003</v>
      </c>
      <c r="O124" s="67">
        <f t="shared" si="89"/>
        <v>0</v>
      </c>
      <c r="P124" s="34">
        <f t="shared" si="90"/>
        <v>0</v>
      </c>
      <c r="Q124" s="45" t="e">
        <f t="shared" si="95"/>
        <v>#VALUE!</v>
      </c>
      <c r="R124" s="46">
        <f t="shared" si="5"/>
        <v>0</v>
      </c>
      <c r="S124" s="46">
        <f t="shared" si="6"/>
        <v>0</v>
      </c>
      <c r="T124" s="47" t="e">
        <f t="shared" si="91"/>
        <v>#VALUE!</v>
      </c>
      <c r="U124" s="48" t="e">
        <f t="shared" si="96"/>
        <v>#VALUE!</v>
      </c>
      <c r="V124" s="49">
        <f t="shared" si="92"/>
        <v>0</v>
      </c>
      <c r="W124" s="49">
        <f t="shared" si="93"/>
        <v>0</v>
      </c>
      <c r="X124" s="50" t="e">
        <f t="shared" si="94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8"/>
        <v>0</v>
      </c>
      <c r="M125" s="33">
        <f t="shared" si="99"/>
        <v>0</v>
      </c>
      <c r="N125" s="43">
        <f t="shared" si="97"/>
        <v>9.2011000000000003</v>
      </c>
      <c r="O125" s="67">
        <f t="shared" si="89"/>
        <v>0</v>
      </c>
      <c r="P125" s="34">
        <f t="shared" si="90"/>
        <v>0</v>
      </c>
      <c r="Q125" s="45" t="e">
        <f t="shared" ref="Q125:Q133" si="100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1"/>
        <v>#VALUE!</v>
      </c>
      <c r="U125" s="48" t="e">
        <f t="shared" ref="U125:U133" si="101">SUM(E125:E125)*$U$3</f>
        <v>#VALUE!</v>
      </c>
      <c r="V125" s="49">
        <f t="shared" si="92"/>
        <v>0</v>
      </c>
      <c r="W125" s="49">
        <f t="shared" si="93"/>
        <v>0</v>
      </c>
      <c r="X125" s="50" t="e">
        <f t="shared" si="94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8"/>
        <v>0</v>
      </c>
      <c r="M126" s="33">
        <f t="shared" si="99"/>
        <v>0</v>
      </c>
      <c r="N126" s="43">
        <f t="shared" si="97"/>
        <v>9.2011000000000003</v>
      </c>
      <c r="O126" s="67">
        <f t="shared" si="89"/>
        <v>0</v>
      </c>
      <c r="P126" s="34">
        <f t="shared" si="90"/>
        <v>0</v>
      </c>
      <c r="Q126" s="45" t="e">
        <f t="shared" si="100"/>
        <v>#VALUE!</v>
      </c>
      <c r="R126" s="46">
        <f t="shared" si="5"/>
        <v>0</v>
      </c>
      <c r="S126" s="46">
        <f t="shared" si="6"/>
        <v>0</v>
      </c>
      <c r="T126" s="47" t="e">
        <f t="shared" si="91"/>
        <v>#VALUE!</v>
      </c>
      <c r="U126" s="48" t="e">
        <f t="shared" si="101"/>
        <v>#VALUE!</v>
      </c>
      <c r="V126" s="49">
        <f t="shared" si="92"/>
        <v>0</v>
      </c>
      <c r="W126" s="49">
        <f t="shared" si="93"/>
        <v>0</v>
      </c>
      <c r="X126" s="50" t="e">
        <f t="shared" si="94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8"/>
        <v>0</v>
      </c>
      <c r="M127" s="33">
        <f t="shared" si="99"/>
        <v>0</v>
      </c>
      <c r="N127" s="43">
        <f t="shared" si="97"/>
        <v>9.2011000000000003</v>
      </c>
      <c r="O127" s="67">
        <f t="shared" si="89"/>
        <v>0</v>
      </c>
      <c r="P127" s="34">
        <f t="shared" si="90"/>
        <v>0</v>
      </c>
      <c r="Q127" s="45" t="e">
        <f t="shared" si="100"/>
        <v>#VALUE!</v>
      </c>
      <c r="R127" s="46">
        <f t="shared" si="5"/>
        <v>0</v>
      </c>
      <c r="S127" s="46">
        <f t="shared" si="6"/>
        <v>0</v>
      </c>
      <c r="T127" s="47" t="e">
        <f t="shared" si="91"/>
        <v>#VALUE!</v>
      </c>
      <c r="U127" s="48" t="e">
        <f t="shared" si="101"/>
        <v>#VALUE!</v>
      </c>
      <c r="V127" s="49">
        <f t="shared" si="92"/>
        <v>0</v>
      </c>
      <c r="W127" s="49">
        <f t="shared" si="93"/>
        <v>0</v>
      </c>
      <c r="X127" s="50" t="e">
        <f t="shared" si="94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8"/>
        <v>0</v>
      </c>
      <c r="M128" s="33">
        <f t="shared" si="99"/>
        <v>0</v>
      </c>
      <c r="N128" s="43">
        <f t="shared" si="97"/>
        <v>9.2011000000000003</v>
      </c>
      <c r="O128" s="67">
        <f t="shared" si="89"/>
        <v>0</v>
      </c>
      <c r="P128" s="34">
        <f t="shared" si="90"/>
        <v>0</v>
      </c>
      <c r="Q128" s="45" t="e">
        <f t="shared" si="100"/>
        <v>#VALUE!</v>
      </c>
      <c r="R128" s="46">
        <f t="shared" si="5"/>
        <v>0</v>
      </c>
      <c r="S128" s="46">
        <f t="shared" si="6"/>
        <v>0</v>
      </c>
      <c r="T128" s="47" t="e">
        <f t="shared" si="91"/>
        <v>#VALUE!</v>
      </c>
      <c r="U128" s="48" t="e">
        <f t="shared" si="101"/>
        <v>#VALUE!</v>
      </c>
      <c r="V128" s="49">
        <f t="shared" si="92"/>
        <v>0</v>
      </c>
      <c r="W128" s="49">
        <f t="shared" si="93"/>
        <v>0</v>
      </c>
      <c r="X128" s="50" t="e">
        <f t="shared" si="94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8"/>
        <v>0</v>
      </c>
      <c r="M129" s="33">
        <f t="shared" si="99"/>
        <v>0</v>
      </c>
      <c r="N129" s="43">
        <f t="shared" si="97"/>
        <v>9.2011000000000003</v>
      </c>
      <c r="O129" s="67">
        <f t="shared" si="89"/>
        <v>0</v>
      </c>
      <c r="P129" s="34">
        <f t="shared" si="90"/>
        <v>0</v>
      </c>
      <c r="Q129" s="45" t="e">
        <f t="shared" si="100"/>
        <v>#VALUE!</v>
      </c>
      <c r="R129" s="46">
        <f t="shared" si="5"/>
        <v>0</v>
      </c>
      <c r="S129" s="46">
        <f t="shared" si="6"/>
        <v>0</v>
      </c>
      <c r="T129" s="47" t="e">
        <f t="shared" si="91"/>
        <v>#VALUE!</v>
      </c>
      <c r="U129" s="48" t="e">
        <f t="shared" si="101"/>
        <v>#VALUE!</v>
      </c>
      <c r="V129" s="49">
        <f t="shared" si="92"/>
        <v>0</v>
      </c>
      <c r="W129" s="49">
        <f t="shared" si="93"/>
        <v>0</v>
      </c>
      <c r="X129" s="50" t="e">
        <f t="shared" si="94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8"/>
        <v>0</v>
      </c>
      <c r="M130" s="33">
        <f t="shared" si="99"/>
        <v>0</v>
      </c>
      <c r="N130" s="43">
        <f t="shared" si="97"/>
        <v>9.2011000000000003</v>
      </c>
      <c r="O130" s="67">
        <f t="shared" si="89"/>
        <v>0</v>
      </c>
      <c r="P130" s="34">
        <f t="shared" si="90"/>
        <v>0</v>
      </c>
      <c r="Q130" s="45" t="e">
        <f t="shared" si="100"/>
        <v>#VALUE!</v>
      </c>
      <c r="R130" s="46">
        <f t="shared" si="5"/>
        <v>0</v>
      </c>
      <c r="S130" s="46">
        <f t="shared" si="6"/>
        <v>0</v>
      </c>
      <c r="T130" s="47" t="e">
        <f t="shared" si="91"/>
        <v>#VALUE!</v>
      </c>
      <c r="U130" s="48" t="e">
        <f t="shared" si="101"/>
        <v>#VALUE!</v>
      </c>
      <c r="V130" s="49">
        <f t="shared" si="92"/>
        <v>0</v>
      </c>
      <c r="W130" s="49">
        <f t="shared" si="93"/>
        <v>0</v>
      </c>
      <c r="X130" s="50" t="e">
        <f t="shared" si="94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8"/>
        <v>0</v>
      </c>
      <c r="M131" s="33">
        <f t="shared" si="99"/>
        <v>0</v>
      </c>
      <c r="N131" s="43">
        <f t="shared" si="97"/>
        <v>9.2011000000000003</v>
      </c>
      <c r="O131" s="67">
        <f t="shared" si="89"/>
        <v>0</v>
      </c>
      <c r="P131" s="34">
        <f t="shared" si="90"/>
        <v>0</v>
      </c>
      <c r="Q131" s="45" t="e">
        <f t="shared" si="100"/>
        <v>#VALUE!</v>
      </c>
      <c r="R131" s="46">
        <f t="shared" si="5"/>
        <v>0</v>
      </c>
      <c r="S131" s="46">
        <f t="shared" si="6"/>
        <v>0</v>
      </c>
      <c r="T131" s="47" t="e">
        <f t="shared" si="91"/>
        <v>#VALUE!</v>
      </c>
      <c r="U131" s="48" t="e">
        <f t="shared" si="101"/>
        <v>#VALUE!</v>
      </c>
      <c r="V131" s="49">
        <f t="shared" si="92"/>
        <v>0</v>
      </c>
      <c r="W131" s="49">
        <f t="shared" si="93"/>
        <v>0</v>
      </c>
      <c r="X131" s="50" t="e">
        <f t="shared" si="94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8"/>
        <v>0</v>
      </c>
      <c r="M132" s="33">
        <f t="shared" si="99"/>
        <v>0</v>
      </c>
      <c r="N132" s="43">
        <f t="shared" si="97"/>
        <v>9.2011000000000003</v>
      </c>
      <c r="O132" s="67">
        <f t="shared" si="89"/>
        <v>0</v>
      </c>
      <c r="P132" s="34">
        <f t="shared" si="90"/>
        <v>0</v>
      </c>
      <c r="Q132" s="45" t="e">
        <f t="shared" si="100"/>
        <v>#VALUE!</v>
      </c>
      <c r="R132" s="46">
        <f t="shared" si="5"/>
        <v>0</v>
      </c>
      <c r="S132" s="46">
        <f t="shared" si="6"/>
        <v>0</v>
      </c>
      <c r="T132" s="47" t="e">
        <f t="shared" si="91"/>
        <v>#VALUE!</v>
      </c>
      <c r="U132" s="48" t="e">
        <f t="shared" si="101"/>
        <v>#VALUE!</v>
      </c>
      <c r="V132" s="49">
        <f t="shared" si="92"/>
        <v>0</v>
      </c>
      <c r="W132" s="49">
        <f t="shared" si="93"/>
        <v>0</v>
      </c>
      <c r="X132" s="50" t="e">
        <f t="shared" si="94"/>
        <v>#VALUE!</v>
      </c>
    </row>
    <row r="133" spans="1:24" x14ac:dyDescent="0.35">
      <c r="A133" s="72"/>
      <c r="B133" s="172" t="s">
        <v>11</v>
      </c>
      <c r="C133" s="173"/>
      <c r="D133" s="136"/>
      <c r="E133" s="78">
        <f t="shared" ref="E133:K133" si="102">SUM(E6:E61)</f>
        <v>2265</v>
      </c>
      <c r="F133" s="78">
        <f t="shared" si="102"/>
        <v>920</v>
      </c>
      <c r="G133" s="78">
        <f t="shared" si="102"/>
        <v>840</v>
      </c>
      <c r="H133" s="78">
        <f t="shared" si="102"/>
        <v>1000</v>
      </c>
      <c r="I133" s="78">
        <f t="shared" si="102"/>
        <v>1720</v>
      </c>
      <c r="J133" s="78">
        <f t="shared" si="102"/>
        <v>1960</v>
      </c>
      <c r="K133" s="78">
        <f t="shared" si="102"/>
        <v>2040</v>
      </c>
      <c r="L133" s="42">
        <f t="shared" ref="L133" si="103">SUM(E133:K133)/40</f>
        <v>268.625</v>
      </c>
      <c r="M133" s="33">
        <f t="shared" si="99"/>
        <v>0</v>
      </c>
      <c r="N133" s="43">
        <f t="shared" si="97"/>
        <v>9.2011000000000003</v>
      </c>
      <c r="O133" s="67">
        <f t="shared" ref="O133:O137" si="104">SUM(F133:H133)/20</f>
        <v>138</v>
      </c>
      <c r="P133" s="34">
        <f t="shared" ref="P133:P137" si="105">SUM(I133:K133)/20</f>
        <v>286</v>
      </c>
      <c r="Q133" s="45" t="e">
        <f t="shared" si="100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1"/>
        <v>#VALUE!</v>
      </c>
      <c r="V133" s="49">
        <f t="shared" ref="V133:V137" si="106">SUM(F133:H133)*$V$3</f>
        <v>0</v>
      </c>
      <c r="W133" s="49">
        <f t="shared" ref="W133:W137" si="107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4"/>
        <v>0</v>
      </c>
      <c r="P135" s="34">
        <f t="shared" si="105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6"/>
        <v>0</v>
      </c>
      <c r="W135" s="49">
        <f t="shared" si="107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4"/>
        <v>0</v>
      </c>
      <c r="P136" s="34">
        <f t="shared" si="105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6"/>
        <v>0</v>
      </c>
      <c r="W136" s="49">
        <f t="shared" si="107"/>
        <v>0</v>
      </c>
      <c r="X136" s="50" t="e">
        <f t="shared" si="17"/>
        <v>#VALUE!</v>
      </c>
    </row>
    <row r="137" spans="1:24" ht="15" thickBot="1" x14ac:dyDescent="0.4">
      <c r="B137" s="160" t="s">
        <v>68</v>
      </c>
      <c r="C137" s="161"/>
      <c r="D137" s="137"/>
      <c r="E137" s="77">
        <f>SUM(E135:E136)</f>
        <v>0</v>
      </c>
      <c r="F137" s="77">
        <f t="shared" ref="F137:K137" si="108">SUM(F135:F136)</f>
        <v>0</v>
      </c>
      <c r="G137" s="77">
        <f t="shared" si="108"/>
        <v>0</v>
      </c>
      <c r="H137" s="77">
        <f t="shared" si="108"/>
        <v>0</v>
      </c>
      <c r="I137" s="77">
        <f t="shared" si="108"/>
        <v>0</v>
      </c>
      <c r="J137" s="77">
        <f t="shared" si="108"/>
        <v>0</v>
      </c>
      <c r="K137" s="77">
        <f t="shared" si="108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4"/>
        <v>0</v>
      </c>
      <c r="P137" s="34">
        <f t="shared" si="105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6"/>
        <v>0</v>
      </c>
      <c r="W137" s="49">
        <f t="shared" si="107"/>
        <v>0</v>
      </c>
      <c r="X137" s="50" t="e">
        <f t="shared" si="17"/>
        <v>#VALUE!</v>
      </c>
    </row>
    <row r="138" spans="1:24" ht="15" thickBot="1" x14ac:dyDescent="0.4">
      <c r="B138" s="149" t="s">
        <v>11</v>
      </c>
      <c r="C138" s="150"/>
      <c r="D138" s="138"/>
      <c r="E138" s="79">
        <f>SUM(E133,E137)</f>
        <v>2265</v>
      </c>
      <c r="F138" s="79">
        <f t="shared" ref="F138:K138" si="109">SUM(F133,F137)</f>
        <v>920</v>
      </c>
      <c r="G138" s="79">
        <f t="shared" si="109"/>
        <v>840</v>
      </c>
      <c r="H138" s="79">
        <f t="shared" si="109"/>
        <v>1000</v>
      </c>
      <c r="I138" s="79">
        <f t="shared" si="109"/>
        <v>1720</v>
      </c>
      <c r="J138" s="79">
        <f t="shared" si="109"/>
        <v>1960</v>
      </c>
      <c r="K138" s="79">
        <f t="shared" si="109"/>
        <v>2040</v>
      </c>
      <c r="L138" s="54">
        <f>SUM(E138:K138)/40</f>
        <v>268.625</v>
      </c>
      <c r="M138" s="57">
        <f>SUM(M5:M137)</f>
        <v>108</v>
      </c>
      <c r="N138" s="55">
        <f t="shared" ref="N138:X138" si="110">SUM(N5:N137)</f>
        <v>947.71329999999978</v>
      </c>
      <c r="O138" s="56">
        <f t="shared" si="110"/>
        <v>396</v>
      </c>
      <c r="P138" s="58">
        <f t="shared" si="110"/>
        <v>692</v>
      </c>
      <c r="Q138" s="59" t="e">
        <f t="shared" si="110"/>
        <v>#VALUE!</v>
      </c>
      <c r="R138" s="60">
        <f t="shared" si="110"/>
        <v>0</v>
      </c>
      <c r="S138" s="60">
        <f t="shared" si="110"/>
        <v>0</v>
      </c>
      <c r="T138" s="61" t="e">
        <f t="shared" si="110"/>
        <v>#VALUE!</v>
      </c>
      <c r="U138" s="62" t="e">
        <f t="shared" si="110"/>
        <v>#VALUE!</v>
      </c>
      <c r="V138" s="63">
        <f t="shared" si="110"/>
        <v>0</v>
      </c>
      <c r="W138" s="63">
        <f t="shared" si="110"/>
        <v>0</v>
      </c>
      <c r="X138" s="64" t="e">
        <f t="shared" si="110"/>
        <v>#VALUE!</v>
      </c>
    </row>
  </sheetData>
  <mergeCells count="11">
    <mergeCell ref="B1:E1"/>
    <mergeCell ref="B2:B4"/>
    <mergeCell ref="Q3:T3"/>
    <mergeCell ref="U3:X3"/>
    <mergeCell ref="B133:C133"/>
    <mergeCell ref="B138:C138"/>
    <mergeCell ref="L2:N2"/>
    <mergeCell ref="O2:P2"/>
    <mergeCell ref="L3:N3"/>
    <mergeCell ref="A2:A4"/>
    <mergeCell ref="B137:C137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85" zoomScaleNormal="85" workbookViewId="0">
      <selection activeCell="I8" sqref="I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6" t="s">
        <v>88</v>
      </c>
      <c r="D3" s="177"/>
      <c r="E3" s="177"/>
      <c r="F3" s="177"/>
      <c r="G3" s="178"/>
      <c r="H3" s="180" t="s">
        <v>60</v>
      </c>
      <c r="I3" s="181"/>
      <c r="K3" s="182" t="s">
        <v>64</v>
      </c>
      <c r="L3" s="182"/>
      <c r="M3" s="182"/>
      <c r="N3" s="182"/>
      <c r="O3" s="182"/>
      <c r="P3" s="182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228</v>
      </c>
      <c r="E5" s="73">
        <v>288</v>
      </c>
      <c r="F5" s="73">
        <v>100</v>
      </c>
      <c r="G5" s="96">
        <f>SUM(D5:F5)</f>
        <v>616</v>
      </c>
      <c r="H5" s="89">
        <v>10000</v>
      </c>
      <c r="I5" s="90">
        <f>G5-H5</f>
        <v>-9384</v>
      </c>
      <c r="K5" s="141" t="s">
        <v>1</v>
      </c>
      <c r="L5" s="7">
        <v>70</v>
      </c>
      <c r="M5" s="5">
        <v>5914</v>
      </c>
      <c r="N5" s="6">
        <f t="shared" ref="N5:N11" si="0">M5/40</f>
        <v>147.85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9120</v>
      </c>
      <c r="E6" s="98">
        <f t="shared" ref="E6:F6" si="1">E5*40</f>
        <v>11520</v>
      </c>
      <c r="F6" s="98">
        <f t="shared" si="1"/>
        <v>4000</v>
      </c>
      <c r="G6" s="99">
        <f>SUM(D6:F6)</f>
        <v>24640</v>
      </c>
      <c r="H6" s="91">
        <f>H5*40</f>
        <v>400000</v>
      </c>
      <c r="I6" s="92">
        <f>G6-H6</f>
        <v>-375360</v>
      </c>
      <c r="K6" s="141" t="s">
        <v>2</v>
      </c>
      <c r="L6" s="7">
        <v>70</v>
      </c>
      <c r="M6" s="5">
        <v>3824</v>
      </c>
      <c r="N6" s="6">
        <f t="shared" si="0"/>
        <v>95.6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1272</v>
      </c>
      <c r="N7" s="6">
        <f t="shared" si="0"/>
        <v>31.8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6217</v>
      </c>
      <c r="N8" s="6">
        <f t="shared" si="0"/>
        <v>155.42500000000001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-228</v>
      </c>
      <c r="E9" s="100">
        <f>E8-E5</f>
        <v>-288</v>
      </c>
      <c r="K9" s="141" t="s">
        <v>5</v>
      </c>
      <c r="L9" s="7">
        <v>120</v>
      </c>
      <c r="M9" s="5">
        <v>7343</v>
      </c>
      <c r="N9" s="6">
        <f t="shared" si="0"/>
        <v>183.57499999999999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727</v>
      </c>
      <c r="N10" s="6">
        <f t="shared" si="0"/>
        <v>18.175000000000001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9" t="s">
        <v>57</v>
      </c>
      <c r="D11" s="179"/>
      <c r="F11" s="179" t="s">
        <v>66</v>
      </c>
      <c r="G11" s="179"/>
      <c r="K11" s="141" t="s">
        <v>7</v>
      </c>
      <c r="L11" s="7">
        <v>60</v>
      </c>
      <c r="M11" s="5">
        <v>8761</v>
      </c>
      <c r="N11" s="6">
        <f t="shared" si="0"/>
        <v>219.02500000000001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4816</v>
      </c>
      <c r="K12" s="141" t="s">
        <v>11</v>
      </c>
      <c r="L12" s="75"/>
      <c r="M12" s="8">
        <f>SUM(M5:M11)</f>
        <v>34058</v>
      </c>
      <c r="N12" s="9">
        <f>SUM(N5:N11)</f>
        <v>851.44999999999993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192640</v>
      </c>
      <c r="S13" s="174" t="s">
        <v>83</v>
      </c>
      <c r="T13" s="174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-5914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-3824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-1272</v>
      </c>
    </row>
    <row r="20" spans="4:15" ht="24" thickBot="1" x14ac:dyDescent="0.6">
      <c r="D20" s="175" t="s">
        <v>64</v>
      </c>
      <c r="E20" s="175"/>
      <c r="F20" s="175"/>
      <c r="G20" s="175"/>
      <c r="H20" s="175"/>
      <c r="K20" s="1" t="s">
        <v>4</v>
      </c>
      <c r="L20" s="110">
        <v>120</v>
      </c>
      <c r="M20" s="5"/>
      <c r="N20" s="5"/>
      <c r="O20" s="116">
        <f t="shared" si="4"/>
        <v>-6217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-7343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-727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-8761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-34058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-851.45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2026-09-08T08:14:44Z</dcterms:modified>
</cp:coreProperties>
</file>