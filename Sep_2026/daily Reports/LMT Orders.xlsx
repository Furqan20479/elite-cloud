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DE26C33-EC18-4DB3-8104-A77C895A4E84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<sst xmlns="http://schemas.openxmlformats.org/spreadsheetml/2006/main" count="340" uniqueCount="213">
  <si>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</si>
  <si>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</si>
  <si>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</si>
  <si>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</si>
  <si>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</si>
  <si>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</si>
  <si>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</si>
  <si>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</si>
  <si>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</si>
  <si>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</si>
  <si>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</si>
  <si>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</si>
  <si>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</si>
  <si>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</si>
  <si>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</si>
  <si>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</si>
  <si>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</si>
  <si>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</si>
  <si>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</si>
  <si>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</si>
  <si>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</si>
  <si>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</si>
  <si>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</si>
  <si>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</si>
  <si>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</si>
  <si>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</si>
  <si>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</si>
  <si>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</si>
  <si>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</si>
  <si>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</si>
  <si>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</si>
  <si>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</si>
  <si>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</si>
  <si>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</si>
  <si>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</si>
  <si>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</si>
  <si>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</si>
  <si>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</si>
  <si>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</si>
  <si>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</si>
  <si>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</si>
  <si>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</si>
  <si>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</si>
  <si>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</si>
  <si>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</si>
  <si>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</si>
  <si>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</si>
  <si>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</si>
  <si>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</si>
  <si>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</si>
  <si>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</si>
  <si>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</si>
  <si>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</si>
  <si>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</si>
  <si>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</si>
  <si>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</si>
  <si>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</si>
  <si>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</si>
  <si>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</si>
  <si>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</si>
  <si>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</si>
  <si>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</si>
  <si>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</si>
  <si>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</si>
  <si>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</si>
  <si>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</si>
  <si>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</si>
  <si>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</si>
  <si>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</si>
  <si>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</si>
  <si>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</si>
  <si>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</si>
  <si>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</si>
  <si>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</si>
  <si>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</si>
  <si>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</si>
  <si>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</si>
  <si>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</si>
  <si>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</si>
  <si>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</si>
  <si>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</si>
  <si>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</si>
  <si>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</si>
  <si>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</si>
  <si>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</si>
  <si>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</si>
  <si>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</si>
  <si>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</si>
  <si>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</si>
  <si>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</si>
  <si>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</si>
  <si>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</si>
  <si>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</si>
  <si>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</si>
  <si>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</si>
  <si>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</si>
  <si>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</si>
  <si>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</si>
  <si>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</si>
  <si>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</si>
  <si>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</si>
  <si>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</si>
  <si>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</si>
  <si>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</si>
  <si>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</si>
  <si>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</si>
  <si>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</si>
  <si>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</si>
  <si>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</si>
  <si>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</si>
  <si>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</si>
  <si>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</si>
  <si>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</si>
  <si>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</si>
  <si>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</si>
  <si>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</si>
  <si>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</si>
  <si>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</si>
  <si>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</si>
  <si>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</si>
  <si>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</si>
  <si>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</si>
  <si>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</si>
  <si>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</si>
  <si>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</si>
  <si>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</si>
  <si>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</si>
  <si>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</si>
  <si>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</si>
  <si>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</si>
  <si>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</si>
  <si>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</si>
  <si>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</si>
  <si>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</si>
  <si>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</si>
  <si>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</si>
  <si>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</si>
  <si>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</si>
  <si>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</si>
  <si>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</si>
  <si>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</si>
  <si>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</si>
  <si>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</si>
  <si>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</si>
  <si>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</si>
  <si>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</si>
  <si>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</si>
  <si>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</si>
  <si>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</si>
  <si>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</si>
  <si>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</si>
  <si>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</si>
  <si>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</si>
  <si>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</si>
  <si>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</si>
  <si>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</si>
  <si>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</si>
  <si>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</si>
  <si>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</si>
  <si>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</si>
  <si>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</si>
  <si>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</si>
  <si>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</si>
  <si>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</si>
  <si>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</si>
  <si>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</si>
  <si>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</si>
  <si>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</si>
  <si>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</si>
  <si>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</si>
  <si>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</si>
  <si>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</si>
  <si>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</si>
  <si>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</si>
  <si>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</si>
  <si>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</si>
  <si>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</si>
  <si>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</si>
  <si>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</si>
  <si>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</si>
  <si>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</si>
  <si>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</si>
  <si>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</si>
  <si>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</si>
  <si>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</si>
  <si>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</si>
  <si>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</si>
  <si>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</si>
  <si>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</si>
  <si>
    <t xml:space="preserve">Al Rehmat </t>
  </si>
  <si>
    <t xml:space="preserve">Easy Mart </t>
  </si>
  <si>
    <t xml:space="preserve">Chatri Chowk </t>
  </si>
  <si>
    <t xml:space="preserve">Sana Cash &amp; Carry </t>
  </si>
  <si>
    <t>Canal Avenue</t>
  </si>
  <si>
    <t>Shehwar Mega Mart</t>
  </si>
  <si>
    <t xml:space="preserve">Jublee Town </t>
  </si>
  <si>
    <t>Muredky</t>
  </si>
  <si>
    <t>Lutaf Mega Mart</t>
  </si>
  <si>
    <t xml:space="preserve">Ranger Head Quarter </t>
  </si>
  <si>
    <t>Umer Super Maket</t>
  </si>
  <si>
    <t xml:space="preserve">Induction </t>
  </si>
  <si>
    <t xml:space="preserve">Punjab Society </t>
  </si>
  <si>
    <t>Askari Departmental Store</t>
  </si>
  <si>
    <t xml:space="preserve">Naqshbandi </t>
  </si>
  <si>
    <t xml:space="preserve">Sweera </t>
  </si>
  <si>
    <t xml:space="preserve">MS Rubaika </t>
  </si>
  <si>
    <t xml:space="preserve">Valencia Cash &amp; Carry </t>
  </si>
  <si>
    <t xml:space="preserve">SS Departmenral Store Cario Mart </t>
  </si>
  <si>
    <t xml:space="preserve">Euro Behria </t>
  </si>
  <si>
    <t xml:space="preserve">Green Velly </t>
  </si>
  <si>
    <t>Cantt</t>
  </si>
  <si>
    <t>Euro Academy Road</t>
  </si>
  <si>
    <t>Academy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</si>
</sst>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92" zoomScaleNormal="100" workbookViewId="0">
      <selection activeCell="D108" sqref="D10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9">
        <f ca="1">TODAY()</f>
        <v>46293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1" t="s">
        <v>35</v>
      </c>
      <c r="B2" s="150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3"/>
      <c r="M2" s="164"/>
      <c r="N2" s="165"/>
      <c r="O2" s="166" t="s">
        <v>14</v>
      </c>
      <c r="P2" s="167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1"/>
      <c r="B3" s="151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8" t="s">
        <v>11</v>
      </c>
      <c r="M3" s="169"/>
      <c r="N3" s="170"/>
      <c r="O3" s="65"/>
      <c r="P3" s="66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71"/>
      <c r="B4" s="152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>
        <v>46284</v>
      </c>
      <c r="B73" s="41">
        <v>69</v>
      </c>
      <c r="C73" s="132" t="s">
        <v>105</v>
      </c>
      <c r="D73" s="132" t="s">
        <v>126</v>
      </c>
      <c r="E73" s="44"/>
      <c r="F73" s="69">
        <v>40</v>
      </c>
      <c r="G73" s="69">
        <v>39</v>
      </c>
      <c r="H73" s="131">
        <v>40</v>
      </c>
      <c r="I73" s="69">
        <v>40</v>
      </c>
      <c r="J73" s="69">
        <v>40</v>
      </c>
      <c r="K73" s="69">
        <v>40</v>
      </c>
      <c r="L73" s="122">
        <f t="shared" si="80"/>
        <v>5.9749999999999996</v>
      </c>
      <c r="M73" s="33">
        <v>15</v>
      </c>
      <c r="N73" s="43">
        <f t="shared" si="79"/>
        <v>9.2011000000000003</v>
      </c>
      <c r="O73" s="67">
        <f t="shared" si="73"/>
        <v>5.95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>
        <v>46284</v>
      </c>
      <c r="B74" s="41">
        <v>70</v>
      </c>
      <c r="C74" s="132" t="s">
        <v>183</v>
      </c>
      <c r="D74" s="132" t="s">
        <v>114</v>
      </c>
      <c r="E74" s="44"/>
      <c r="F74" s="69">
        <v>80</v>
      </c>
      <c r="G74" s="69">
        <v>120</v>
      </c>
      <c r="H74" s="131">
        <v>160</v>
      </c>
      <c r="I74" s="69">
        <v>160</v>
      </c>
      <c r="J74" s="69">
        <v>40</v>
      </c>
      <c r="K74" s="69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>
        <v>46284</v>
      </c>
      <c r="B75" s="41">
        <v>71</v>
      </c>
      <c r="C75" s="132" t="s">
        <v>183</v>
      </c>
      <c r="D75" s="132" t="s">
        <v>115</v>
      </c>
      <c r="E75" s="69"/>
      <c r="F75" s="69">
        <v>40</v>
      </c>
      <c r="G75" s="69">
        <v>40</v>
      </c>
      <c r="H75" s="131">
        <v>200</v>
      </c>
      <c r="I75" s="69">
        <v>80</v>
      </c>
      <c r="J75" s="69">
        <v>200</v>
      </c>
      <c r="K75" s="69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>
        <v>46284</v>
      </c>
      <c r="B76" s="41">
        <v>72</v>
      </c>
      <c r="C76" s="132" t="s">
        <v>183</v>
      </c>
      <c r="D76" s="132" t="s">
        <v>117</v>
      </c>
      <c r="E76" s="69"/>
      <c r="F76" s="69"/>
      <c r="G76" s="69">
        <v>40</v>
      </c>
      <c r="H76" s="131">
        <v>80</v>
      </c>
      <c r="I76" s="69">
        <v>40</v>
      </c>
      <c r="J76" s="69">
        <v>40</v>
      </c>
      <c r="K76" s="69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>
        <v>46284</v>
      </c>
      <c r="B77" s="41">
        <v>73</v>
      </c>
      <c r="C77" s="132" t="s">
        <v>183</v>
      </c>
      <c r="D77" s="132" t="s">
        <v>141</v>
      </c>
      <c r="E77" s="69"/>
      <c r="F77" s="69">
        <v>40</v>
      </c>
      <c r="G77" s="69"/>
      <c r="H77" s="131">
        <v>40</v>
      </c>
      <c r="I77" s="69">
        <v>40</v>
      </c>
      <c r="J77" s="69">
        <v>40</v>
      </c>
      <c r="K77" s="69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>
        <v>46284</v>
      </c>
      <c r="B78" s="41">
        <v>74</v>
      </c>
      <c r="C78" s="132" t="s">
        <v>183</v>
      </c>
      <c r="D78" s="132" t="s">
        <v>116</v>
      </c>
      <c r="E78" s="69"/>
      <c r="F78" s="69"/>
      <c r="G78" s="69"/>
      <c r="H78" s="131">
        <v>40</v>
      </c>
      <c r="I78" s="69"/>
      <c r="J78" s="69"/>
      <c r="K78" s="69">
        <v>40</v>
      </c>
      <c r="L78" s="122">
        <f t="shared" si="80"/>
        <v>2</v>
      </c>
      <c r="M78" s="33">
        <v>14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>
        <v>46284</v>
      </c>
      <c r="B79" s="41">
        <v>75</v>
      </c>
      <c r="C79" s="132" t="s">
        <v>186</v>
      </c>
      <c r="D79" s="132" t="s">
        <v>187</v>
      </c>
      <c r="E79" s="69"/>
      <c r="F79" s="69"/>
      <c r="G79" s="69">
        <v>40</v>
      </c>
      <c r="H79" s="131"/>
      <c r="I79" s="69"/>
      <c r="J79" s="69">
        <v>80</v>
      </c>
      <c r="K79" s="69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>
        <v>46284</v>
      </c>
      <c r="B80" s="41">
        <v>76</v>
      </c>
      <c r="C80" s="132" t="s">
        <v>188</v>
      </c>
      <c r="D80" s="132" t="s">
        <v>99</v>
      </c>
      <c r="E80" s="69"/>
      <c r="F80" s="69"/>
      <c r="G80" s="69">
        <v>80</v>
      </c>
      <c r="H80" s="131">
        <v>80</v>
      </c>
      <c r="I80" s="69">
        <v>40</v>
      </c>
      <c r="J80" s="69"/>
      <c r="K80" s="69">
        <v>80</v>
      </c>
      <c r="L80" s="122">
        <f t="shared" si="80"/>
        <v>7</v>
      </c>
      <c r="M80" s="33">
        <v>14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>
        <v>46286</v>
      </c>
      <c r="B81" s="41">
        <v>77</v>
      </c>
      <c r="C81" s="132" t="s">
        <v>189</v>
      </c>
      <c r="D81" s="132" t="s">
        <v>116</v>
      </c>
      <c r="E81" s="69"/>
      <c r="F81" s="69">
        <v>40</v>
      </c>
      <c r="G81" s="69"/>
      <c r="H81" s="131">
        <v>27</v>
      </c>
      <c r="I81" s="69"/>
      <c r="J81" s="69"/>
      <c r="K81" s="69">
        <v>40</v>
      </c>
      <c r="L81" s="122">
        <f t="shared" si="80"/>
        <v>2.6749999999999998</v>
      </c>
      <c r="M81" s="33">
        <v>10</v>
      </c>
      <c r="N81" s="43">
        <f t="shared" si="79"/>
        <v>9.2011000000000003</v>
      </c>
      <c r="O81" s="67">
        <f t="shared" si="82"/>
        <v>3.35</v>
      </c>
      <c r="P81" s="34">
        <f t="shared" si="83"/>
        <v>2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>
        <v>46286</v>
      </c>
      <c r="B82" s="41">
        <v>78</v>
      </c>
      <c r="C82" s="132" t="s">
        <v>190</v>
      </c>
      <c r="D82" s="132" t="s">
        <v>117</v>
      </c>
      <c r="E82" s="69"/>
      <c r="F82" s="69"/>
      <c r="G82" s="69"/>
      <c r="H82" s="131"/>
      <c r="I82" s="69">
        <v>120</v>
      </c>
      <c r="J82" s="69">
        <v>120</v>
      </c>
      <c r="K82" s="69">
        <v>120</v>
      </c>
      <c r="L82" s="122">
        <f t="shared" si="80"/>
        <v>9</v>
      </c>
      <c r="M82" s="33">
        <v>14</v>
      </c>
      <c r="N82" s="43">
        <f t="shared" si="79"/>
        <v>9.2011000000000003</v>
      </c>
      <c r="O82" s="67">
        <f t="shared" si="82"/>
        <v>0</v>
      </c>
      <c r="P82" s="34">
        <f t="shared" si="83"/>
        <v>18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>
        <v>46286</v>
      </c>
      <c r="B83" s="41">
        <v>79</v>
      </c>
      <c r="C83" s="132" t="s">
        <v>190</v>
      </c>
      <c r="D83" s="132" t="s">
        <v>117</v>
      </c>
      <c r="E83" s="69"/>
      <c r="F83" s="69"/>
      <c r="G83" s="69"/>
      <c r="H83" s="131"/>
      <c r="I83" s="69">
        <v>80</v>
      </c>
      <c r="J83" s="69">
        <v>80</v>
      </c>
      <c r="K83" s="69">
        <v>80</v>
      </c>
      <c r="L83" s="122">
        <f t="shared" si="80"/>
        <v>6</v>
      </c>
      <c r="M83" s="33">
        <v>14</v>
      </c>
      <c r="N83" s="43">
        <f t="shared" si="79"/>
        <v>9.2011000000000003</v>
      </c>
      <c r="O83" s="67">
        <f t="shared" si="82"/>
        <v>0</v>
      </c>
      <c r="P83" s="34">
        <f t="shared" si="83"/>
        <v>12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>
        <v>46286</v>
      </c>
      <c r="B84" s="41">
        <v>80</v>
      </c>
      <c r="C84" s="132" t="s">
        <v>105</v>
      </c>
      <c r="D84" s="132" t="s">
        <v>191</v>
      </c>
      <c r="E84" s="69"/>
      <c r="F84" s="69">
        <v>800</v>
      </c>
      <c r="G84" s="69">
        <v>800</v>
      </c>
      <c r="H84" s="131">
        <v>800</v>
      </c>
      <c r="I84" s="69">
        <v>800</v>
      </c>
      <c r="J84" s="69">
        <v>800</v>
      </c>
      <c r="K84" s="69">
        <v>800</v>
      </c>
      <c r="L84" s="122">
        <f t="shared" si="80"/>
        <v>120</v>
      </c>
      <c r="M84" s="33">
        <v>15</v>
      </c>
      <c r="N84" s="43">
        <f t="shared" si="79"/>
        <v>9.2011000000000003</v>
      </c>
      <c r="O84" s="67">
        <f t="shared" si="82"/>
        <v>120</v>
      </c>
      <c r="P84" s="34">
        <f t="shared" si="83"/>
        <v>120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>
        <v>46286</v>
      </c>
      <c r="B85" s="41">
        <v>81</v>
      </c>
      <c r="C85" s="132" t="s">
        <v>105</v>
      </c>
      <c r="D85" s="132" t="s">
        <v>117</v>
      </c>
      <c r="E85" s="69"/>
      <c r="F85" s="69">
        <v>80</v>
      </c>
      <c r="G85" s="69">
        <v>80</v>
      </c>
      <c r="H85" s="131">
        <v>200</v>
      </c>
      <c r="I85" s="69">
        <v>80</v>
      </c>
      <c r="J85" s="69">
        <v>80</v>
      </c>
      <c r="K85" s="69">
        <v>200</v>
      </c>
      <c r="L85" s="122">
        <f t="shared" si="80"/>
        <v>18</v>
      </c>
      <c r="M85" s="33">
        <v>15</v>
      </c>
      <c r="N85" s="43">
        <f t="shared" si="79"/>
        <v>9.2011000000000003</v>
      </c>
      <c r="O85" s="67">
        <f t="shared" ref="O85:O132" si="88">SUM(F85:H85)/20</f>
        <v>18</v>
      </c>
      <c r="P85" s="34">
        <f t="shared" ref="P85:P132" si="89">SUM(I85:K85)/20</f>
        <v>18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>
        <v>46286</v>
      </c>
      <c r="B86" s="41">
        <v>82</v>
      </c>
      <c r="C86" s="132" t="s">
        <v>192</v>
      </c>
      <c r="D86" s="132" t="s">
        <v>193</v>
      </c>
      <c r="E86" s="69"/>
      <c r="F86" s="69">
        <v>40</v>
      </c>
      <c r="G86" s="69">
        <v>40</v>
      </c>
      <c r="H86" s="131">
        <v>40</v>
      </c>
      <c r="I86" s="69">
        <v>40</v>
      </c>
      <c r="J86" s="69">
        <v>40</v>
      </c>
      <c r="K86" s="69">
        <v>40</v>
      </c>
      <c r="L86" s="122">
        <f t="shared" si="80"/>
        <v>6</v>
      </c>
      <c r="M86" s="33">
        <v>10</v>
      </c>
      <c r="N86" s="43">
        <f t="shared" si="79"/>
        <v>9.2011000000000003</v>
      </c>
      <c r="O86" s="67">
        <f t="shared" si="88"/>
        <v>6</v>
      </c>
      <c r="P86" s="34">
        <f t="shared" si="89"/>
        <v>6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>
        <v>46286</v>
      </c>
      <c r="B87" s="41">
        <v>83</v>
      </c>
      <c r="C87" s="132" t="s">
        <v>194</v>
      </c>
      <c r="D87" s="132" t="s">
        <v>195</v>
      </c>
      <c r="E87" s="69"/>
      <c r="F87" s="69">
        <v>120</v>
      </c>
      <c r="G87" s="69">
        <v>160</v>
      </c>
      <c r="H87" s="131">
        <v>240</v>
      </c>
      <c r="I87" s="69">
        <v>160</v>
      </c>
      <c r="J87" s="69">
        <v>120</v>
      </c>
      <c r="K87" s="69">
        <v>400</v>
      </c>
      <c r="L87" s="122">
        <f t="shared" si="80"/>
        <v>30</v>
      </c>
      <c r="M87" s="33">
        <v>10</v>
      </c>
      <c r="N87" s="43">
        <f t="shared" si="79"/>
        <v>9.2011000000000003</v>
      </c>
      <c r="O87" s="67">
        <f t="shared" si="88"/>
        <v>26</v>
      </c>
      <c r="P87" s="34">
        <f t="shared" si="89"/>
        <v>34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>
        <v>46286</v>
      </c>
      <c r="B88" s="41">
        <v>84</v>
      </c>
      <c r="C88" s="132" t="s">
        <v>62</v>
      </c>
      <c r="D88" s="132" t="s">
        <v>196</v>
      </c>
      <c r="E88" s="69"/>
      <c r="F88" s="69">
        <v>153</v>
      </c>
      <c r="G88" s="69">
        <v>117</v>
      </c>
      <c r="H88" s="131">
        <v>320</v>
      </c>
      <c r="I88" s="69">
        <v>137</v>
      </c>
      <c r="J88" s="69">
        <v>120</v>
      </c>
      <c r="K88" s="69">
        <v>320</v>
      </c>
      <c r="L88" s="122">
        <f t="shared" si="80"/>
        <v>29.175000000000001</v>
      </c>
      <c r="M88" s="33">
        <v>18</v>
      </c>
      <c r="N88" s="43">
        <f t="shared" si="79"/>
        <v>9.2011000000000003</v>
      </c>
      <c r="O88" s="67">
        <f t="shared" si="88"/>
        <v>29.5</v>
      </c>
      <c r="P88" s="34">
        <f t="shared" si="89"/>
        <v>28.85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>
        <v>46286</v>
      </c>
      <c r="B89" s="41">
        <v>85</v>
      </c>
      <c r="C89" s="132" t="s">
        <v>197</v>
      </c>
      <c r="D89" s="132" t="s">
        <v>198</v>
      </c>
      <c r="E89" s="69"/>
      <c r="F89" s="69">
        <v>80</v>
      </c>
      <c r="G89" s="69">
        <v>80</v>
      </c>
      <c r="H89" s="131">
        <v>80</v>
      </c>
      <c r="I89" s="69"/>
      <c r="J89" s="69"/>
      <c r="K89" s="69">
        <v>320</v>
      </c>
      <c r="L89" s="122">
        <f t="shared" si="80"/>
        <v>14</v>
      </c>
      <c r="M89" s="33">
        <v>10</v>
      </c>
      <c r="N89" s="43">
        <f t="shared" si="79"/>
        <v>9.2011000000000003</v>
      </c>
      <c r="O89" s="67">
        <f t="shared" si="88"/>
        <v>12</v>
      </c>
      <c r="P89" s="34">
        <f t="shared" si="89"/>
        <v>16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>
        <v>46286</v>
      </c>
      <c r="B90" s="41">
        <v>86</v>
      </c>
      <c r="C90" s="132" t="s">
        <v>199</v>
      </c>
      <c r="D90" s="132" t="s">
        <v>179</v>
      </c>
      <c r="E90" s="69"/>
      <c r="F90" s="69">
        <v>80</v>
      </c>
      <c r="G90" s="69">
        <v>80</v>
      </c>
      <c r="H90" s="131">
        <v>80</v>
      </c>
      <c r="I90" s="69">
        <v>80</v>
      </c>
      <c r="J90" s="69">
        <v>80</v>
      </c>
      <c r="K90" s="69">
        <v>80</v>
      </c>
      <c r="L90" s="122">
        <f t="shared" si="80"/>
        <v>12</v>
      </c>
      <c r="M90" s="148">
        <v>12.5</v>
      </c>
      <c r="N90" s="43">
        <f t="shared" si="79"/>
        <v>9.2011000000000003</v>
      </c>
      <c r="O90" s="67">
        <f t="shared" si="88"/>
        <v>12</v>
      </c>
      <c r="P90" s="34">
        <f t="shared" si="89"/>
        <v>12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>
        <v>46286</v>
      </c>
      <c r="B91" s="41">
        <v>87</v>
      </c>
      <c r="C91" s="132" t="s">
        <v>199</v>
      </c>
      <c r="D91" s="132" t="s">
        <v>200</v>
      </c>
      <c r="E91" s="69"/>
      <c r="F91" s="69">
        <v>40</v>
      </c>
      <c r="G91" s="69">
        <v>40</v>
      </c>
      <c r="H91" s="131">
        <v>40</v>
      </c>
      <c r="I91" s="69">
        <v>40</v>
      </c>
      <c r="J91" s="69">
        <v>40</v>
      </c>
      <c r="K91" s="69">
        <v>40</v>
      </c>
      <c r="L91" s="122">
        <f t="shared" si="80"/>
        <v>6</v>
      </c>
      <c r="M91" s="148">
        <v>12.5</v>
      </c>
      <c r="N91" s="43">
        <f t="shared" si="79"/>
        <v>9.2011000000000003</v>
      </c>
      <c r="O91" s="67">
        <f t="shared" si="88"/>
        <v>6</v>
      </c>
      <c r="P91" s="34">
        <f t="shared" si="89"/>
        <v>6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>
        <v>46286</v>
      </c>
      <c r="B92" s="41">
        <v>88</v>
      </c>
      <c r="C92" s="132" t="s">
        <v>199</v>
      </c>
      <c r="D92" s="132" t="s">
        <v>201</v>
      </c>
      <c r="E92" s="69"/>
      <c r="F92" s="69">
        <v>80</v>
      </c>
      <c r="G92" s="69">
        <v>80</v>
      </c>
      <c r="H92" s="131">
        <v>80</v>
      </c>
      <c r="I92" s="69">
        <v>80</v>
      </c>
      <c r="J92" s="69">
        <v>80</v>
      </c>
      <c r="K92" s="69">
        <v>80</v>
      </c>
      <c r="L92" s="122">
        <f t="shared" si="80"/>
        <v>12</v>
      </c>
      <c r="M92" s="148">
        <v>12.5</v>
      </c>
      <c r="N92" s="43">
        <f t="shared" si="79"/>
        <v>9.2011000000000003</v>
      </c>
      <c r="O92" s="67">
        <f t="shared" si="88"/>
        <v>12</v>
      </c>
      <c r="P92" s="34">
        <f t="shared" si="89"/>
        <v>12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>
        <v>46286</v>
      </c>
      <c r="B93" s="41">
        <v>89</v>
      </c>
      <c r="C93" s="132" t="s">
        <v>199</v>
      </c>
      <c r="D93" s="132" t="s">
        <v>200</v>
      </c>
      <c r="E93" s="69"/>
      <c r="F93" s="69">
        <v>40</v>
      </c>
      <c r="G93" s="69">
        <v>40</v>
      </c>
      <c r="H93" s="131">
        <v>40</v>
      </c>
      <c r="I93" s="69">
        <v>40</v>
      </c>
      <c r="J93" s="69">
        <v>40</v>
      </c>
      <c r="K93" s="69">
        <v>40</v>
      </c>
      <c r="L93" s="122">
        <f t="shared" si="80"/>
        <v>6</v>
      </c>
      <c r="M93" s="148">
        <v>12.5</v>
      </c>
      <c r="N93" s="43">
        <f t="shared" si="79"/>
        <v>9.2011000000000003</v>
      </c>
      <c r="O93" s="67">
        <f t="shared" si="88"/>
        <v>6</v>
      </c>
      <c r="P93" s="34">
        <f t="shared" si="89"/>
        <v>6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>
        <v>46288</v>
      </c>
      <c r="B94" s="41">
        <v>90</v>
      </c>
      <c r="C94" s="132" t="s">
        <v>202</v>
      </c>
      <c r="D94" s="132" t="s">
        <v>201</v>
      </c>
      <c r="E94" s="69"/>
      <c r="F94" s="69"/>
      <c r="G94" s="69"/>
      <c r="H94" s="131">
        <v>80</v>
      </c>
      <c r="I94" s="69">
        <v>80</v>
      </c>
      <c r="J94" s="69">
        <v>80</v>
      </c>
      <c r="K94" s="69">
        <v>120</v>
      </c>
      <c r="L94" s="122">
        <f t="shared" si="80"/>
        <v>9</v>
      </c>
      <c r="M94" s="33">
        <v>12</v>
      </c>
      <c r="N94" s="43">
        <f t="shared" si="79"/>
        <v>9.2011000000000003</v>
      </c>
      <c r="O94" s="67">
        <f t="shared" si="88"/>
        <v>4</v>
      </c>
      <c r="P94" s="34">
        <f t="shared" si="89"/>
        <v>14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>
        <v>46288</v>
      </c>
      <c r="B95" s="41">
        <v>91</v>
      </c>
      <c r="C95" s="132" t="s">
        <v>203</v>
      </c>
      <c r="D95" s="132" t="s">
        <v>104</v>
      </c>
      <c r="E95" s="69"/>
      <c r="F95" s="69">
        <v>80</v>
      </c>
      <c r="G95" s="69">
        <v>80</v>
      </c>
      <c r="H95" s="131">
        <v>80</v>
      </c>
      <c r="I95" s="69">
        <v>80</v>
      </c>
      <c r="J95" s="69">
        <v>80</v>
      </c>
      <c r="K95" s="69">
        <v>80</v>
      </c>
      <c r="L95" s="122">
        <f t="shared" si="80"/>
        <v>12</v>
      </c>
      <c r="M95" s="33">
        <v>14</v>
      </c>
      <c r="N95" s="43">
        <f t="shared" si="79"/>
        <v>9.2011000000000003</v>
      </c>
      <c r="O95" s="67">
        <f t="shared" si="88"/>
        <v>12</v>
      </c>
      <c r="P95" s="34">
        <f t="shared" si="89"/>
        <v>12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>
        <v>46288</v>
      </c>
      <c r="B96" s="41">
        <v>92</v>
      </c>
      <c r="C96" s="132" t="s">
        <v>136</v>
      </c>
      <c r="D96" s="132" t="s">
        <v>114</v>
      </c>
      <c r="E96" s="69"/>
      <c r="F96" s="69">
        <v>80</v>
      </c>
      <c r="G96" s="69">
        <v>80</v>
      </c>
      <c r="H96" s="131">
        <v>40</v>
      </c>
      <c r="I96" s="69">
        <v>200</v>
      </c>
      <c r="J96" s="69">
        <v>80</v>
      </c>
      <c r="K96" s="69">
        <v>200</v>
      </c>
      <c r="L96" s="122">
        <f t="shared" si="80"/>
        <v>17</v>
      </c>
      <c r="M96" s="33">
        <v>14</v>
      </c>
      <c r="N96" s="43">
        <f t="shared" si="79"/>
        <v>9.2011000000000003</v>
      </c>
      <c r="O96" s="67">
        <f t="shared" si="88"/>
        <v>10</v>
      </c>
      <c r="P96" s="34">
        <f t="shared" si="89"/>
        <v>24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>
        <v>46288</v>
      </c>
      <c r="B97" s="41">
        <v>93</v>
      </c>
      <c r="C97" s="132" t="s">
        <v>204</v>
      </c>
      <c r="D97" s="132" t="s">
        <v>201</v>
      </c>
      <c r="E97" s="69"/>
      <c r="F97" s="69">
        <v>120</v>
      </c>
      <c r="G97" s="69">
        <v>200</v>
      </c>
      <c r="H97" s="131">
        <v>200</v>
      </c>
      <c r="I97" s="69">
        <v>160</v>
      </c>
      <c r="J97" s="69">
        <v>200</v>
      </c>
      <c r="K97" s="69">
        <v>200</v>
      </c>
      <c r="L97" s="122">
        <f t="shared" si="80"/>
        <v>27</v>
      </c>
      <c r="M97" s="33">
        <v>12</v>
      </c>
      <c r="N97" s="43">
        <f t="shared" si="79"/>
        <v>9.2011000000000003</v>
      </c>
      <c r="O97" s="67">
        <f t="shared" si="88"/>
        <v>26</v>
      </c>
      <c r="P97" s="34">
        <f t="shared" si="89"/>
        <v>28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>
        <v>46289</v>
      </c>
      <c r="B98" s="41">
        <v>94</v>
      </c>
      <c r="C98" s="132" t="s">
        <v>205</v>
      </c>
      <c r="D98" s="132" t="s">
        <v>130</v>
      </c>
      <c r="E98" s="69"/>
      <c r="F98" s="69">
        <v>80</v>
      </c>
      <c r="G98" s="69">
        <v>80</v>
      </c>
      <c r="H98" s="131">
        <v>40</v>
      </c>
      <c r="I98" s="69">
        <v>80</v>
      </c>
      <c r="J98" s="69">
        <v>80</v>
      </c>
      <c r="K98" s="69">
        <v>80</v>
      </c>
      <c r="L98" s="122">
        <f t="shared" si="80"/>
        <v>11</v>
      </c>
      <c r="M98" s="33">
        <v>10</v>
      </c>
      <c r="N98" s="43">
        <f t="shared" ref="N98:N133" si="96">SUMPRODUCT($E$3:$K$3,$E$6:$K$6)/1000</f>
        <v>9.2011000000000003</v>
      </c>
      <c r="O98" s="67">
        <f t="shared" si="88"/>
        <v>10</v>
      </c>
      <c r="P98" s="34">
        <f t="shared" si="89"/>
        <v>12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>
        <v>46289</v>
      </c>
      <c r="B99" s="41">
        <v>95</v>
      </c>
      <c r="C99" s="132" t="s">
        <v>206</v>
      </c>
      <c r="D99" s="132" t="s">
        <v>130</v>
      </c>
      <c r="E99" s="69"/>
      <c r="F99" s="69">
        <v>40</v>
      </c>
      <c r="G99" s="69">
        <v>40</v>
      </c>
      <c r="H99" s="131">
        <v>80</v>
      </c>
      <c r="I99" s="69">
        <v>40</v>
      </c>
      <c r="J99" s="69">
        <v>40</v>
      </c>
      <c r="K99" s="69">
        <v>80</v>
      </c>
      <c r="L99" s="122">
        <f t="shared" si="80"/>
        <v>8</v>
      </c>
      <c r="M99" s="33">
        <v>10</v>
      </c>
      <c r="N99" s="43">
        <f t="shared" si="96"/>
        <v>9.2011000000000003</v>
      </c>
      <c r="O99" s="67">
        <f t="shared" si="88"/>
        <v>8</v>
      </c>
      <c r="P99" s="34">
        <f t="shared" si="89"/>
        <v>8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>
        <v>46289</v>
      </c>
      <c r="B100" s="41">
        <v>96</v>
      </c>
      <c r="C100" s="132" t="s">
        <v>128</v>
      </c>
      <c r="D100" s="132" t="s">
        <v>129</v>
      </c>
      <c r="E100" s="69"/>
      <c r="F100" s="69"/>
      <c r="G100" s="69"/>
      <c r="H100" s="131">
        <v>400</v>
      </c>
      <c r="I100" s="69"/>
      <c r="J100" s="69">
        <v>800</v>
      </c>
      <c r="K100" s="69">
        <v>400</v>
      </c>
      <c r="L100" s="122">
        <f t="shared" si="80"/>
        <v>40</v>
      </c>
      <c r="M100" s="33">
        <v>18</v>
      </c>
      <c r="N100" s="43">
        <f t="shared" si="96"/>
        <v>9.2011000000000003</v>
      </c>
      <c r="O100" s="67">
        <f t="shared" si="88"/>
        <v>20</v>
      </c>
      <c r="P100" s="34">
        <f t="shared" si="89"/>
        <v>60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>
        <v>46290</v>
      </c>
      <c r="B101" s="41">
        <v>97</v>
      </c>
      <c r="C101" s="132" t="s">
        <v>207</v>
      </c>
      <c r="D101" s="132" t="s">
        <v>99</v>
      </c>
      <c r="E101" s="69"/>
      <c r="F101" s="69"/>
      <c r="G101" s="69"/>
      <c r="H101" s="131"/>
      <c r="I101" s="69">
        <v>80</v>
      </c>
      <c r="J101" s="69">
        <v>80</v>
      </c>
      <c r="K101" s="69">
        <v>120</v>
      </c>
      <c r="L101" s="122">
        <f t="shared" ref="L101:L132" si="97">SUM(E101:K101)/40</f>
        <v>7</v>
      </c>
      <c r="M101" s="33">
        <v>12</v>
      </c>
      <c r="N101" s="43">
        <f t="shared" si="96"/>
        <v>9.2011000000000003</v>
      </c>
      <c r="O101" s="67">
        <f t="shared" si="88"/>
        <v>0</v>
      </c>
      <c r="P101" s="34">
        <f t="shared" si="89"/>
        <v>14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>
        <v>46290</v>
      </c>
      <c r="B102" s="41">
        <v>98</v>
      </c>
      <c r="C102" s="132" t="s">
        <v>103</v>
      </c>
      <c r="D102" s="132" t="s">
        <v>104</v>
      </c>
      <c r="E102" s="69"/>
      <c r="F102" s="69">
        <v>40</v>
      </c>
      <c r="G102" s="69">
        <v>80</v>
      </c>
      <c r="H102" s="131">
        <v>120</v>
      </c>
      <c r="I102" s="69">
        <v>120</v>
      </c>
      <c r="J102" s="69">
        <v>120</v>
      </c>
      <c r="K102" s="69">
        <v>240</v>
      </c>
      <c r="L102" s="122">
        <f t="shared" si="97"/>
        <v>18</v>
      </c>
      <c r="M102" s="33">
        <v>8</v>
      </c>
      <c r="N102" s="43">
        <f t="shared" si="96"/>
        <v>9.2011000000000003</v>
      </c>
      <c r="O102" s="67">
        <f t="shared" si="88"/>
        <v>12</v>
      </c>
      <c r="P102" s="34">
        <f t="shared" si="89"/>
        <v>24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>
        <v>46290</v>
      </c>
      <c r="B103" s="41">
        <v>99</v>
      </c>
      <c r="C103" s="132" t="s">
        <v>155</v>
      </c>
      <c r="D103" s="132" t="s">
        <v>179</v>
      </c>
      <c r="E103" s="69"/>
      <c r="F103" s="69"/>
      <c r="G103" s="69"/>
      <c r="H103" s="131"/>
      <c r="I103" s="69">
        <v>80</v>
      </c>
      <c r="J103" s="69">
        <v>80</v>
      </c>
      <c r="K103" s="69">
        <v>80</v>
      </c>
      <c r="L103" s="122">
        <f t="shared" si="97"/>
        <v>6</v>
      </c>
      <c r="M103" s="33">
        <v>12</v>
      </c>
      <c r="N103" s="43">
        <f t="shared" si="96"/>
        <v>9.2011000000000003</v>
      </c>
      <c r="O103" s="67">
        <f t="shared" si="88"/>
        <v>0</v>
      </c>
      <c r="P103" s="34">
        <f t="shared" si="89"/>
        <v>12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>
        <v>46290</v>
      </c>
      <c r="B104" s="41">
        <v>100</v>
      </c>
      <c r="C104" s="132" t="s">
        <v>208</v>
      </c>
      <c r="D104" s="132" t="s">
        <v>117</v>
      </c>
      <c r="E104" s="69"/>
      <c r="F104" s="69">
        <v>400</v>
      </c>
      <c r="G104" s="69">
        <v>400</v>
      </c>
      <c r="H104" s="131">
        <v>400</v>
      </c>
      <c r="I104" s="69">
        <v>400</v>
      </c>
      <c r="J104" s="69">
        <v>400</v>
      </c>
      <c r="K104" s="69">
        <v>400</v>
      </c>
      <c r="L104" s="122">
        <f t="shared" si="97"/>
        <v>60</v>
      </c>
      <c r="M104" s="33">
        <v>14</v>
      </c>
      <c r="N104" s="43">
        <f t="shared" si="96"/>
        <v>9.2011000000000003</v>
      </c>
      <c r="O104" s="67">
        <f t="shared" si="88"/>
        <v>60</v>
      </c>
      <c r="P104" s="34">
        <f t="shared" si="89"/>
        <v>60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>
        <v>46290</v>
      </c>
      <c r="B105" s="41">
        <v>101</v>
      </c>
      <c r="C105" s="132" t="s">
        <v>209</v>
      </c>
      <c r="D105" s="132" t="s">
        <v>210</v>
      </c>
      <c r="E105" s="69"/>
      <c r="F105" s="69">
        <v>120</v>
      </c>
      <c r="G105" s="69">
        <v>120</v>
      </c>
      <c r="H105" s="131">
        <v>120</v>
      </c>
      <c r="I105" s="69">
        <v>80</v>
      </c>
      <c r="J105" s="69">
        <v>80</v>
      </c>
      <c r="K105" s="69">
        <v>80</v>
      </c>
      <c r="L105" s="122">
        <f t="shared" si="97"/>
        <v>15</v>
      </c>
      <c r="M105" s="33">
        <v>10</v>
      </c>
      <c r="N105" s="43">
        <f t="shared" si="96"/>
        <v>9.2011000000000003</v>
      </c>
      <c r="O105" s="67">
        <f t="shared" si="88"/>
        <v>18</v>
      </c>
      <c r="P105" s="34">
        <f t="shared" si="89"/>
        <v>12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143">
        <v>46291</v>
      </c>
      <c r="B106" s="144">
        <v>102</v>
      </c>
      <c r="C106" s="146" t="s">
        <v>211</v>
      </c>
      <c r="D106" s="146" t="s">
        <v>212</v>
      </c>
      <c r="E106" s="145"/>
      <c r="F106" s="145">
        <v>40</v>
      </c>
      <c r="G106" s="145">
        <v>40</v>
      </c>
      <c r="H106" s="147">
        <v>40</v>
      </c>
      <c r="I106" s="145">
        <v>40</v>
      </c>
      <c r="J106" s="145">
        <v>40</v>
      </c>
      <c r="K106" s="145">
        <v>40</v>
      </c>
      <c r="L106" s="122">
        <f t="shared" si="97"/>
        <v>6</v>
      </c>
      <c r="M106" s="33">
        <v>14</v>
      </c>
      <c r="N106" s="43">
        <f t="shared" si="96"/>
        <v>9.2011000000000003</v>
      </c>
      <c r="O106" s="67">
        <f t="shared" si="88"/>
        <v>6</v>
      </c>
      <c r="P106" s="34">
        <f t="shared" si="89"/>
        <v>6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32"/>
      <c r="D107" s="132"/>
      <c r="E107" s="69"/>
      <c r="F107" s="69"/>
      <c r="G107" s="69"/>
      <c r="H107" s="131"/>
      <c r="I107" s="69"/>
      <c r="J107" s="69"/>
      <c r="K107" s="69"/>
      <c r="L107" s="122">
        <f t="shared" si="97"/>
        <v>0</v>
      </c>
      <c r="M107" s="33">
        <f t="shared" ref="M107:M133" si="98">SUMPRODUCT($E$4:$K$4,$E$6:$K$6)</f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32"/>
      <c r="D108" s="132"/>
      <c r="E108" s="69"/>
      <c r="F108" s="69"/>
      <c r="G108" s="69"/>
      <c r="H108" s="131"/>
      <c r="I108" s="69"/>
      <c r="J108" s="69"/>
      <c r="K108" s="69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32"/>
      <c r="D109" s="132"/>
      <c r="E109" s="69"/>
      <c r="F109" s="69"/>
      <c r="G109" s="69"/>
      <c r="H109" s="131"/>
      <c r="I109" s="69"/>
      <c r="J109" s="69"/>
      <c r="K109" s="69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32"/>
      <c r="D110" s="132"/>
      <c r="E110" s="69"/>
      <c r="F110" s="69"/>
      <c r="G110" s="69"/>
      <c r="H110" s="131"/>
      <c r="I110" s="69"/>
      <c r="J110" s="69"/>
      <c r="K110" s="69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59" t="s">
        <v>11</v>
      </c>
      <c r="C133" s="160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72" t="s">
        <v>68</v>
      </c>
      <c r="C137" s="173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61" t="s">
        <v>11</v>
      </c>
      <c r="C138" s="162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1379</v>
      </c>
      <c r="N138" s="55">
        <f t="shared" ref="N138:X138" si="109">SUM(N5:N137)</f>
        <v>947.71329999999978</v>
      </c>
      <c r="O138" s="56">
        <f t="shared" si="109"/>
        <v>1950.3000000000002</v>
      </c>
      <c r="P138" s="58">
        <f t="shared" si="109"/>
        <v>2923.95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G6" zoomScale="115" zoomScaleNormal="115" workbookViewId="0">
      <selection activeCell="I9" sqref="I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884</v>
      </c>
      <c r="E5" s="73">
        <v>1660</v>
      </c>
      <c r="F5" s="73">
        <v>100</v>
      </c>
      <c r="G5" s="96">
        <f>SUM(D5:F5)</f>
        <v>2644</v>
      </c>
      <c r="H5" s="89">
        <v>10000</v>
      </c>
      <c r="I5" s="90">
        <f>G5-H5</f>
        <v>-7356</v>
      </c>
      <c r="K5" s="141" t="s">
        <v>1</v>
      </c>
      <c r="L5" s="7">
        <v>70</v>
      </c>
      <c r="M5" s="5">
        <v>12171</v>
      </c>
      <c r="N5" s="6">
        <f t="shared" ref="N5:N11" si="0">M5/40</f>
        <v>304.27499999999998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35360</v>
      </c>
      <c r="E6" s="98">
        <f t="shared" ref="E6:F6" si="1">E5*40</f>
        <v>66400</v>
      </c>
      <c r="F6" s="98">
        <f t="shared" si="1"/>
        <v>4000</v>
      </c>
      <c r="G6" s="99">
        <f>SUM(D6:F6)</f>
        <v>105760</v>
      </c>
      <c r="H6" s="91">
        <f>H5*40</f>
        <v>400000</v>
      </c>
      <c r="I6" s="92">
        <f>G6-H6</f>
        <v>-294240</v>
      </c>
      <c r="K6" s="141" t="s">
        <v>2</v>
      </c>
      <c r="L6" s="7">
        <v>70</v>
      </c>
      <c r="M6" s="5">
        <v>12154</v>
      </c>
      <c r="N6" s="6">
        <f t="shared" si="0"/>
        <v>303.85000000000002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9169</v>
      </c>
      <c r="N7" s="6">
        <f t="shared" si="0"/>
        <v>229.22499999999999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8692</v>
      </c>
      <c r="N8" s="6">
        <f t="shared" si="0"/>
        <v>217.3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-884</v>
      </c>
      <c r="E9" s="100">
        <f>E8-E5</f>
        <v>-1660</v>
      </c>
      <c r="K9" s="141" t="s">
        <v>5</v>
      </c>
      <c r="L9" s="7">
        <v>120</v>
      </c>
      <c r="M9" s="5">
        <v>5183</v>
      </c>
      <c r="N9" s="6">
        <f t="shared" si="0"/>
        <v>129.57499999999999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9154</v>
      </c>
      <c r="N10" s="6">
        <f t="shared" si="0"/>
        <v>228.85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6844</v>
      </c>
      <c r="K12" s="141" t="s">
        <v>11</v>
      </c>
      <c r="L12" s="75"/>
      <c r="M12" s="8">
        <f>SUM(M5:M11)</f>
        <v>56523</v>
      </c>
      <c r="N12" s="9">
        <f>SUM(N5:N11)</f>
        <v>1413.075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273760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-12171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-12154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-9169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-8692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-5183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-9154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-56523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-1413.075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2026-09-28T08:28:16Z</dcterms:modified>
</cp:coreProperties>
</file>