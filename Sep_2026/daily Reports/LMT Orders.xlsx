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92485F03-FD78-46D1-A0DC-4E75B010EB43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M35" i="2" l="1"/>
  <c r="N35" i="2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M47" i="2" l="1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M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M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M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M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M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M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M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M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M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M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M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M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<sst xmlns="http://schemas.openxmlformats.org/spreadsheetml/2006/main" count="196" uniqueCount="135">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</sst>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/>
    <xf numFmtId="0" fontId="5" fillId="3" borderId="32" xfId="0" applyFont="1" applyFill="1" applyBorder="1"/>
    <xf numFmtId="0" fontId="5" fillId="3" borderId="1" xfId="0" applyFont="1" applyFill="1" applyBorder="1"/>
    <xf numFmtId="0" fontId="5" fillId="3" borderId="31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/>
    <xf numFmtId="0" fontId="5" fillId="0" borderId="32" xfId="0" applyFont="1" applyFill="1" applyBorder="1"/>
    <xf numFmtId="0" fontId="5" fillId="0" borderId="1" xfId="0" applyFont="1" applyFill="1" applyBorder="1"/>
    <xf numFmtId="0" fontId="5" fillId="0" borderId="31" xfId="0" applyFont="1" applyFill="1" applyBorder="1" applyAlignment="1">
      <alignment horizontal="center"/>
    </xf>
    <xf numFmtId="0" fontId="5" fillId="0" borderId="31" xfId="0" applyFont="1" applyFill="1" applyBorder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16" zoomScaleNormal="100" workbookViewId="0">
      <selection activeCell="E25" sqref="E25"/>
    </sheetView>
  </sheetViews>
  <sheetFormatPr defaultRowHeight="14.5" x14ac:dyDescent="0.35"/>
  <cols>
    <col min="1" max="1" width="6.453125" bestFit="1" customWidth="1"/>
    <col min="3" max="3" width="15.08984375" bestFit="1" customWidth="1"/>
    <col min="4" max="4" width="12" bestFit="1" customWidth="1"/>
    <col min="5" max="5" width="17.7265625" bestFit="1" customWidth="1"/>
  </cols>
  <sheetData>
    <row r="1" spans="1:24" ht="15" thickBot="1" x14ac:dyDescent="0.4">
      <c r="B1" s="149">
        <f ca="1">TODAY()</f>
        <v>46276</v>
      </c>
      <c r="C1" s="149"/>
      <c r="D1" s="149"/>
      <c r="E1" s="14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1" t="s">
        <v>35</v>
      </c>
      <c r="B2" s="150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3"/>
      <c r="M2" s="164"/>
      <c r="N2" s="165"/>
      <c r="O2" s="166" t="s">
        <v>14</v>
      </c>
      <c r="P2" s="167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1"/>
      <c r="B3" s="151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8" t="s">
        <v>11</v>
      </c>
      <c r="M3" s="169"/>
      <c r="N3" s="170"/>
      <c r="O3" s="65"/>
      <c r="P3" s="66"/>
      <c r="Q3" s="153" t="s">
        <v>16</v>
      </c>
      <c r="R3" s="154"/>
      <c r="S3" s="154"/>
      <c r="T3" s="155"/>
      <c r="U3" s="156" t="s">
        <v>17</v>
      </c>
      <c r="V3" s="157"/>
      <c r="W3" s="157"/>
      <c r="X3" s="158"/>
    </row>
    <row r="4" spans="1:24" ht="15" thickBot="1" x14ac:dyDescent="0.4">
      <c r="A4" s="171"/>
      <c r="B4" s="152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38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183">
        <v>46274</v>
      </c>
      <c r="B27" s="184">
        <v>23</v>
      </c>
      <c r="C27" s="185" t="s">
        <v>105</v>
      </c>
      <c r="D27" s="185" t="s">
        <v>126</v>
      </c>
      <c r="E27" s="186"/>
      <c r="F27" s="186">
        <v>80</v>
      </c>
      <c r="G27" s="187">
        <v>80</v>
      </c>
      <c r="H27" s="188">
        <v>120</v>
      </c>
      <c r="I27" s="186">
        <v>120</v>
      </c>
      <c r="J27" s="187">
        <v>120</v>
      </c>
      <c r="K27" s="189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183">
        <v>46274</v>
      </c>
      <c r="B28" s="184">
        <v>24</v>
      </c>
      <c r="C28" s="185" t="s">
        <v>127</v>
      </c>
      <c r="D28" s="185"/>
      <c r="E28" s="186"/>
      <c r="F28" s="186">
        <v>60</v>
      </c>
      <c r="G28" s="187">
        <v>50</v>
      </c>
      <c r="H28" s="188">
        <v>50</v>
      </c>
      <c r="I28" s="186"/>
      <c r="J28" s="187"/>
      <c r="K28" s="189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183">
        <v>46274</v>
      </c>
      <c r="B29" s="184">
        <v>25</v>
      </c>
      <c r="C29" s="185" t="s">
        <v>128</v>
      </c>
      <c r="D29" s="185" t="s">
        <v>129</v>
      </c>
      <c r="E29" s="186"/>
      <c r="F29" s="186">
        <v>400</v>
      </c>
      <c r="G29" s="187">
        <v>600</v>
      </c>
      <c r="H29" s="188">
        <v>1200</v>
      </c>
      <c r="I29" s="186">
        <v>600</v>
      </c>
      <c r="J29" s="187">
        <v>1200</v>
      </c>
      <c r="K29" s="189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143">
        <v>46275</v>
      </c>
      <c r="B30" s="144">
        <v>26</v>
      </c>
      <c r="C30" s="145" t="s">
        <v>131</v>
      </c>
      <c r="D30" s="145" t="s">
        <v>130</v>
      </c>
      <c r="E30" s="146"/>
      <c r="F30" s="146">
        <v>20</v>
      </c>
      <c r="G30" s="147">
        <v>40</v>
      </c>
      <c r="H30" s="50">
        <v>40</v>
      </c>
      <c r="I30" s="146">
        <v>20</v>
      </c>
      <c r="J30" s="147">
        <v>40</v>
      </c>
      <c r="K30" s="148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143">
        <v>46275</v>
      </c>
      <c r="B31" s="144">
        <v>27</v>
      </c>
      <c r="C31" s="145" t="s">
        <v>105</v>
      </c>
      <c r="D31" s="145" t="s">
        <v>132</v>
      </c>
      <c r="E31" s="146"/>
      <c r="F31" s="146"/>
      <c r="G31" s="147"/>
      <c r="H31" s="50"/>
      <c r="I31" s="146">
        <v>80</v>
      </c>
      <c r="J31" s="147">
        <v>40</v>
      </c>
      <c r="K31" s="148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143">
        <v>46275</v>
      </c>
      <c r="B32" s="144">
        <v>28</v>
      </c>
      <c r="C32" s="145" t="s">
        <v>105</v>
      </c>
      <c r="D32" s="145" t="s">
        <v>133</v>
      </c>
      <c r="E32" s="146"/>
      <c r="F32" s="146">
        <v>80</v>
      </c>
      <c r="G32" s="147">
        <v>40</v>
      </c>
      <c r="H32" s="50">
        <v>80</v>
      </c>
      <c r="I32" s="146">
        <v>40</v>
      </c>
      <c r="J32" s="147">
        <v>40</v>
      </c>
      <c r="K32" s="148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143">
        <v>46275</v>
      </c>
      <c r="B33" s="144">
        <v>29</v>
      </c>
      <c r="C33" s="145" t="s">
        <v>134</v>
      </c>
      <c r="D33" s="145" t="s">
        <v>114</v>
      </c>
      <c r="E33" s="146"/>
      <c r="F33" s="146"/>
      <c r="G33" s="147"/>
      <c r="H33" s="50">
        <v>80</v>
      </c>
      <c r="I33" s="146"/>
      <c r="J33" s="147"/>
      <c r="K33" s="148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/>
      <c r="B34" s="41">
        <v>30</v>
      </c>
      <c r="C34" s="140"/>
      <c r="D34" s="140"/>
      <c r="E34" s="44"/>
      <c r="F34" s="44"/>
      <c r="G34" s="69"/>
      <c r="H34" s="43"/>
      <c r="I34" s="44"/>
      <c r="J34" s="69"/>
      <c r="K34" s="70"/>
      <c r="L34" s="42">
        <f t="shared" si="0"/>
        <v>0</v>
      </c>
      <c r="M34" s="33">
        <f t="shared" si="15"/>
        <v>0</v>
      </c>
      <c r="N34" s="43">
        <f t="shared" ref="N34:N65" si="53">SUMPRODUCT($E$3:$K$3,$E$6:$K$6)/1000</f>
        <v>9.2011000000000003</v>
      </c>
      <c r="O34" s="67">
        <f t="shared" ref="O34:O47" si="54">SUM(F34:H34)/20</f>
        <v>0</v>
      </c>
      <c r="P34" s="34">
        <f t="shared" ref="P34:P47" si="55">SUM(I34:K34)/20</f>
        <v>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/>
      <c r="B35" s="41">
        <v>31</v>
      </c>
      <c r="C35" s="140"/>
      <c r="D35" s="140"/>
      <c r="E35" s="44"/>
      <c r="F35" s="44"/>
      <c r="G35" s="69"/>
      <c r="H35" s="43"/>
      <c r="I35" s="44"/>
      <c r="J35" s="69"/>
      <c r="K35" s="70"/>
      <c r="L35" s="42">
        <f t="shared" si="0"/>
        <v>0</v>
      </c>
      <c r="M35" s="33">
        <f t="shared" si="15"/>
        <v>0</v>
      </c>
      <c r="N35" s="43">
        <f t="shared" si="53"/>
        <v>9.2011000000000003</v>
      </c>
      <c r="O35" s="67">
        <f t="shared" ref="O35" si="60">SUM(F35:H35)/20</f>
        <v>0</v>
      </c>
      <c r="P35" s="34">
        <f t="shared" ref="P35" si="61">SUM(I35:K35)/20</f>
        <v>0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/>
      <c r="B36" s="41">
        <v>32</v>
      </c>
      <c r="C36" s="140"/>
      <c r="D36" s="140"/>
      <c r="E36" s="44"/>
      <c r="F36" s="44"/>
      <c r="G36" s="69"/>
      <c r="H36" s="43"/>
      <c r="I36" s="44"/>
      <c r="J36" s="69"/>
      <c r="K36" s="70"/>
      <c r="L36" s="42">
        <f t="shared" si="0"/>
        <v>0</v>
      </c>
      <c r="M36" s="33">
        <f t="shared" si="15"/>
        <v>0</v>
      </c>
      <c r="N36" s="43">
        <f t="shared" si="53"/>
        <v>9.2011000000000003</v>
      </c>
      <c r="O36" s="67">
        <f t="shared" si="54"/>
        <v>0</v>
      </c>
      <c r="P36" s="34">
        <f t="shared" si="55"/>
        <v>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/>
      <c r="B37" s="41">
        <v>33</v>
      </c>
      <c r="C37" s="140"/>
      <c r="D37" s="140"/>
      <c r="E37" s="44"/>
      <c r="F37" s="44"/>
      <c r="G37" s="69"/>
      <c r="H37" s="43"/>
      <c r="I37" s="44"/>
      <c r="J37" s="69"/>
      <c r="K37" s="70"/>
      <c r="L37" s="42">
        <f t="shared" ref="L37:L68" si="66">SUM(E37:K37)/40</f>
        <v>0</v>
      </c>
      <c r="M37" s="33">
        <f t="shared" si="15"/>
        <v>0</v>
      </c>
      <c r="N37" s="43">
        <f t="shared" si="53"/>
        <v>9.2011000000000003</v>
      </c>
      <c r="O37" s="67">
        <f t="shared" si="54"/>
        <v>0</v>
      </c>
      <c r="P37" s="34">
        <f t="shared" si="55"/>
        <v>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/>
      <c r="B38" s="41">
        <v>34</v>
      </c>
      <c r="C38" s="140"/>
      <c r="D38" s="140"/>
      <c r="E38" s="44"/>
      <c r="F38" s="44"/>
      <c r="G38" s="69"/>
      <c r="H38" s="43"/>
      <c r="I38" s="44"/>
      <c r="J38" s="69"/>
      <c r="K38" s="70"/>
      <c r="L38" s="42">
        <f t="shared" si="66"/>
        <v>0</v>
      </c>
      <c r="M38" s="33">
        <f t="shared" si="15"/>
        <v>0</v>
      </c>
      <c r="N38" s="43">
        <f t="shared" si="53"/>
        <v>9.2011000000000003</v>
      </c>
      <c r="O38" s="67">
        <f t="shared" si="54"/>
        <v>0</v>
      </c>
      <c r="P38" s="34">
        <f t="shared" si="55"/>
        <v>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/>
      <c r="B39" s="41">
        <v>35</v>
      </c>
      <c r="C39" s="140"/>
      <c r="D39" s="140"/>
      <c r="E39" s="44"/>
      <c r="F39" s="44"/>
      <c r="G39" s="69"/>
      <c r="H39" s="43"/>
      <c r="I39" s="44"/>
      <c r="J39" s="69"/>
      <c r="K39" s="70"/>
      <c r="L39" s="42">
        <f t="shared" si="66"/>
        <v>0</v>
      </c>
      <c r="M39" s="33">
        <f t="shared" ref="M39:M70" si="67">SUMPRODUCT($E$4:$K$4,$E$6:$K$6)</f>
        <v>0</v>
      </c>
      <c r="N39" s="43">
        <f t="shared" si="53"/>
        <v>9.2011000000000003</v>
      </c>
      <c r="O39" s="67">
        <f t="shared" si="54"/>
        <v>0</v>
      </c>
      <c r="P39" s="34">
        <f t="shared" si="55"/>
        <v>0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/>
      <c r="B40" s="41">
        <v>36</v>
      </c>
      <c r="C40" s="140"/>
      <c r="D40" s="140"/>
      <c r="E40" s="44"/>
      <c r="F40" s="44"/>
      <c r="G40" s="69"/>
      <c r="H40" s="43"/>
      <c r="I40" s="44"/>
      <c r="J40" s="69"/>
      <c r="K40" s="70"/>
      <c r="L40" s="42">
        <f t="shared" si="66"/>
        <v>0</v>
      </c>
      <c r="M40" s="33">
        <f t="shared" si="67"/>
        <v>0</v>
      </c>
      <c r="N40" s="43">
        <f t="shared" si="53"/>
        <v>9.2011000000000003</v>
      </c>
      <c r="O40" s="67">
        <f t="shared" si="54"/>
        <v>0</v>
      </c>
      <c r="P40" s="34">
        <f t="shared" si="55"/>
        <v>0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/>
      <c r="B41" s="41">
        <v>37</v>
      </c>
      <c r="C41" s="140"/>
      <c r="D41" s="140"/>
      <c r="E41" s="44"/>
      <c r="F41" s="44"/>
      <c r="G41" s="69"/>
      <c r="H41" s="43"/>
      <c r="I41" s="44"/>
      <c r="J41" s="69"/>
      <c r="K41" s="70"/>
      <c r="L41" s="42">
        <f t="shared" si="66"/>
        <v>0</v>
      </c>
      <c r="M41" s="33">
        <f t="shared" si="67"/>
        <v>0</v>
      </c>
      <c r="N41" s="43">
        <f t="shared" si="53"/>
        <v>9.2011000000000003</v>
      </c>
      <c r="O41" s="67">
        <f t="shared" si="54"/>
        <v>0</v>
      </c>
      <c r="P41" s="34">
        <f t="shared" si="55"/>
        <v>0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6"/>
        <v>0</v>
      </c>
      <c r="M42" s="33">
        <f t="shared" si="67"/>
        <v>0</v>
      </c>
      <c r="N42" s="43">
        <f t="shared" si="53"/>
        <v>9.2011000000000003</v>
      </c>
      <c r="O42" s="67">
        <f t="shared" si="54"/>
        <v>0</v>
      </c>
      <c r="P42" s="34">
        <f t="shared" si="55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6"/>
        <v>0</v>
      </c>
      <c r="M43" s="33">
        <f t="shared" si="67"/>
        <v>0</v>
      </c>
      <c r="N43" s="43">
        <f t="shared" si="53"/>
        <v>9.2011000000000003</v>
      </c>
      <c r="O43" s="67">
        <f t="shared" si="54"/>
        <v>0</v>
      </c>
      <c r="P43" s="34">
        <f t="shared" si="55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6"/>
        <v>0</v>
      </c>
      <c r="M44" s="33">
        <f t="shared" si="67"/>
        <v>0</v>
      </c>
      <c r="N44" s="43">
        <f t="shared" si="53"/>
        <v>9.2011000000000003</v>
      </c>
      <c r="O44" s="67">
        <f t="shared" si="54"/>
        <v>0</v>
      </c>
      <c r="P44" s="34">
        <f t="shared" si="55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6"/>
        <v>0</v>
      </c>
      <c r="M45" s="33">
        <f t="shared" si="67"/>
        <v>0</v>
      </c>
      <c r="N45" s="43">
        <f t="shared" si="53"/>
        <v>9.2011000000000003</v>
      </c>
      <c r="O45" s="67">
        <f t="shared" si="54"/>
        <v>0</v>
      </c>
      <c r="P45" s="34">
        <f t="shared" si="55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6"/>
        <v>0</v>
      </c>
      <c r="M46" s="33">
        <f t="shared" si="67"/>
        <v>0</v>
      </c>
      <c r="N46" s="43">
        <f t="shared" si="53"/>
        <v>9.2011000000000003</v>
      </c>
      <c r="O46" s="67">
        <f t="shared" si="54"/>
        <v>0</v>
      </c>
      <c r="P46" s="34">
        <f t="shared" si="55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6"/>
        <v>0</v>
      </c>
      <c r="M47" s="33">
        <f t="shared" si="67"/>
        <v>0</v>
      </c>
      <c r="N47" s="43">
        <f t="shared" si="53"/>
        <v>9.2011000000000003</v>
      </c>
      <c r="O47" s="67">
        <f t="shared" si="54"/>
        <v>0</v>
      </c>
      <c r="P47" s="34">
        <f t="shared" si="55"/>
        <v>0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6"/>
        <v>0</v>
      </c>
      <c r="M48" s="33">
        <f t="shared" si="67"/>
        <v>0</v>
      </c>
      <c r="N48" s="43">
        <f t="shared" si="53"/>
        <v>9.2011000000000003</v>
      </c>
      <c r="O48" s="67">
        <f t="shared" ref="O48:O60" si="68">SUM(F48:H48)/20</f>
        <v>0</v>
      </c>
      <c r="P48" s="34">
        <f t="shared" ref="P48:P60" si="69">SUM(I48:K48)/20</f>
        <v>0</v>
      </c>
      <c r="Q48" s="45"/>
      <c r="R48" s="46"/>
      <c r="S48" s="46"/>
      <c r="T48" s="47"/>
      <c r="U48" s="48"/>
      <c r="V48" s="49">
        <f t="shared" ref="V48:V60" si="70">SUM(F48:H48)*$V$3</f>
        <v>0</v>
      </c>
      <c r="W48" s="49">
        <f t="shared" ref="W48:W60" si="71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6"/>
        <v>0</v>
      </c>
      <c r="M49" s="33">
        <f t="shared" si="67"/>
        <v>0</v>
      </c>
      <c r="N49" s="43">
        <f t="shared" si="53"/>
        <v>9.2011000000000003</v>
      </c>
      <c r="O49" s="67">
        <f t="shared" si="68"/>
        <v>0</v>
      </c>
      <c r="P49" s="34">
        <f t="shared" si="69"/>
        <v>0</v>
      </c>
      <c r="Q49" s="45"/>
      <c r="R49" s="46"/>
      <c r="S49" s="46"/>
      <c r="T49" s="47"/>
      <c r="U49" s="48"/>
      <c r="V49" s="49">
        <f t="shared" si="70"/>
        <v>0</v>
      </c>
      <c r="W49" s="49">
        <f t="shared" si="71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6"/>
        <v>0</v>
      </c>
      <c r="M50" s="33">
        <f t="shared" si="67"/>
        <v>0</v>
      </c>
      <c r="N50" s="43">
        <f t="shared" si="53"/>
        <v>9.2011000000000003</v>
      </c>
      <c r="O50" s="67">
        <f t="shared" si="68"/>
        <v>0</v>
      </c>
      <c r="P50" s="34">
        <f t="shared" si="69"/>
        <v>0</v>
      </c>
      <c r="Q50" s="45"/>
      <c r="R50" s="46"/>
      <c r="S50" s="46"/>
      <c r="T50" s="47"/>
      <c r="U50" s="48"/>
      <c r="V50" s="49">
        <f t="shared" si="70"/>
        <v>0</v>
      </c>
      <c r="W50" s="49">
        <f t="shared" si="71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si="67"/>
        <v>0</v>
      </c>
      <c r="N51" s="43">
        <f t="shared" si="53"/>
        <v>9.2011000000000003</v>
      </c>
      <c r="O51" s="67">
        <f t="shared" si="68"/>
        <v>0</v>
      </c>
      <c r="P51" s="34">
        <f t="shared" si="69"/>
        <v>0</v>
      </c>
      <c r="Q51" s="45"/>
      <c r="R51" s="46"/>
      <c r="S51" s="46"/>
      <c r="T51" s="47"/>
      <c r="U51" s="48"/>
      <c r="V51" s="49">
        <f t="shared" si="70"/>
        <v>0</v>
      </c>
      <c r="W51" s="49">
        <f t="shared" si="71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67"/>
        <v>0</v>
      </c>
      <c r="N52" s="43">
        <f t="shared" si="53"/>
        <v>9.2011000000000003</v>
      </c>
      <c r="O52" s="67">
        <f t="shared" si="68"/>
        <v>0</v>
      </c>
      <c r="P52" s="34">
        <f t="shared" si="69"/>
        <v>0</v>
      </c>
      <c r="Q52" s="45"/>
      <c r="R52" s="46"/>
      <c r="S52" s="46"/>
      <c r="T52" s="47"/>
      <c r="U52" s="48"/>
      <c r="V52" s="49">
        <f t="shared" si="70"/>
        <v>0</v>
      </c>
      <c r="W52" s="49">
        <f t="shared" si="71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67"/>
        <v>0</v>
      </c>
      <c r="N53" s="43">
        <f t="shared" si="53"/>
        <v>9.2011000000000003</v>
      </c>
      <c r="O53" s="67">
        <f t="shared" si="68"/>
        <v>0</v>
      </c>
      <c r="P53" s="34">
        <f t="shared" si="69"/>
        <v>0</v>
      </c>
      <c r="Q53" s="45"/>
      <c r="R53" s="46"/>
      <c r="S53" s="46"/>
      <c r="T53" s="47"/>
      <c r="U53" s="48"/>
      <c r="V53" s="49">
        <f t="shared" si="70"/>
        <v>0</v>
      </c>
      <c r="W53" s="49">
        <f t="shared" si="71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67"/>
        <v>0</v>
      </c>
      <c r="N54" s="43">
        <f t="shared" si="53"/>
        <v>9.2011000000000003</v>
      </c>
      <c r="O54" s="67">
        <f t="shared" si="68"/>
        <v>0</v>
      </c>
      <c r="P54" s="34">
        <f t="shared" si="69"/>
        <v>0</v>
      </c>
      <c r="Q54" s="45"/>
      <c r="R54" s="46"/>
      <c r="S54" s="46"/>
      <c r="T54" s="47"/>
      <c r="U54" s="48"/>
      <c r="V54" s="49">
        <f t="shared" si="70"/>
        <v>0</v>
      </c>
      <c r="W54" s="49">
        <f t="shared" si="71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67"/>
        <v>0</v>
      </c>
      <c r="N55" s="43">
        <f t="shared" si="53"/>
        <v>9.2011000000000003</v>
      </c>
      <c r="O55" s="67">
        <f t="shared" si="68"/>
        <v>0</v>
      </c>
      <c r="P55" s="34">
        <f t="shared" si="69"/>
        <v>0</v>
      </c>
      <c r="Q55" s="45"/>
      <c r="R55" s="46"/>
      <c r="S55" s="46"/>
      <c r="T55" s="47"/>
      <c r="U55" s="48"/>
      <c r="V55" s="49">
        <f t="shared" si="70"/>
        <v>0</v>
      </c>
      <c r="W55" s="49">
        <f t="shared" si="71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67"/>
        <v>0</v>
      </c>
      <c r="N56" s="43">
        <f t="shared" si="53"/>
        <v>9.2011000000000003</v>
      </c>
      <c r="O56" s="67">
        <f t="shared" si="68"/>
        <v>0</v>
      </c>
      <c r="P56" s="34">
        <f t="shared" si="69"/>
        <v>0</v>
      </c>
      <c r="Q56" s="45"/>
      <c r="R56" s="46"/>
      <c r="S56" s="46"/>
      <c r="T56" s="47"/>
      <c r="U56" s="48"/>
      <c r="V56" s="49">
        <f t="shared" si="70"/>
        <v>0</v>
      </c>
      <c r="W56" s="49">
        <f t="shared" si="71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67"/>
        <v>0</v>
      </c>
      <c r="N57" s="43">
        <f t="shared" si="53"/>
        <v>9.2011000000000003</v>
      </c>
      <c r="O57" s="67">
        <f t="shared" si="68"/>
        <v>0</v>
      </c>
      <c r="P57" s="34">
        <f t="shared" si="69"/>
        <v>0</v>
      </c>
      <c r="Q57" s="45"/>
      <c r="R57" s="46"/>
      <c r="S57" s="46"/>
      <c r="T57" s="47"/>
      <c r="U57" s="48"/>
      <c r="V57" s="49">
        <f t="shared" si="70"/>
        <v>0</v>
      </c>
      <c r="W57" s="49">
        <f t="shared" si="71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67"/>
        <v>0</v>
      </c>
      <c r="N58" s="43">
        <f t="shared" si="53"/>
        <v>9.2011000000000003</v>
      </c>
      <c r="O58" s="67">
        <f t="shared" si="68"/>
        <v>0</v>
      </c>
      <c r="P58" s="34">
        <f t="shared" si="69"/>
        <v>0</v>
      </c>
      <c r="Q58" s="45"/>
      <c r="R58" s="46"/>
      <c r="S58" s="46"/>
      <c r="T58" s="47"/>
      <c r="U58" s="48"/>
      <c r="V58" s="49">
        <f t="shared" si="70"/>
        <v>0</v>
      </c>
      <c r="W58" s="49">
        <f t="shared" si="71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67"/>
        <v>0</v>
      </c>
      <c r="N59" s="43">
        <f t="shared" si="53"/>
        <v>9.2011000000000003</v>
      </c>
      <c r="O59" s="67">
        <f t="shared" si="68"/>
        <v>0</v>
      </c>
      <c r="P59" s="34">
        <f t="shared" si="69"/>
        <v>0</v>
      </c>
      <c r="Q59" s="45"/>
      <c r="R59" s="46"/>
      <c r="S59" s="46"/>
      <c r="T59" s="47"/>
      <c r="U59" s="48"/>
      <c r="V59" s="49">
        <f t="shared" si="70"/>
        <v>0</v>
      </c>
      <c r="W59" s="49">
        <f t="shared" si="71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67"/>
        <v>0</v>
      </c>
      <c r="N60" s="43">
        <f t="shared" si="53"/>
        <v>9.2011000000000003</v>
      </c>
      <c r="O60" s="67">
        <f t="shared" si="68"/>
        <v>0</v>
      </c>
      <c r="P60" s="34">
        <f t="shared" si="69"/>
        <v>0</v>
      </c>
      <c r="Q60" s="45"/>
      <c r="R60" s="46"/>
      <c r="S60" s="46"/>
      <c r="T60" s="47"/>
      <c r="U60" s="48"/>
      <c r="V60" s="49">
        <f t="shared" si="70"/>
        <v>0</v>
      </c>
      <c r="W60" s="49">
        <f t="shared" si="71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67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67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67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67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67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67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67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67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67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67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59" t="s">
        <v>11</v>
      </c>
      <c r="C133" s="160"/>
      <c r="D133" s="136"/>
      <c r="E133" s="78">
        <f t="shared" ref="E133:K133" si="102">SUM(E6:E61)</f>
        <v>2265</v>
      </c>
      <c r="F133" s="78">
        <f t="shared" si="102"/>
        <v>1760</v>
      </c>
      <c r="G133" s="78">
        <f t="shared" si="102"/>
        <v>1810</v>
      </c>
      <c r="H133" s="78">
        <f t="shared" si="102"/>
        <v>2770</v>
      </c>
      <c r="I133" s="78">
        <f t="shared" si="102"/>
        <v>2978</v>
      </c>
      <c r="J133" s="78">
        <f t="shared" si="102"/>
        <v>3680</v>
      </c>
      <c r="K133" s="78">
        <f t="shared" si="102"/>
        <v>5080</v>
      </c>
      <c r="L133" s="42">
        <f t="shared" ref="L133" si="103">SUM(E133:K133)/40</f>
        <v>508.57499999999999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317</v>
      </c>
      <c r="P133" s="34">
        <f t="shared" ref="P133:P137" si="105">SUM(I133:K133)/20</f>
        <v>586.9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72" t="s">
        <v>68</v>
      </c>
      <c r="C137" s="173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61" t="s">
        <v>11</v>
      </c>
      <c r="C138" s="162"/>
      <c r="D138" s="138"/>
      <c r="E138" s="79">
        <f>SUM(E133,E137)</f>
        <v>2265</v>
      </c>
      <c r="F138" s="79">
        <f t="shared" ref="F138:K138" si="109">SUM(F133,F137)</f>
        <v>1760</v>
      </c>
      <c r="G138" s="79">
        <f t="shared" si="109"/>
        <v>1810</v>
      </c>
      <c r="H138" s="79">
        <f t="shared" si="109"/>
        <v>2770</v>
      </c>
      <c r="I138" s="79">
        <f t="shared" si="109"/>
        <v>2978</v>
      </c>
      <c r="J138" s="79">
        <f t="shared" si="109"/>
        <v>3680</v>
      </c>
      <c r="K138" s="79">
        <f t="shared" si="109"/>
        <v>5080</v>
      </c>
      <c r="L138" s="54">
        <f>SUM(E138:K138)/40</f>
        <v>508.57499999999999</v>
      </c>
      <c r="M138" s="57">
        <f>SUM(M5:M137)</f>
        <v>357</v>
      </c>
      <c r="N138" s="55">
        <f t="shared" ref="N138:X138" si="110">SUM(N5:N137)</f>
        <v>947.71329999999978</v>
      </c>
      <c r="O138" s="56">
        <f t="shared" si="110"/>
        <v>754</v>
      </c>
      <c r="P138" s="58">
        <f t="shared" si="110"/>
        <v>1293.8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410</v>
      </c>
      <c r="E5" s="73">
        <v>529</v>
      </c>
      <c r="F5" s="73">
        <v>100</v>
      </c>
      <c r="G5" s="96">
        <f>SUM(D5:F5)</f>
        <v>1039</v>
      </c>
      <c r="H5" s="89">
        <v>10000</v>
      </c>
      <c r="I5" s="90">
        <f>G5-H5</f>
        <v>-8961</v>
      </c>
      <c r="K5" s="141" t="s">
        <v>1</v>
      </c>
      <c r="L5" s="7">
        <v>70</v>
      </c>
      <c r="M5" s="5">
        <v>5972</v>
      </c>
      <c r="N5" s="6">
        <f t="shared" ref="N5:N11" si="0">M5/40</f>
        <v>149.30000000000001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16400</v>
      </c>
      <c r="E6" s="98">
        <f t="shared" ref="E6:F6" si="1">E5*40</f>
        <v>21160</v>
      </c>
      <c r="F6" s="98">
        <f t="shared" si="1"/>
        <v>4000</v>
      </c>
      <c r="G6" s="99">
        <f>SUM(D6:F6)</f>
        <v>41560</v>
      </c>
      <c r="H6" s="91">
        <f>H5*40</f>
        <v>400000</v>
      </c>
      <c r="I6" s="92">
        <f>G6-H6</f>
        <v>-358440</v>
      </c>
      <c r="K6" s="141" t="s">
        <v>2</v>
      </c>
      <c r="L6" s="7">
        <v>70</v>
      </c>
      <c r="M6" s="5">
        <v>7579</v>
      </c>
      <c r="N6" s="6">
        <f t="shared" si="0"/>
        <v>189.47499999999999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4029</v>
      </c>
      <c r="N7" s="6">
        <f t="shared" si="0"/>
        <v>100.72499999999999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5849</v>
      </c>
      <c r="N8" s="6">
        <f t="shared" si="0"/>
        <v>146.22499999999999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-410</v>
      </c>
      <c r="E9" s="100">
        <f>E8-E5</f>
        <v>-529</v>
      </c>
      <c r="K9" s="141" t="s">
        <v>5</v>
      </c>
      <c r="L9" s="7">
        <v>120</v>
      </c>
      <c r="M9" s="5">
        <v>6849</v>
      </c>
      <c r="N9" s="6">
        <f t="shared" si="0"/>
        <v>171.22499999999999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4278</v>
      </c>
      <c r="N10" s="6">
        <f t="shared" si="0"/>
        <v>106.95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>
        <v>3243</v>
      </c>
      <c r="N11" s="6">
        <f t="shared" si="0"/>
        <v>81.075000000000003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5239</v>
      </c>
      <c r="K12" s="141" t="s">
        <v>11</v>
      </c>
      <c r="L12" s="75"/>
      <c r="M12" s="8">
        <f>SUM(M5:M11)</f>
        <v>37799</v>
      </c>
      <c r="N12" s="9">
        <f>SUM(N5:N11)</f>
        <v>944.97500000000014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209560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-5972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-7579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-4029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-5849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-6849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-4278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-3243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-37799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-944.97500000000002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2026-09-11T05:18:21Z</dcterms:modified>
</cp:coreProperties>
</file>