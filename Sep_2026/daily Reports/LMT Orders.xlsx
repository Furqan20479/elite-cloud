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116F1E2-9EA4-4A19-95DB-21A11FF4747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<sst xmlns="http://schemas.openxmlformats.org/spreadsheetml/2006/main" count="221" uniqueCount="151">
  <si>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</si>
  <si>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</si>
  <si>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</si>
  <si>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</si>
  <si>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</si>
  <si>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</si>
  <si>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</si>
  <si>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</si>
  <si>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</si>
  <si>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</si>
  <si>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</si>
  <si>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</si>
  <si>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</si>
  <si>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</si>
  <si>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</si>
  <si>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</si>
  <si>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</si>
  <si>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</si>
  <si>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</si>
  <si>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</si>
  <si>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</si>
  <si>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</si>
  <si>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</si>
  <si>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</si>
  <si>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</si>
  <si>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</si>
  <si>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</si>
  <si>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</si>
  <si>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</si>
  <si>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</si>
  <si>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</si>
  <si>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</si>
  <si>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</si>
  <si>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</si>
  <si>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</si>
  <si>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</si>
  <si>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</si>
  <si>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</si>
  <si>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</si>
  <si>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</si>
  <si>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</si>
  <si>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</si>
  <si>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</si>
  <si>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</si>
  <si>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</si>
  <si>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</si>
  <si>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</si>
  <si>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</si>
  <si>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</si>
  <si>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</si>
  <si>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</si>
  <si>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</si>
  <si>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</si>
  <si>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</si>
  <si>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</si>
  <si>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</si>
  <si>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</si>
  <si>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</si>
  <si>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</si>
  <si>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</si>
  <si>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</si>
  <si>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</si>
  <si>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</si>
  <si>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</si>
  <si>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</si>
  <si>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</si>
  <si>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</si>
  <si>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</si>
  <si>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</si>
  <si>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</si>
  <si>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</si>
  <si>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</si>
  <si>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</si>
  <si>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</si>
  <si>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</si>
  <si>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</si>
  <si>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</si>
  <si>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</si>
  <si>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</si>
  <si>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</si>
  <si>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</si>
  <si>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</si>
  <si>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</si>
  <si>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</si>
  <si>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</si>
  <si>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</si>
  <si>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</si>
  <si>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</si>
  <si>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</si>
  <si>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</si>
  <si>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</si>
  <si>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</si>
  <si>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</si>
  <si>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</si>
  <si>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</si>
  <si>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</si>
  <si>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</si>
  <si>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</si>
  <si>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</si>
  <si>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</si>
  <si>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</si>
  <si>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</si>
  <si>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</si>
  <si>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</si>
  <si>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</si>
  <si>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</si>
  <si>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</si>
  <si>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</si>
  <si>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</si>
  <si>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</si>
  <si>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</si>
  <si>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</si>
  <si>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</si>
  <si>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</si>
  <si>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</si>
  <si>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</si>
  <si>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</si>
  <si>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</si>
  <si>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</si>
  <si>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</si>
  <si>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</si>
  <si>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</si>
  <si>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</si>
  <si>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</si>
  <si>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</si>
  <si>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</si>
  <si>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</si>
  <si>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</si>
  <si>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</si>
  <si>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</si>
  <si>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</si>
  <si>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</si>
  <si>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</si>
  <si>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</si>
  <si>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</si>
  <si>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</si>
  <si>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</si>
  <si>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</si>
  <si>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</si>
  <si>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</si>
  <si>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</si>
  <si>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</si>
  <si>
    <t xml:space="preserve">Askari Punjab Society </t>
  </si>
  <si>
    <t xml:space="preserve">Risen Shadbagh </t>
  </si>
  <si>
    <t>Risen Sabzazaar</t>
  </si>
  <si>
    <t xml:space="preserve">Risen Thoker </t>
  </si>
  <si>
    <t>Risen Askari 11</t>
  </si>
  <si>
    <t>Gourmet Food</t>
  </si>
  <si>
    <t>Clinix Werehouse</t>
  </si>
  <si>
    <t xml:space="preserve">Raheem Wapda </t>
  </si>
  <si>
    <t xml:space="preserve">Cario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</si>
</sst>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" fontId="0" fillId="5" borderId="0" xfId="0" applyNumberFormat="1" applyFill="1"/>
    <xf numFmtId="0" fontId="6" fillId="5" borderId="1" xfId="0" applyFont="1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5" fillId="2" borderId="1" xfId="0" applyFont="1" applyFill="1" applyBorder="1"/>
    <xf numFmtId="0" fontId="5" fillId="2" borderId="33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left"/>
    </xf>
    <xf numFmtId="0" fontId="6" fillId="3" borderId="57" xfId="0" applyFont="1" applyFill="1" applyBorder="1" applyAlignment="1">
      <alignment horizontal="left"/>
    </xf>
    <xf numFmtId="0" fontId="5" fillId="3" borderId="33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abSelected="1" topLeftCell="A47" zoomScaleNormal="100" workbookViewId="0">
      <selection activeCell="E57" sqref="E57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61">
        <f ca="1">TODAY()</f>
        <v>46266</v>
      </c>
      <c r="C1" s="161"/>
      <c r="D1" s="161"/>
      <c r="E1" s="161"/>
      <c r="F1" s="16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3" t="s">
        <v>37</v>
      </c>
      <c r="B2" s="162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5"/>
      <c r="N2" s="176"/>
      <c r="O2" s="177"/>
      <c r="P2" s="178" t="s">
        <v>14</v>
      </c>
      <c r="Q2" s="179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3"/>
      <c r="B3" s="163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0" t="s">
        <v>11</v>
      </c>
      <c r="N3" s="181"/>
      <c r="O3" s="182"/>
      <c r="P3" s="71"/>
      <c r="Q3" s="72"/>
      <c r="R3" s="165" t="s">
        <v>16</v>
      </c>
      <c r="S3" s="166"/>
      <c r="T3" s="166"/>
      <c r="U3" s="167"/>
      <c r="V3" s="168" t="s">
        <v>17</v>
      </c>
      <c r="W3" s="169"/>
      <c r="X3" s="169"/>
      <c r="Y3" s="170"/>
    </row>
    <row r="4" spans="1:25" ht="15" thickBot="1" x14ac:dyDescent="0.4">
      <c r="A4" s="183"/>
      <c r="B4" s="164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39">
        <v>46241</v>
      </c>
      <c r="B16" s="140">
        <v>12</v>
      </c>
      <c r="C16" s="141" t="s">
        <v>102</v>
      </c>
      <c r="D16" s="142">
        <v>120</v>
      </c>
      <c r="E16" s="143"/>
      <c r="F16" s="144"/>
      <c r="G16" s="145">
        <v>120</v>
      </c>
      <c r="H16" s="143">
        <v>120</v>
      </c>
      <c r="I16" s="56">
        <v>120</v>
      </c>
      <c r="J16" s="145">
        <v>120</v>
      </c>
      <c r="K16" s="143">
        <v>120</v>
      </c>
      <c r="L16" s="144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39">
        <v>46242</v>
      </c>
      <c r="B17" s="140">
        <v>13</v>
      </c>
      <c r="C17" s="141" t="s">
        <v>97</v>
      </c>
      <c r="D17" s="142"/>
      <c r="E17" s="143"/>
      <c r="F17" s="144"/>
      <c r="G17" s="145">
        <v>24</v>
      </c>
      <c r="H17" s="143">
        <v>4</v>
      </c>
      <c r="I17" s="56">
        <v>39</v>
      </c>
      <c r="J17" s="145">
        <v>38</v>
      </c>
      <c r="K17" s="143">
        <v>77</v>
      </c>
      <c r="L17" s="144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39">
        <v>46242</v>
      </c>
      <c r="B18" s="140">
        <v>14</v>
      </c>
      <c r="C18" s="141" t="s">
        <v>98</v>
      </c>
      <c r="D18" s="142"/>
      <c r="E18" s="143"/>
      <c r="F18" s="144"/>
      <c r="G18" s="145">
        <v>80</v>
      </c>
      <c r="H18" s="143">
        <v>120</v>
      </c>
      <c r="I18" s="56">
        <v>200</v>
      </c>
      <c r="J18" s="145">
        <v>160</v>
      </c>
      <c r="K18" s="143">
        <v>39</v>
      </c>
      <c r="L18" s="144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39">
        <v>46242</v>
      </c>
      <c r="B19" s="140">
        <v>15</v>
      </c>
      <c r="C19" s="141" t="s">
        <v>99</v>
      </c>
      <c r="D19" s="142"/>
      <c r="E19" s="143"/>
      <c r="F19" s="144"/>
      <c r="G19" s="145">
        <v>40</v>
      </c>
      <c r="H19" s="143">
        <v>40</v>
      </c>
      <c r="I19" s="56">
        <v>120</v>
      </c>
      <c r="J19" s="145">
        <v>120</v>
      </c>
      <c r="K19" s="143">
        <v>80</v>
      </c>
      <c r="L19" s="144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39">
        <v>46242</v>
      </c>
      <c r="B20" s="140">
        <v>16</v>
      </c>
      <c r="C20" s="141" t="s">
        <v>100</v>
      </c>
      <c r="D20" s="142"/>
      <c r="E20" s="143"/>
      <c r="F20" s="144"/>
      <c r="G20" s="145"/>
      <c r="H20" s="143">
        <v>120</v>
      </c>
      <c r="I20" s="56">
        <v>120</v>
      </c>
      <c r="J20" s="145">
        <v>120</v>
      </c>
      <c r="K20" s="143">
        <v>120</v>
      </c>
      <c r="L20" s="144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39">
        <v>46242</v>
      </c>
      <c r="B21" s="140">
        <v>17</v>
      </c>
      <c r="C21" s="141" t="s">
        <v>101</v>
      </c>
      <c r="D21" s="142"/>
      <c r="E21" s="143"/>
      <c r="F21" s="144"/>
      <c r="G21" s="145">
        <v>600</v>
      </c>
      <c r="H21" s="143">
        <v>600</v>
      </c>
      <c r="I21" s="56">
        <v>2800</v>
      </c>
      <c r="J21" s="145">
        <v>600</v>
      </c>
      <c r="K21" s="143">
        <v>1000</v>
      </c>
      <c r="L21" s="144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>
        <v>46254</v>
      </c>
      <c r="B53" s="47">
        <v>49</v>
      </c>
      <c r="C53" s="57" t="s">
        <v>96</v>
      </c>
      <c r="D53" s="74"/>
      <c r="E53" s="75"/>
      <c r="F53" s="76"/>
      <c r="G53" s="50">
        <v>200</v>
      </c>
      <c r="H53" s="75"/>
      <c r="I53" s="49">
        <v>194</v>
      </c>
      <c r="J53" s="50">
        <v>200</v>
      </c>
      <c r="K53" s="75"/>
      <c r="L53" s="76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>
        <v>46254</v>
      </c>
      <c r="B54" s="47">
        <v>50</v>
      </c>
      <c r="C54" s="57" t="s">
        <v>127</v>
      </c>
      <c r="D54" s="74"/>
      <c r="E54" s="75"/>
      <c r="F54" s="76"/>
      <c r="G54" s="50"/>
      <c r="H54" s="75"/>
      <c r="I54" s="49"/>
      <c r="J54" s="50">
        <v>400</v>
      </c>
      <c r="K54" s="75">
        <v>400</v>
      </c>
      <c r="L54" s="76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146">
        <v>46258</v>
      </c>
      <c r="B64" s="147">
        <v>60</v>
      </c>
      <c r="C64" s="148" t="s">
        <v>64</v>
      </c>
      <c r="D64" s="149"/>
      <c r="E64" s="149"/>
      <c r="F64" s="149"/>
      <c r="G64" s="149">
        <v>80</v>
      </c>
      <c r="H64" s="149">
        <v>80</v>
      </c>
      <c r="I64" s="150">
        <v>240</v>
      </c>
      <c r="J64" s="149">
        <v>80</v>
      </c>
      <c r="K64" s="149">
        <v>80</v>
      </c>
      <c r="L64" s="149">
        <v>100</v>
      </c>
      <c r="M64" s="129">
        <f t="shared" si="88"/>
        <v>16.5</v>
      </c>
      <c r="N64" s="39">
        <f t="shared" si="18"/>
        <v>0</v>
      </c>
      <c r="O64" s="49">
        <f t="shared" si="1"/>
        <v>62.470500000000001</v>
      </c>
      <c r="P64" s="73">
        <f t="shared" si="89"/>
        <v>20</v>
      </c>
      <c r="Q64" s="40">
        <f t="shared" si="90"/>
        <v>13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146">
        <v>46258</v>
      </c>
      <c r="B65" s="147">
        <v>61</v>
      </c>
      <c r="C65" s="148" t="s">
        <v>137</v>
      </c>
      <c r="D65" s="149"/>
      <c r="E65" s="149"/>
      <c r="F65" s="149"/>
      <c r="G65" s="149"/>
      <c r="H65" s="149"/>
      <c r="I65" s="150"/>
      <c r="J65" s="149">
        <v>40</v>
      </c>
      <c r="K65" s="149">
        <v>40</v>
      </c>
      <c r="L65" s="149">
        <v>40</v>
      </c>
      <c r="M65" s="129">
        <f t="shared" si="88"/>
        <v>3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146">
        <v>46258</v>
      </c>
      <c r="B66" s="147">
        <v>62</v>
      </c>
      <c r="C66" s="148" t="s">
        <v>109</v>
      </c>
      <c r="D66" s="149"/>
      <c r="E66" s="149"/>
      <c r="F66" s="149"/>
      <c r="G66" s="149">
        <v>39</v>
      </c>
      <c r="H66" s="149">
        <v>40</v>
      </c>
      <c r="I66" s="150"/>
      <c r="J66" s="149"/>
      <c r="K66" s="149">
        <v>40</v>
      </c>
      <c r="L66" s="149">
        <v>40</v>
      </c>
      <c r="M66" s="129">
        <f t="shared" si="88"/>
        <v>3.9750000000000001</v>
      </c>
      <c r="N66" s="39">
        <f t="shared" si="18"/>
        <v>0</v>
      </c>
      <c r="O66" s="49">
        <f t="shared" si="1"/>
        <v>62.470500000000001</v>
      </c>
      <c r="P66" s="73">
        <f t="shared" si="89"/>
        <v>3.95</v>
      </c>
      <c r="Q66" s="40">
        <f t="shared" si="90"/>
        <v>4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146">
        <v>46258</v>
      </c>
      <c r="B67" s="147">
        <v>63</v>
      </c>
      <c r="C67" s="148" t="s">
        <v>107</v>
      </c>
      <c r="D67" s="149"/>
      <c r="E67" s="149"/>
      <c r="F67" s="149"/>
      <c r="G67" s="149"/>
      <c r="H67" s="149"/>
      <c r="I67" s="150"/>
      <c r="J67" s="149">
        <v>80</v>
      </c>
      <c r="K67" s="149">
        <v>40</v>
      </c>
      <c r="L67" s="149">
        <v>40</v>
      </c>
      <c r="M67" s="129">
        <f t="shared" si="88"/>
        <v>4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8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146">
        <v>46258</v>
      </c>
      <c r="B68" s="147">
        <v>64</v>
      </c>
      <c r="C68" s="148" t="s">
        <v>138</v>
      </c>
      <c r="D68" s="149">
        <v>40</v>
      </c>
      <c r="E68" s="149"/>
      <c r="F68" s="149"/>
      <c r="G68" s="149">
        <v>80</v>
      </c>
      <c r="H68" s="149">
        <v>80</v>
      </c>
      <c r="I68" s="150">
        <v>80</v>
      </c>
      <c r="J68" s="149">
        <v>80</v>
      </c>
      <c r="K68" s="149">
        <v>80</v>
      </c>
      <c r="L68" s="149">
        <v>80</v>
      </c>
      <c r="M68" s="129">
        <f t="shared" si="88"/>
        <v>13</v>
      </c>
      <c r="N68" s="39">
        <f t="shared" si="18"/>
        <v>0</v>
      </c>
      <c r="O68" s="49">
        <f t="shared" si="1"/>
        <v>62.470500000000001</v>
      </c>
      <c r="P68" s="73">
        <f t="shared" si="89"/>
        <v>12</v>
      </c>
      <c r="Q68" s="40">
        <f t="shared" si="90"/>
        <v>12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>
        <v>46259</v>
      </c>
      <c r="B69" s="47">
        <v>65</v>
      </c>
      <c r="C69" s="128" t="s">
        <v>139</v>
      </c>
      <c r="D69" s="75"/>
      <c r="E69" s="75"/>
      <c r="F69" s="75"/>
      <c r="G69" s="75"/>
      <c r="H69" s="75"/>
      <c r="I69" s="127">
        <v>80</v>
      </c>
      <c r="J69" s="75"/>
      <c r="K69" s="75"/>
      <c r="L69" s="75">
        <v>80</v>
      </c>
      <c r="M69" s="129">
        <f t="shared" si="88"/>
        <v>4</v>
      </c>
      <c r="N69" s="39">
        <f t="shared" si="18"/>
        <v>0</v>
      </c>
      <c r="O69" s="49">
        <f t="shared" si="1"/>
        <v>62.470500000000001</v>
      </c>
      <c r="P69" s="73">
        <f t="shared" si="89"/>
        <v>4</v>
      </c>
      <c r="Q69" s="40">
        <f t="shared" si="90"/>
        <v>4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>
        <v>46259</v>
      </c>
      <c r="B70" s="47">
        <v>66</v>
      </c>
      <c r="C70" s="128" t="s">
        <v>100</v>
      </c>
      <c r="D70" s="75"/>
      <c r="E70" s="75"/>
      <c r="F70" s="75"/>
      <c r="G70" s="75">
        <v>40</v>
      </c>
      <c r="H70" s="75">
        <v>40</v>
      </c>
      <c r="I70" s="127"/>
      <c r="J70" s="75"/>
      <c r="K70" s="75"/>
      <c r="L70" s="75">
        <v>80</v>
      </c>
      <c r="M70" s="129">
        <f t="shared" si="88"/>
        <v>4</v>
      </c>
      <c r="N70" s="39">
        <f t="shared" si="18"/>
        <v>0</v>
      </c>
      <c r="O70" s="49">
        <f t="shared" si="1"/>
        <v>62.470500000000001</v>
      </c>
      <c r="P70" s="73">
        <f t="shared" si="89"/>
        <v>4</v>
      </c>
      <c r="Q70" s="40">
        <f t="shared" si="90"/>
        <v>4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>
        <v>46259</v>
      </c>
      <c r="B71" s="47">
        <v>67</v>
      </c>
      <c r="C71" s="128" t="s">
        <v>98</v>
      </c>
      <c r="D71" s="75"/>
      <c r="E71" s="75"/>
      <c r="F71" s="75"/>
      <c r="G71" s="75"/>
      <c r="H71" s="75"/>
      <c r="I71" s="127"/>
      <c r="J71" s="75"/>
      <c r="K71" s="75">
        <v>80</v>
      </c>
      <c r="L71" s="75">
        <v>160</v>
      </c>
      <c r="M71" s="129">
        <f t="shared" si="88"/>
        <v>6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12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>
        <v>46259</v>
      </c>
      <c r="B72" s="47">
        <v>68</v>
      </c>
      <c r="C72" s="128" t="s">
        <v>140</v>
      </c>
      <c r="D72" s="75"/>
      <c r="E72" s="75"/>
      <c r="F72" s="75"/>
      <c r="G72" s="75"/>
      <c r="H72" s="75"/>
      <c r="I72" s="127"/>
      <c r="J72" s="75">
        <v>160</v>
      </c>
      <c r="K72" s="75"/>
      <c r="L72" s="75">
        <v>40</v>
      </c>
      <c r="M72" s="129">
        <f t="shared" si="88"/>
        <v>5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10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>
        <v>46259</v>
      </c>
      <c r="B73" s="47">
        <v>69</v>
      </c>
      <c r="C73" s="128" t="s">
        <v>141</v>
      </c>
      <c r="D73" s="75">
        <v>160</v>
      </c>
      <c r="E73" s="75"/>
      <c r="F73" s="75"/>
      <c r="G73" s="75">
        <v>160</v>
      </c>
      <c r="H73" s="75"/>
      <c r="I73" s="127"/>
      <c r="J73" s="75"/>
      <c r="K73" s="75">
        <v>40</v>
      </c>
      <c r="L73" s="75">
        <v>160</v>
      </c>
      <c r="M73" s="129">
        <f t="shared" si="88"/>
        <v>13</v>
      </c>
      <c r="N73" s="39">
        <f t="shared" si="18"/>
        <v>0</v>
      </c>
      <c r="O73" s="49">
        <f t="shared" si="1"/>
        <v>62.470500000000001</v>
      </c>
      <c r="P73" s="73">
        <f t="shared" si="89"/>
        <v>8</v>
      </c>
      <c r="Q73" s="40">
        <f t="shared" si="90"/>
        <v>10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>
        <v>46259</v>
      </c>
      <c r="B74" s="47">
        <v>70</v>
      </c>
      <c r="C74" s="128" t="s">
        <v>64</v>
      </c>
      <c r="D74" s="75"/>
      <c r="E74" s="75"/>
      <c r="F74" s="75"/>
      <c r="G74" s="75">
        <v>0</v>
      </c>
      <c r="H74" s="75">
        <v>80</v>
      </c>
      <c r="I74" s="127">
        <v>360</v>
      </c>
      <c r="J74" s="75">
        <v>20</v>
      </c>
      <c r="K74" s="75">
        <v>20</v>
      </c>
      <c r="L74" s="75">
        <v>40</v>
      </c>
      <c r="M74" s="129">
        <f t="shared" si="88"/>
        <v>13</v>
      </c>
      <c r="N74" s="39">
        <f t="shared" si="18"/>
        <v>0</v>
      </c>
      <c r="O74" s="49">
        <f t="shared" si="1"/>
        <v>62.470500000000001</v>
      </c>
      <c r="P74" s="73">
        <f t="shared" si="89"/>
        <v>22</v>
      </c>
      <c r="Q74" s="40">
        <f t="shared" si="90"/>
        <v>4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151">
        <v>46261</v>
      </c>
      <c r="B75" s="152">
        <v>71</v>
      </c>
      <c r="C75" s="153" t="s">
        <v>142</v>
      </c>
      <c r="D75" s="154">
        <v>80</v>
      </c>
      <c r="E75" s="154"/>
      <c r="F75" s="155"/>
      <c r="G75" s="154">
        <v>120</v>
      </c>
      <c r="H75" s="154">
        <v>80</v>
      </c>
      <c r="I75" s="156">
        <v>120</v>
      </c>
      <c r="J75" s="154">
        <v>120</v>
      </c>
      <c r="K75" s="154">
        <v>80</v>
      </c>
      <c r="L75" s="154">
        <v>120</v>
      </c>
      <c r="M75" s="129">
        <f t="shared" si="88"/>
        <v>18</v>
      </c>
      <c r="N75" s="39">
        <f t="shared" si="18"/>
        <v>0</v>
      </c>
      <c r="O75" s="49">
        <f t="shared" si="1"/>
        <v>62.470500000000001</v>
      </c>
      <c r="P75" s="73">
        <f t="shared" si="89"/>
        <v>16</v>
      </c>
      <c r="Q75" s="40">
        <f t="shared" si="90"/>
        <v>16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151">
        <v>46261</v>
      </c>
      <c r="B76" s="152">
        <v>72</v>
      </c>
      <c r="C76" s="153" t="s">
        <v>92</v>
      </c>
      <c r="D76" s="154">
        <v>200</v>
      </c>
      <c r="E76" s="155"/>
      <c r="F76" s="155"/>
      <c r="G76" s="154"/>
      <c r="H76" s="154"/>
      <c r="I76" s="156">
        <v>199</v>
      </c>
      <c r="J76" s="154"/>
      <c r="K76" s="154">
        <v>199</v>
      </c>
      <c r="L76" s="154">
        <v>200</v>
      </c>
      <c r="M76" s="129">
        <f t="shared" si="88"/>
        <v>19.95</v>
      </c>
      <c r="N76" s="39">
        <f t="shared" si="18"/>
        <v>0</v>
      </c>
      <c r="O76" s="49">
        <f t="shared" si="1"/>
        <v>62.470500000000001</v>
      </c>
      <c r="P76" s="73">
        <f t="shared" si="89"/>
        <v>9.9499999999999993</v>
      </c>
      <c r="Q76" s="40">
        <f t="shared" si="90"/>
        <v>19.95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151">
        <v>46261</v>
      </c>
      <c r="B77" s="152">
        <v>73</v>
      </c>
      <c r="C77" s="153" t="s">
        <v>143</v>
      </c>
      <c r="D77" s="154"/>
      <c r="E77" s="155"/>
      <c r="F77" s="155"/>
      <c r="G77" s="154">
        <v>80</v>
      </c>
      <c r="H77" s="154">
        <v>80</v>
      </c>
      <c r="I77" s="156"/>
      <c r="J77" s="154">
        <v>120</v>
      </c>
      <c r="K77" s="154">
        <v>120</v>
      </c>
      <c r="L77" s="154">
        <v>120</v>
      </c>
      <c r="M77" s="129">
        <f t="shared" si="88"/>
        <v>13</v>
      </c>
      <c r="N77" s="39">
        <f t="shared" si="18"/>
        <v>0</v>
      </c>
      <c r="O77" s="49">
        <f t="shared" si="1"/>
        <v>62.470500000000001</v>
      </c>
      <c r="P77" s="73">
        <f t="shared" si="89"/>
        <v>8</v>
      </c>
      <c r="Q77" s="40">
        <f t="shared" si="90"/>
        <v>18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151">
        <v>46261</v>
      </c>
      <c r="B78" s="152">
        <v>74</v>
      </c>
      <c r="C78" s="153" t="s">
        <v>144</v>
      </c>
      <c r="D78" s="154"/>
      <c r="E78" s="155"/>
      <c r="F78" s="155"/>
      <c r="G78" s="155">
        <v>40</v>
      </c>
      <c r="H78" s="155">
        <v>80</v>
      </c>
      <c r="I78" s="157">
        <v>80</v>
      </c>
      <c r="J78" s="155">
        <v>80</v>
      </c>
      <c r="K78" s="155">
        <v>80</v>
      </c>
      <c r="L78" s="155">
        <v>80</v>
      </c>
      <c r="M78" s="129">
        <f t="shared" si="88"/>
        <v>11</v>
      </c>
      <c r="N78" s="39">
        <f t="shared" si="18"/>
        <v>0</v>
      </c>
      <c r="O78" s="49">
        <f t="shared" si="1"/>
        <v>62.470500000000001</v>
      </c>
      <c r="P78" s="73">
        <f t="shared" si="89"/>
        <v>10</v>
      </c>
      <c r="Q78" s="40">
        <f t="shared" si="90"/>
        <v>12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151">
        <v>46261</v>
      </c>
      <c r="B79" s="152">
        <v>75</v>
      </c>
      <c r="C79" s="153" t="s">
        <v>145</v>
      </c>
      <c r="D79" s="154"/>
      <c r="E79" s="155"/>
      <c r="F79" s="155"/>
      <c r="G79" s="155">
        <v>40</v>
      </c>
      <c r="H79" s="155"/>
      <c r="I79" s="157">
        <v>40</v>
      </c>
      <c r="J79" s="155">
        <v>40</v>
      </c>
      <c r="K79" s="155">
        <v>39</v>
      </c>
      <c r="L79" s="155">
        <v>80</v>
      </c>
      <c r="M79" s="129">
        <f t="shared" si="88"/>
        <v>5.9749999999999996</v>
      </c>
      <c r="N79" s="39">
        <f t="shared" si="18"/>
        <v>0</v>
      </c>
      <c r="O79" s="49">
        <f t="shared" si="1"/>
        <v>62.470500000000001</v>
      </c>
      <c r="P79" s="73">
        <f t="shared" si="89"/>
        <v>4</v>
      </c>
      <c r="Q79" s="40">
        <f t="shared" si="90"/>
        <v>7.95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151">
        <v>46261</v>
      </c>
      <c r="B80" s="152">
        <v>76</v>
      </c>
      <c r="C80" s="158" t="s">
        <v>146</v>
      </c>
      <c r="D80" s="155"/>
      <c r="E80" s="155"/>
      <c r="F80" s="155"/>
      <c r="G80" s="155">
        <v>40</v>
      </c>
      <c r="H80" s="155">
        <v>40</v>
      </c>
      <c r="I80" s="157">
        <v>40</v>
      </c>
      <c r="J80" s="155">
        <v>40</v>
      </c>
      <c r="K80" s="155">
        <v>39</v>
      </c>
      <c r="L80" s="155">
        <v>80</v>
      </c>
      <c r="M80" s="129">
        <f t="shared" si="88"/>
        <v>6.9749999999999996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6</v>
      </c>
      <c r="Q80" s="40">
        <f t="shared" ref="Q80:Q84" si="97">SUM(J80:L80)/20</f>
        <v>7.95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151">
        <v>46261</v>
      </c>
      <c r="B81" s="152">
        <v>77</v>
      </c>
      <c r="C81" s="158" t="s">
        <v>126</v>
      </c>
      <c r="D81" s="155"/>
      <c r="E81" s="155"/>
      <c r="F81" s="155"/>
      <c r="G81" s="155">
        <v>400</v>
      </c>
      <c r="H81" s="155">
        <v>800</v>
      </c>
      <c r="I81" s="157">
        <v>800</v>
      </c>
      <c r="J81" s="155">
        <v>800</v>
      </c>
      <c r="K81" s="155">
        <v>800</v>
      </c>
      <c r="L81" s="155">
        <v>2000</v>
      </c>
      <c r="M81" s="129">
        <f t="shared" si="88"/>
        <v>140</v>
      </c>
      <c r="N81" s="39">
        <f t="shared" si="18"/>
        <v>0</v>
      </c>
      <c r="O81" s="49">
        <f t="shared" si="1"/>
        <v>62.470500000000001</v>
      </c>
      <c r="P81" s="73">
        <f t="shared" si="96"/>
        <v>100</v>
      </c>
      <c r="Q81" s="40">
        <f t="shared" si="97"/>
        <v>180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139">
        <v>46262</v>
      </c>
      <c r="B82" s="47">
        <v>78</v>
      </c>
      <c r="C82" s="128" t="s">
        <v>147</v>
      </c>
      <c r="D82" s="50"/>
      <c r="E82" s="50"/>
      <c r="F82" s="50"/>
      <c r="G82" s="50">
        <v>40</v>
      </c>
      <c r="H82" s="50">
        <v>80</v>
      </c>
      <c r="I82" s="129">
        <v>480</v>
      </c>
      <c r="J82" s="50">
        <v>80</v>
      </c>
      <c r="K82" s="50">
        <v>60</v>
      </c>
      <c r="L82" s="50">
        <v>80</v>
      </c>
      <c r="M82" s="129">
        <f t="shared" si="88"/>
        <v>20.5</v>
      </c>
      <c r="N82" s="39">
        <f t="shared" si="18"/>
        <v>0</v>
      </c>
      <c r="O82" s="49">
        <f t="shared" si="1"/>
        <v>62.470500000000001</v>
      </c>
      <c r="P82" s="73">
        <f t="shared" si="96"/>
        <v>30</v>
      </c>
      <c r="Q82" s="40">
        <f t="shared" si="97"/>
        <v>11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139">
        <v>46262</v>
      </c>
      <c r="B83" s="47">
        <v>79</v>
      </c>
      <c r="C83" s="128" t="s">
        <v>148</v>
      </c>
      <c r="D83" s="50"/>
      <c r="E83" s="50"/>
      <c r="F83" s="50"/>
      <c r="G83" s="50">
        <v>80</v>
      </c>
      <c r="H83" s="50">
        <v>80</v>
      </c>
      <c r="I83" s="129">
        <v>120</v>
      </c>
      <c r="J83" s="50">
        <v>160</v>
      </c>
      <c r="K83" s="50">
        <v>40</v>
      </c>
      <c r="L83" s="50">
        <v>240</v>
      </c>
      <c r="M83" s="129">
        <f t="shared" si="88"/>
        <v>18</v>
      </c>
      <c r="N83" s="39">
        <f t="shared" si="18"/>
        <v>0</v>
      </c>
      <c r="O83" s="49">
        <f t="shared" si="1"/>
        <v>62.470500000000001</v>
      </c>
      <c r="P83" s="73">
        <f t="shared" si="96"/>
        <v>14</v>
      </c>
      <c r="Q83" s="40">
        <f t="shared" si="97"/>
        <v>22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139">
        <v>46263</v>
      </c>
      <c r="B84" s="140">
        <v>80</v>
      </c>
      <c r="C84" s="159" t="s">
        <v>33</v>
      </c>
      <c r="D84" s="145">
        <v>2000</v>
      </c>
      <c r="E84" s="145"/>
      <c r="F84" s="145"/>
      <c r="G84" s="145">
        <v>1200</v>
      </c>
      <c r="H84" s="145">
        <v>1200</v>
      </c>
      <c r="I84" s="160">
        <v>1600</v>
      </c>
      <c r="J84" s="145">
        <v>4800</v>
      </c>
      <c r="K84" s="145">
        <v>4400</v>
      </c>
      <c r="L84" s="145">
        <v>4800</v>
      </c>
      <c r="M84" s="129">
        <f t="shared" si="88"/>
        <v>500</v>
      </c>
      <c r="N84" s="39">
        <f t="shared" si="18"/>
        <v>0</v>
      </c>
      <c r="O84" s="49">
        <f t="shared" si="1"/>
        <v>62.470500000000001</v>
      </c>
      <c r="P84" s="73">
        <f t="shared" si="96"/>
        <v>200</v>
      </c>
      <c r="Q84" s="40">
        <f t="shared" si="97"/>
        <v>700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139">
        <v>46263</v>
      </c>
      <c r="B85" s="140">
        <v>81</v>
      </c>
      <c r="C85" s="159" t="s">
        <v>149</v>
      </c>
      <c r="D85" s="145"/>
      <c r="E85" s="145"/>
      <c r="F85" s="145"/>
      <c r="G85" s="145">
        <v>200</v>
      </c>
      <c r="H85" s="145">
        <v>120</v>
      </c>
      <c r="I85" s="160">
        <v>120</v>
      </c>
      <c r="J85" s="145">
        <v>200</v>
      </c>
      <c r="K85" s="145">
        <v>200</v>
      </c>
      <c r="L85" s="145">
        <v>200</v>
      </c>
      <c r="M85" s="129">
        <f t="shared" ref="M85:M132" si="103">SUM(D85:L85)/40</f>
        <v>26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22</v>
      </c>
      <c r="Q85" s="40">
        <f t="shared" ref="Q85:Q132" si="105">SUM(J85:L85)/20</f>
        <v>30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139">
        <v>46265</v>
      </c>
      <c r="B86" s="47">
        <v>82</v>
      </c>
      <c r="C86" s="128" t="s">
        <v>150</v>
      </c>
      <c r="D86" s="50">
        <v>80</v>
      </c>
      <c r="E86" s="50"/>
      <c r="F86" s="50"/>
      <c r="G86" s="50">
        <v>80</v>
      </c>
      <c r="H86" s="50">
        <v>80</v>
      </c>
      <c r="I86" s="129">
        <v>40</v>
      </c>
      <c r="J86" s="50">
        <v>80</v>
      </c>
      <c r="K86" s="50">
        <v>40</v>
      </c>
      <c r="L86" s="50">
        <v>80</v>
      </c>
      <c r="M86" s="129">
        <f t="shared" si="103"/>
        <v>12</v>
      </c>
      <c r="N86" s="39">
        <f t="shared" si="18"/>
        <v>0</v>
      </c>
      <c r="O86" s="49">
        <f t="shared" si="1"/>
        <v>62.470500000000001</v>
      </c>
      <c r="P86" s="73">
        <f t="shared" si="104"/>
        <v>10</v>
      </c>
      <c r="Q86" s="40">
        <f t="shared" si="105"/>
        <v>10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71" t="s">
        <v>11</v>
      </c>
      <c r="C133" s="172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84" t="s">
        <v>70</v>
      </c>
      <c r="C137" s="185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73" t="s">
        <v>11</v>
      </c>
      <c r="C138" s="174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2997.5</v>
      </c>
      <c r="Q138" s="64">
        <f t="shared" si="120"/>
        <v>5275.45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38:C138"/>
    <mergeCell ref="M2:O2"/>
    <mergeCell ref="P2:Q2"/>
    <mergeCell ref="M3:O3"/>
    <mergeCell ref="A2:A4"/>
    <mergeCell ref="B137:C137"/>
    <mergeCell ref="B1:F1"/>
    <mergeCell ref="B2:B4"/>
    <mergeCell ref="R3:U3"/>
    <mergeCell ref="V3:Y3"/>
    <mergeCell ref="B133:C133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10" sqref="I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8" t="s">
        <v>117</v>
      </c>
      <c r="D3" s="189"/>
      <c r="E3" s="189"/>
      <c r="F3" s="189"/>
      <c r="G3" s="190"/>
      <c r="H3" s="192" t="s">
        <v>62</v>
      </c>
      <c r="I3" s="193"/>
      <c r="K3" s="194" t="s">
        <v>66</v>
      </c>
      <c r="L3" s="194"/>
      <c r="M3" s="194"/>
      <c r="N3" s="194"/>
      <c r="O3" s="194"/>
      <c r="P3" s="194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860</v>
      </c>
      <c r="E5" s="79">
        <v>1659</v>
      </c>
      <c r="F5" s="79">
        <v>1100</v>
      </c>
      <c r="G5" s="102">
        <f>SUM(D5:F5)</f>
        <v>3619</v>
      </c>
      <c r="H5" s="95">
        <v>10000</v>
      </c>
      <c r="I5" s="96">
        <f>G5-H5</f>
        <v>-6381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34400</v>
      </c>
      <c r="E6" s="104">
        <f t="shared" ref="E6:F6" si="1">E5*40</f>
        <v>66360</v>
      </c>
      <c r="F6" s="104">
        <f t="shared" si="1"/>
        <v>44000</v>
      </c>
      <c r="G6" s="105">
        <f>SUM(D6:F6)</f>
        <v>144760</v>
      </c>
      <c r="H6" s="97">
        <f>H5*40</f>
        <v>400000</v>
      </c>
      <c r="I6" s="98">
        <f>G6-H6</f>
        <v>-255240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-860</v>
      </c>
      <c r="E9" s="106">
        <f>E8-E5</f>
        <v>-1659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91" t="s">
        <v>59</v>
      </c>
      <c r="D11" s="191"/>
      <c r="F11" s="191" t="s">
        <v>68</v>
      </c>
      <c r="G11" s="191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7819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312760</v>
      </c>
      <c r="S13" s="186" t="s">
        <v>85</v>
      </c>
      <c r="T13" s="186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87" t="s">
        <v>66</v>
      </c>
      <c r="E20" s="187"/>
      <c r="F20" s="187"/>
      <c r="G20" s="187"/>
      <c r="H20" s="187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2026-09-01T08:55:53Z</dcterms:modified>
</cp:coreProperties>
</file>