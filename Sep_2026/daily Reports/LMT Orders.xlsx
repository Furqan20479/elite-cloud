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7B0D15A2-A2ED-44CB-B35F-84BF77F7270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<sst xmlns="http://schemas.openxmlformats.org/spreadsheetml/2006/main" count="322" uniqueCount="205">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</sst>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91" zoomScaleNormal="100" workbookViewId="0">
      <selection activeCell="E105" sqref="E105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62">
        <f ca="1">TODAY()</f>
        <v>46288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:M10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183">
        <v>46286</v>
      </c>
      <c r="B81" s="184">
        <v>77</v>
      </c>
      <c r="C81" s="185" t="s">
        <v>189</v>
      </c>
      <c r="D81" s="185" t="s">
        <v>116</v>
      </c>
      <c r="E81" s="186"/>
      <c r="F81" s="186">
        <v>40</v>
      </c>
      <c r="G81" s="186"/>
      <c r="H81" s="187">
        <v>27</v>
      </c>
      <c r="I81" s="186"/>
      <c r="J81" s="186"/>
      <c r="K81" s="186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183">
        <v>46286</v>
      </c>
      <c r="B82" s="184">
        <v>78</v>
      </c>
      <c r="C82" s="185" t="s">
        <v>190</v>
      </c>
      <c r="D82" s="185" t="s">
        <v>117</v>
      </c>
      <c r="E82" s="186"/>
      <c r="F82" s="186"/>
      <c r="G82" s="186"/>
      <c r="H82" s="187"/>
      <c r="I82" s="186">
        <v>120</v>
      </c>
      <c r="J82" s="186">
        <v>120</v>
      </c>
      <c r="K82" s="186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183">
        <v>46286</v>
      </c>
      <c r="B83" s="184">
        <v>79</v>
      </c>
      <c r="C83" s="185" t="s">
        <v>190</v>
      </c>
      <c r="D83" s="185" t="s">
        <v>117</v>
      </c>
      <c r="E83" s="186"/>
      <c r="F83" s="186"/>
      <c r="G83" s="186"/>
      <c r="H83" s="187"/>
      <c r="I83" s="186">
        <v>80</v>
      </c>
      <c r="J83" s="186">
        <v>80</v>
      </c>
      <c r="K83" s="186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183">
        <v>46286</v>
      </c>
      <c r="B84" s="184">
        <v>80</v>
      </c>
      <c r="C84" s="185" t="s">
        <v>105</v>
      </c>
      <c r="D84" s="185" t="s">
        <v>191</v>
      </c>
      <c r="E84" s="186"/>
      <c r="F84" s="186">
        <v>800</v>
      </c>
      <c r="G84" s="186">
        <v>800</v>
      </c>
      <c r="H84" s="187">
        <v>800</v>
      </c>
      <c r="I84" s="186">
        <v>800</v>
      </c>
      <c r="J84" s="186">
        <v>800</v>
      </c>
      <c r="K84" s="186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183">
        <v>46286</v>
      </c>
      <c r="B85" s="184">
        <v>81</v>
      </c>
      <c r="C85" s="185" t="s">
        <v>105</v>
      </c>
      <c r="D85" s="185" t="s">
        <v>117</v>
      </c>
      <c r="E85" s="186"/>
      <c r="F85" s="186">
        <v>80</v>
      </c>
      <c r="G85" s="186">
        <v>80</v>
      </c>
      <c r="H85" s="187">
        <v>200</v>
      </c>
      <c r="I85" s="186">
        <v>80</v>
      </c>
      <c r="J85" s="186">
        <v>80</v>
      </c>
      <c r="K85" s="186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183">
        <v>46286</v>
      </c>
      <c r="B86" s="184">
        <v>82</v>
      </c>
      <c r="C86" s="185" t="s">
        <v>192</v>
      </c>
      <c r="D86" s="185" t="s">
        <v>193</v>
      </c>
      <c r="E86" s="186"/>
      <c r="F86" s="186">
        <v>40</v>
      </c>
      <c r="G86" s="186">
        <v>40</v>
      </c>
      <c r="H86" s="187">
        <v>40</v>
      </c>
      <c r="I86" s="186">
        <v>40</v>
      </c>
      <c r="J86" s="186">
        <v>40</v>
      </c>
      <c r="K86" s="186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183">
        <v>46286</v>
      </c>
      <c r="B87" s="184">
        <v>83</v>
      </c>
      <c r="C87" s="185" t="s">
        <v>194</v>
      </c>
      <c r="D87" s="185" t="s">
        <v>195</v>
      </c>
      <c r="E87" s="186"/>
      <c r="F87" s="186">
        <v>120</v>
      </c>
      <c r="G87" s="186">
        <v>160</v>
      </c>
      <c r="H87" s="187">
        <v>240</v>
      </c>
      <c r="I87" s="186">
        <v>160</v>
      </c>
      <c r="J87" s="186">
        <v>120</v>
      </c>
      <c r="K87" s="186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183">
        <v>46286</v>
      </c>
      <c r="B88" s="184">
        <v>84</v>
      </c>
      <c r="C88" s="185" t="s">
        <v>62</v>
      </c>
      <c r="D88" s="185" t="s">
        <v>196</v>
      </c>
      <c r="E88" s="186"/>
      <c r="F88" s="186">
        <v>153</v>
      </c>
      <c r="G88" s="186">
        <v>117</v>
      </c>
      <c r="H88" s="187">
        <v>320</v>
      </c>
      <c r="I88" s="186">
        <v>137</v>
      </c>
      <c r="J88" s="186">
        <v>120</v>
      </c>
      <c r="K88" s="186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183">
        <v>46286</v>
      </c>
      <c r="B89" s="184">
        <v>85</v>
      </c>
      <c r="C89" s="185" t="s">
        <v>197</v>
      </c>
      <c r="D89" s="185" t="s">
        <v>198</v>
      </c>
      <c r="E89" s="186"/>
      <c r="F89" s="186">
        <v>80</v>
      </c>
      <c r="G89" s="186">
        <v>80</v>
      </c>
      <c r="H89" s="187">
        <v>80</v>
      </c>
      <c r="I89" s="186"/>
      <c r="J89" s="186"/>
      <c r="K89" s="186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183">
        <v>46286</v>
      </c>
      <c r="B90" s="184">
        <v>86</v>
      </c>
      <c r="C90" s="185" t="s">
        <v>199</v>
      </c>
      <c r="D90" s="185" t="s">
        <v>179</v>
      </c>
      <c r="E90" s="186"/>
      <c r="F90" s="186">
        <v>80</v>
      </c>
      <c r="G90" s="186">
        <v>80</v>
      </c>
      <c r="H90" s="187">
        <v>80</v>
      </c>
      <c r="I90" s="186">
        <v>80</v>
      </c>
      <c r="J90" s="186">
        <v>80</v>
      </c>
      <c r="K90" s="186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183">
        <v>46286</v>
      </c>
      <c r="B91" s="184">
        <v>87</v>
      </c>
      <c r="C91" s="185" t="s">
        <v>199</v>
      </c>
      <c r="D91" s="185" t="s">
        <v>200</v>
      </c>
      <c r="E91" s="186"/>
      <c r="F91" s="186">
        <v>40</v>
      </c>
      <c r="G91" s="186">
        <v>40</v>
      </c>
      <c r="H91" s="187">
        <v>40</v>
      </c>
      <c r="I91" s="186">
        <v>40</v>
      </c>
      <c r="J91" s="186">
        <v>40</v>
      </c>
      <c r="K91" s="186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183">
        <v>46286</v>
      </c>
      <c r="B92" s="184">
        <v>88</v>
      </c>
      <c r="C92" s="185" t="s">
        <v>199</v>
      </c>
      <c r="D92" s="185" t="s">
        <v>201</v>
      </c>
      <c r="E92" s="186"/>
      <c r="F92" s="186">
        <v>80</v>
      </c>
      <c r="G92" s="186">
        <v>80</v>
      </c>
      <c r="H92" s="187">
        <v>80</v>
      </c>
      <c r="I92" s="186">
        <v>80</v>
      </c>
      <c r="J92" s="186">
        <v>80</v>
      </c>
      <c r="K92" s="186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183">
        <v>46286</v>
      </c>
      <c r="B93" s="184">
        <v>89</v>
      </c>
      <c r="C93" s="185" t="s">
        <v>199</v>
      </c>
      <c r="D93" s="185" t="s">
        <v>200</v>
      </c>
      <c r="E93" s="186"/>
      <c r="F93" s="186">
        <v>40</v>
      </c>
      <c r="G93" s="186">
        <v>40</v>
      </c>
      <c r="H93" s="187">
        <v>40</v>
      </c>
      <c r="I93" s="186">
        <v>40</v>
      </c>
      <c r="J93" s="186">
        <v>40</v>
      </c>
      <c r="K93" s="186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143">
        <v>46287</v>
      </c>
      <c r="B94" s="144">
        <v>90</v>
      </c>
      <c r="C94" s="146" t="s">
        <v>202</v>
      </c>
      <c r="D94" s="146" t="s">
        <v>201</v>
      </c>
      <c r="E94" s="145"/>
      <c r="F94" s="145"/>
      <c r="G94" s="145"/>
      <c r="H94" s="147">
        <v>80</v>
      </c>
      <c r="I94" s="145">
        <v>80</v>
      </c>
      <c r="J94" s="145">
        <v>80</v>
      </c>
      <c r="K94" s="145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143">
        <v>46287</v>
      </c>
      <c r="B95" s="144">
        <v>91</v>
      </c>
      <c r="C95" s="146" t="s">
        <v>203</v>
      </c>
      <c r="D95" s="146" t="s">
        <v>104</v>
      </c>
      <c r="E95" s="145"/>
      <c r="F95" s="145">
        <v>80</v>
      </c>
      <c r="G95" s="145">
        <v>80</v>
      </c>
      <c r="H95" s="147">
        <v>80</v>
      </c>
      <c r="I95" s="145">
        <v>80</v>
      </c>
      <c r="J95" s="145">
        <v>80</v>
      </c>
      <c r="K95" s="145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143">
        <v>46287</v>
      </c>
      <c r="B96" s="144">
        <v>92</v>
      </c>
      <c r="C96" s="146" t="s">
        <v>136</v>
      </c>
      <c r="D96" s="146" t="s">
        <v>114</v>
      </c>
      <c r="E96" s="145"/>
      <c r="F96" s="145">
        <v>80</v>
      </c>
      <c r="G96" s="145">
        <v>80</v>
      </c>
      <c r="H96" s="147">
        <v>40</v>
      </c>
      <c r="I96" s="145">
        <v>200</v>
      </c>
      <c r="J96" s="145">
        <v>80</v>
      </c>
      <c r="K96" s="145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143">
        <v>46287</v>
      </c>
      <c r="B97" s="144">
        <v>93</v>
      </c>
      <c r="C97" s="146" t="s">
        <v>204</v>
      </c>
      <c r="D97" s="146" t="s">
        <v>201</v>
      </c>
      <c r="E97" s="145"/>
      <c r="F97" s="145">
        <v>120</v>
      </c>
      <c r="G97" s="145">
        <v>200</v>
      </c>
      <c r="H97" s="147">
        <v>200</v>
      </c>
      <c r="I97" s="145">
        <v>160</v>
      </c>
      <c r="J97" s="145">
        <v>200</v>
      </c>
      <c r="K97" s="145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/>
      <c r="B98" s="41">
        <v>94</v>
      </c>
      <c r="C98" s="132"/>
      <c r="D98" s="132"/>
      <c r="E98" s="69"/>
      <c r="F98" s="69"/>
      <c r="G98" s="69"/>
      <c r="H98" s="131"/>
      <c r="I98" s="69"/>
      <c r="J98" s="69"/>
      <c r="K98" s="69"/>
      <c r="L98" s="122">
        <f t="shared" si="80"/>
        <v>0</v>
      </c>
      <c r="M98" s="33">
        <f t="shared" si="81"/>
        <v>0</v>
      </c>
      <c r="N98" s="43">
        <f t="shared" ref="N98:N133" si="96">SUMPRODUCT($E$3:$K$3,$E$6:$K$6)/1000</f>
        <v>9.2011000000000003</v>
      </c>
      <c r="O98" s="67">
        <f t="shared" si="88"/>
        <v>0</v>
      </c>
      <c r="P98" s="34">
        <f t="shared" si="89"/>
        <v>0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/>
      <c r="B99" s="41">
        <v>95</v>
      </c>
      <c r="C99" s="132"/>
      <c r="D99" s="132"/>
      <c r="E99" s="69"/>
      <c r="F99" s="69"/>
      <c r="G99" s="69"/>
      <c r="H99" s="131"/>
      <c r="I99" s="69"/>
      <c r="J99" s="69"/>
      <c r="K99" s="69"/>
      <c r="L99" s="122">
        <f t="shared" si="80"/>
        <v>0</v>
      </c>
      <c r="M99" s="33">
        <f t="shared" si="81"/>
        <v>0</v>
      </c>
      <c r="N99" s="43">
        <f t="shared" si="96"/>
        <v>9.2011000000000003</v>
      </c>
      <c r="O99" s="67">
        <f t="shared" si="88"/>
        <v>0</v>
      </c>
      <c r="P99" s="34">
        <f t="shared" si="89"/>
        <v>0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/>
      <c r="B100" s="41">
        <v>96</v>
      </c>
      <c r="C100" s="132"/>
      <c r="D100" s="132"/>
      <c r="E100" s="69"/>
      <c r="F100" s="69"/>
      <c r="G100" s="69"/>
      <c r="H100" s="131"/>
      <c r="I100" s="69"/>
      <c r="J100" s="69"/>
      <c r="K100" s="69"/>
      <c r="L100" s="122">
        <f t="shared" si="80"/>
        <v>0</v>
      </c>
      <c r="M100" s="33">
        <f t="shared" si="81"/>
        <v>0</v>
      </c>
      <c r="N100" s="43">
        <f t="shared" si="96"/>
        <v>9.2011000000000003</v>
      </c>
      <c r="O100" s="67">
        <f t="shared" si="88"/>
        <v>0</v>
      </c>
      <c r="P100" s="34">
        <f t="shared" si="89"/>
        <v>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/>
      <c r="B101" s="41">
        <v>97</v>
      </c>
      <c r="C101" s="132"/>
      <c r="D101" s="132"/>
      <c r="E101" s="69"/>
      <c r="F101" s="69"/>
      <c r="G101" s="69"/>
      <c r="H101" s="131"/>
      <c r="I101" s="69"/>
      <c r="J101" s="69"/>
      <c r="K101" s="69"/>
      <c r="L101" s="122">
        <f t="shared" ref="L101:L132" si="97">SUM(E101:K101)/40</f>
        <v>0</v>
      </c>
      <c r="M101" s="33">
        <f t="shared" si="81"/>
        <v>0</v>
      </c>
      <c r="N101" s="43">
        <f t="shared" si="96"/>
        <v>9.2011000000000003</v>
      </c>
      <c r="O101" s="67">
        <f t="shared" si="88"/>
        <v>0</v>
      </c>
      <c r="P101" s="34">
        <f t="shared" si="89"/>
        <v>0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/>
      <c r="B102" s="41">
        <v>98</v>
      </c>
      <c r="C102" s="132"/>
      <c r="D102" s="132"/>
      <c r="E102" s="69"/>
      <c r="F102" s="69"/>
      <c r="G102" s="69"/>
      <c r="H102" s="131"/>
      <c r="I102" s="69"/>
      <c r="J102" s="69"/>
      <c r="K102" s="69"/>
      <c r="L102" s="122">
        <f t="shared" si="97"/>
        <v>0</v>
      </c>
      <c r="M102" s="33">
        <f t="shared" si="81"/>
        <v>0</v>
      </c>
      <c r="N102" s="43">
        <f t="shared" si="96"/>
        <v>9.2011000000000003</v>
      </c>
      <c r="O102" s="67">
        <f t="shared" si="88"/>
        <v>0</v>
      </c>
      <c r="P102" s="34">
        <f t="shared" si="89"/>
        <v>0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/>
      <c r="B103" s="41">
        <v>99</v>
      </c>
      <c r="C103" s="132"/>
      <c r="D103" s="132"/>
      <c r="E103" s="69"/>
      <c r="F103" s="69"/>
      <c r="G103" s="69"/>
      <c r="H103" s="131"/>
      <c r="I103" s="69"/>
      <c r="J103" s="69"/>
      <c r="K103" s="69"/>
      <c r="L103" s="122">
        <f t="shared" si="97"/>
        <v>0</v>
      </c>
      <c r="M103" s="33">
        <f t="shared" ref="M103:M133" si="98">SUMPRODUCT($E$4:$K$4,$E$6:$K$6)</f>
        <v>0</v>
      </c>
      <c r="N103" s="43">
        <f t="shared" si="96"/>
        <v>9.2011000000000003</v>
      </c>
      <c r="O103" s="67">
        <f t="shared" si="88"/>
        <v>0</v>
      </c>
      <c r="P103" s="34">
        <f t="shared" si="89"/>
        <v>0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/>
      <c r="B104" s="41">
        <v>100</v>
      </c>
      <c r="C104" s="132"/>
      <c r="D104" s="132"/>
      <c r="E104" s="69"/>
      <c r="F104" s="69"/>
      <c r="G104" s="69"/>
      <c r="H104" s="131"/>
      <c r="I104" s="69"/>
      <c r="J104" s="69"/>
      <c r="K104" s="69"/>
      <c r="L104" s="122">
        <f t="shared" si="97"/>
        <v>0</v>
      </c>
      <c r="M104" s="33">
        <f t="shared" si="98"/>
        <v>0</v>
      </c>
      <c r="N104" s="43">
        <f t="shared" si="96"/>
        <v>9.2011000000000003</v>
      </c>
      <c r="O104" s="67">
        <f t="shared" si="88"/>
        <v>0</v>
      </c>
      <c r="P104" s="34">
        <f t="shared" si="89"/>
        <v>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/>
      <c r="B105" s="41">
        <v>101</v>
      </c>
      <c r="C105" s="132"/>
      <c r="D105" s="132"/>
      <c r="E105" s="69"/>
      <c r="F105" s="69"/>
      <c r="G105" s="69"/>
      <c r="H105" s="131"/>
      <c r="I105" s="69"/>
      <c r="J105" s="69"/>
      <c r="K105" s="69"/>
      <c r="L105" s="122">
        <f t="shared" si="97"/>
        <v>0</v>
      </c>
      <c r="M105" s="33">
        <f t="shared" si="98"/>
        <v>0</v>
      </c>
      <c r="N105" s="43">
        <f t="shared" si="96"/>
        <v>9.2011000000000003</v>
      </c>
      <c r="O105" s="67">
        <f t="shared" si="88"/>
        <v>0</v>
      </c>
      <c r="P105" s="34">
        <f t="shared" si="89"/>
        <v>0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32"/>
      <c r="D106" s="132"/>
      <c r="E106" s="69"/>
      <c r="F106" s="69"/>
      <c r="G106" s="69"/>
      <c r="H106" s="131"/>
      <c r="I106" s="69"/>
      <c r="J106" s="69"/>
      <c r="K106" s="69"/>
      <c r="L106" s="122">
        <f t="shared" si="97"/>
        <v>0</v>
      </c>
      <c r="M106" s="33">
        <f t="shared" si="98"/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>SUM(E6:E61)</f>
        <v>2265</v>
      </c>
      <c r="F133" s="78">
        <f>SUM(F6:F61)</f>
        <v>3118</v>
      </c>
      <c r="G133" s="78">
        <f>SUM(G6:G61)</f>
        <v>3290</v>
      </c>
      <c r="H133" s="78">
        <f>SUM(H6:H61)</f>
        <v>4730</v>
      </c>
      <c r="I133" s="78">
        <f>SUM(I6:I61)</f>
        <v>4955</v>
      </c>
      <c r="J133" s="78">
        <f>SUM(J6:J61)</f>
        <v>5537</v>
      </c>
      <c r="K133" s="78">
        <f>SUM(K6:K61)</f>
        <v>7540</v>
      </c>
      <c r="L133" s="42">
        <f t="shared" ref="L133" si="101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2">SUM(F133:H133)/20</f>
        <v>556.9</v>
      </c>
      <c r="P133" s="34">
        <f t="shared" ref="P133:P137" si="103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4">SUM(F133:H133)*$V$3</f>
        <v>0</v>
      </c>
      <c r="W133" s="49">
        <f t="shared" ref="W133:W137" si="105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2"/>
        <v>0</v>
      </c>
      <c r="P135" s="34">
        <f t="shared" si="103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4"/>
        <v>0</v>
      </c>
      <c r="W135" s="49">
        <f t="shared" si="105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2"/>
        <v>0</v>
      </c>
      <c r="P136" s="34">
        <f t="shared" si="103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4"/>
        <v>0</v>
      </c>
      <c r="W136" s="49">
        <f t="shared" si="105"/>
        <v>0</v>
      </c>
      <c r="X136" s="50" t="e">
        <f t="shared" si="17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6">SUM(F135:F136)</f>
        <v>0</v>
      </c>
      <c r="G137" s="77">
        <f t="shared" si="106"/>
        <v>0</v>
      </c>
      <c r="H137" s="77">
        <f t="shared" si="106"/>
        <v>0</v>
      </c>
      <c r="I137" s="77">
        <f t="shared" si="106"/>
        <v>0</v>
      </c>
      <c r="J137" s="77">
        <f t="shared" si="106"/>
        <v>0</v>
      </c>
      <c r="K137" s="77">
        <f t="shared" si="106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2"/>
        <v>0</v>
      </c>
      <c r="P137" s="34">
        <f t="shared" si="103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4"/>
        <v>0</v>
      </c>
      <c r="W137" s="49">
        <f t="shared" si="105"/>
        <v>0</v>
      </c>
      <c r="X137" s="50" t="e">
        <f t="shared" si="17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2265</v>
      </c>
      <c r="F138" s="79">
        <f t="shared" ref="F138:K138" si="107">SUM(F133,F137)</f>
        <v>3118</v>
      </c>
      <c r="G138" s="79">
        <f t="shared" si="107"/>
        <v>3290</v>
      </c>
      <c r="H138" s="79">
        <f t="shared" si="107"/>
        <v>4730</v>
      </c>
      <c r="I138" s="79">
        <f t="shared" si="107"/>
        <v>4955</v>
      </c>
      <c r="J138" s="79">
        <f t="shared" si="107"/>
        <v>5537</v>
      </c>
      <c r="K138" s="79">
        <f t="shared" si="107"/>
        <v>7540</v>
      </c>
      <c r="L138" s="54">
        <f>SUM(E138:K138)/40</f>
        <v>785.875</v>
      </c>
      <c r="M138" s="57">
        <f>SUM(M5:M137)</f>
        <v>1271</v>
      </c>
      <c r="N138" s="55">
        <f t="shared" ref="N138:X138" si="108">SUM(N5:N137)</f>
        <v>947.71329999999978</v>
      </c>
      <c r="O138" s="56">
        <f t="shared" si="108"/>
        <v>1816.3000000000002</v>
      </c>
      <c r="P138" s="58">
        <f t="shared" si="108"/>
        <v>2715.95</v>
      </c>
      <c r="Q138" s="59" t="e">
        <f t="shared" si="108"/>
        <v>#VALUE!</v>
      </c>
      <c r="R138" s="60">
        <f t="shared" si="108"/>
        <v>0</v>
      </c>
      <c r="S138" s="60">
        <f t="shared" si="108"/>
        <v>0</v>
      </c>
      <c r="T138" s="61" t="e">
        <f t="shared" si="108"/>
        <v>#VALUE!</v>
      </c>
      <c r="U138" s="62" t="e">
        <f t="shared" si="108"/>
        <v>#VALUE!</v>
      </c>
      <c r="V138" s="63">
        <f t="shared" si="108"/>
        <v>0</v>
      </c>
      <c r="W138" s="63">
        <f t="shared" si="108"/>
        <v>0</v>
      </c>
      <c r="X138" s="64" t="e">
        <f t="shared" si="108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D5" sqref="D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787</v>
      </c>
      <c r="E5" s="73">
        <v>1430</v>
      </c>
      <c r="F5" s="73">
        <v>100</v>
      </c>
      <c r="G5" s="96">
        <f>SUM(D5:F5)</f>
        <v>2317</v>
      </c>
      <c r="H5" s="89">
        <v>10000</v>
      </c>
      <c r="I5" s="90">
        <f>G5-H5</f>
        <v>-7683</v>
      </c>
      <c r="K5" s="141" t="s">
        <v>1</v>
      </c>
      <c r="L5" s="7">
        <v>70</v>
      </c>
      <c r="M5" s="5">
        <v>10638</v>
      </c>
      <c r="N5" s="6">
        <f t="shared" ref="N5:N11" si="0">M5/40</f>
        <v>265.95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31480</v>
      </c>
      <c r="E6" s="98">
        <f t="shared" ref="E6:F6" si="1">E5*40</f>
        <v>57200</v>
      </c>
      <c r="F6" s="98">
        <f t="shared" si="1"/>
        <v>4000</v>
      </c>
      <c r="G6" s="99">
        <f>SUM(D6:F6)</f>
        <v>92680</v>
      </c>
      <c r="H6" s="91">
        <f>H5*40</f>
        <v>400000</v>
      </c>
      <c r="I6" s="92">
        <f>G6-H6</f>
        <v>-307320</v>
      </c>
      <c r="K6" s="141" t="s">
        <v>2</v>
      </c>
      <c r="L6" s="7">
        <v>70</v>
      </c>
      <c r="M6" s="5">
        <v>6966</v>
      </c>
      <c r="N6" s="6">
        <f t="shared" si="0"/>
        <v>174.15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3042</v>
      </c>
      <c r="N7" s="6">
        <f t="shared" si="0"/>
        <v>76.05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3339</v>
      </c>
      <c r="N8" s="6">
        <f t="shared" si="0"/>
        <v>83.474999999999994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-787</v>
      </c>
      <c r="E9" s="100">
        <f>E8-E5</f>
        <v>-1430</v>
      </c>
      <c r="K9" s="141" t="s">
        <v>5</v>
      </c>
      <c r="L9" s="7">
        <v>120</v>
      </c>
      <c r="M9" s="5">
        <v>4356</v>
      </c>
      <c r="N9" s="6">
        <f t="shared" si="0"/>
        <v>108.9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7854</v>
      </c>
      <c r="N10" s="6">
        <f t="shared" si="0"/>
        <v>196.35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6517</v>
      </c>
      <c r="K12" s="141" t="s">
        <v>11</v>
      </c>
      <c r="L12" s="75"/>
      <c r="M12" s="8">
        <f>SUM(M5:M11)</f>
        <v>36195</v>
      </c>
      <c r="N12" s="9">
        <f>SUM(N5:N11)</f>
        <v>904.875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260680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-10638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-6966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-3042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-3339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-4356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-7854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-36195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-904.875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2026-09-23T12:12:04Z</dcterms:modified>
</cp:coreProperties>
</file>