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EE28A2C6-7C12-4BDB-8071-852C2A3F999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7" i="2"/>
  <c r="H6" i="2"/>
  <c r="H5" i="2"/>
  <c r="H4" i="2"/>
  <c r="O5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O14" i="2"/>
  <c r="I15" i="2"/>
  <c r="L15" i="2"/>
  <c r="O15" i="2"/>
  <c r="P14" i="2" l="1"/>
  <c r="H19" i="2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<sst xmlns="http://schemas.openxmlformats.org/spreadsheetml/2006/main" count="369" uniqueCount="78">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</sst>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46253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T6" sqref="T6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9.542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10</v>
      </c>
      <c r="C2" s="63">
        <f>+B2/A2</f>
        <v>0.38461538461538464</v>
      </c>
      <c r="D2" s="62">
        <f>+A2-B2</f>
        <v>16</v>
      </c>
      <c r="F2" s="94">
        <v>46276</v>
      </c>
      <c r="G2" s="108" t="s">
        <v>38</v>
      </c>
      <c r="H2" s="109"/>
      <c r="I2" s="109"/>
      <c r="J2" s="105" t="s">
        <v>59</v>
      </c>
      <c r="K2" s="106"/>
      <c r="L2" s="106"/>
      <c r="M2" s="106"/>
      <c r="N2" s="107"/>
      <c r="O2" s="111" t="s">
        <v>39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5+36+19+15+11+19+14+7</f>
        <v>126</v>
      </c>
      <c r="I4" s="68">
        <f t="shared" ref="I4:I31" si="0">H4/G4</f>
        <v>0.21</v>
      </c>
      <c r="J4" s="30">
        <v>550</v>
      </c>
      <c r="K4" s="8">
        <v>146</v>
      </c>
      <c r="L4" s="87">
        <f t="shared" ref="L4:L29" si="1">K4/J4</f>
        <v>0.26545454545454544</v>
      </c>
      <c r="M4" s="8">
        <f t="shared" ref="M4:M6" si="2">J4-K4</f>
        <v>404</v>
      </c>
      <c r="N4" s="10">
        <f t="shared" ref="N4:N6" si="3">M4/$D$2</f>
        <v>25.25</v>
      </c>
      <c r="O4" s="69">
        <f t="shared" ref="O4:P12" si="4">K4/H4</f>
        <v>1.1587301587301588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23+33+16+19+14+20+21+15</f>
        <v>161</v>
      </c>
      <c r="I5" s="70">
        <f t="shared" si="0"/>
        <v>0.26833333333333331</v>
      </c>
      <c r="J5" s="11">
        <v>450</v>
      </c>
      <c r="K5" s="12">
        <v>91</v>
      </c>
      <c r="L5" s="71">
        <f t="shared" si="1"/>
        <v>0.20222222222222222</v>
      </c>
      <c r="M5" s="12">
        <f t="shared" si="2"/>
        <v>359</v>
      </c>
      <c r="N5" s="14">
        <f t="shared" si="3"/>
        <v>22.4375</v>
      </c>
      <c r="O5" s="98">
        <f t="shared" si="4"/>
        <v>0.56521739130434778</v>
      </c>
      <c r="P5" s="33">
        <v>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6+16+5+3+11+11+4</f>
        <v>56</v>
      </c>
      <c r="I6" s="70">
        <f t="shared" si="0"/>
        <v>9.3333333333333338E-2</v>
      </c>
      <c r="J6" s="11">
        <v>550</v>
      </c>
      <c r="K6" s="12">
        <v>79</v>
      </c>
      <c r="L6" s="71">
        <f t="shared" si="1"/>
        <v>0.14363636363636365</v>
      </c>
      <c r="M6" s="12">
        <f t="shared" si="2"/>
        <v>471</v>
      </c>
      <c r="N6" s="14">
        <f t="shared" si="3"/>
        <v>29.4375</v>
      </c>
      <c r="O6" s="72">
        <f t="shared" si="4"/>
        <v>1.4107142857142858</v>
      </c>
      <c r="P6" s="14">
        <f t="shared" si="4"/>
        <v>1.5389610389610391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2+9+17+9+5+4+10+5</f>
        <v>61</v>
      </c>
      <c r="I7" s="70">
        <f t="shared" si="0"/>
        <v>0.10166666666666667</v>
      </c>
      <c r="J7" s="11">
        <v>400</v>
      </c>
      <c r="K7" s="12">
        <v>70</v>
      </c>
      <c r="L7" s="71">
        <f t="shared" si="1"/>
        <v>0.17499999999999999</v>
      </c>
      <c r="M7" s="12">
        <f t="shared" ref="M7:M31" si="5">J7-K7</f>
        <v>330</v>
      </c>
      <c r="N7" s="14">
        <f t="shared" ref="N7:N31" si="6">M7/$D$2</f>
        <v>20.625</v>
      </c>
      <c r="O7" s="72">
        <f t="shared" si="4"/>
        <v>1.1475409836065573</v>
      </c>
      <c r="P7" s="14">
        <f t="shared" si="4"/>
        <v>1.721311475409836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4+7+6+6+11+2+9+6</f>
        <v>51</v>
      </c>
      <c r="I8" s="70">
        <f t="shared" si="0"/>
        <v>8.5000000000000006E-2</v>
      </c>
      <c r="J8" s="11">
        <v>575</v>
      </c>
      <c r="K8" s="12">
        <v>51</v>
      </c>
      <c r="L8" s="71">
        <f t="shared" si="1"/>
        <v>8.8695652173913037E-2</v>
      </c>
      <c r="M8" s="12">
        <f t="shared" si="5"/>
        <v>524</v>
      </c>
      <c r="N8" s="14">
        <f t="shared" si="6"/>
        <v>32.75</v>
      </c>
      <c r="O8" s="72">
        <f t="shared" si="4"/>
        <v>1</v>
      </c>
      <c r="P8" s="14">
        <f t="shared" si="4"/>
        <v>1.043478260869565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34.375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2+7+1+6+5+2+4+4</f>
        <v>31</v>
      </c>
      <c r="I10" s="70">
        <f t="shared" si="0"/>
        <v>0.155</v>
      </c>
      <c r="J10" s="11">
        <v>3000</v>
      </c>
      <c r="K10" s="12">
        <v>618</v>
      </c>
      <c r="L10" s="71">
        <f t="shared" si="1"/>
        <v>0.20599999999999999</v>
      </c>
      <c r="M10" s="12">
        <f t="shared" si="5"/>
        <v>2382</v>
      </c>
      <c r="N10" s="14">
        <f t="shared" si="6"/>
        <v>148.875</v>
      </c>
      <c r="O10" s="72">
        <f t="shared" si="4"/>
        <v>19.93548387096774</v>
      </c>
      <c r="P10" s="14">
        <f t="shared" si="4"/>
        <v>1.329032258064516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40.625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34.375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/>
      <c r="I13" s="70">
        <f t="shared" ref="I13:I15" si="7">H13/G13</f>
        <v>0</v>
      </c>
      <c r="J13" s="11">
        <v>450</v>
      </c>
      <c r="K13" s="12"/>
      <c r="L13" s="71">
        <f t="shared" ref="L13:L16" si="8">K13/J13</f>
        <v>0</v>
      </c>
      <c r="M13" s="12">
        <f t="shared" si="5"/>
        <v>450</v>
      </c>
      <c r="N13" s="14">
        <f t="shared" ref="N13:N15" si="9">M13/$D$2</f>
        <v>28.125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>
        <v>100</v>
      </c>
      <c r="K14" s="12">
        <v>100</v>
      </c>
      <c r="L14" s="71">
        <f t="shared" si="8"/>
        <v>1</v>
      </c>
      <c r="M14" s="12">
        <f t="shared" si="5"/>
        <v>0</v>
      </c>
      <c r="N14" s="14">
        <f t="shared" si="9"/>
        <v>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/>
      <c r="K16" s="12"/>
      <c r="L16" s="71" t="e">
        <f t="shared" si="8"/>
        <v>#DIV/0!</v>
      </c>
      <c r="M16" s="12">
        <f t="shared" si="5"/>
        <v>0</v>
      </c>
      <c r="N16" s="14">
        <f t="shared" si="6"/>
        <v>0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5600</v>
      </c>
      <c r="H19" s="40">
        <f>SUM(H4:H18)</f>
        <v>487</v>
      </c>
      <c r="I19" s="79">
        <f t="shared" si="0"/>
        <v>8.6964285714285716E-2</v>
      </c>
      <c r="J19" s="80">
        <f>SUM(J4:J18)</f>
        <v>7825</v>
      </c>
      <c r="K19" s="80">
        <f>SUM(K4:K18)</f>
        <v>1155</v>
      </c>
      <c r="L19" s="82">
        <f>K19/J19</f>
        <v>0.14760383386581469</v>
      </c>
      <c r="M19" s="81">
        <f t="shared" si="5"/>
        <v>6670</v>
      </c>
      <c r="N19" s="83">
        <f t="shared" si="6"/>
        <v>416.875</v>
      </c>
      <c r="O19" s="84">
        <f>K19/H19</f>
        <v>2.3716632443531829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29.0625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29.1875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29.5625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30.25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147.0625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38.5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35.375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35.875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38.25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148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688</v>
      </c>
      <c r="I31" s="88">
        <f t="shared" si="0"/>
        <v>0.11371900826446281</v>
      </c>
      <c r="J31" s="89">
        <f t="shared" si="17"/>
        <v>12825</v>
      </c>
      <c r="K31" s="90">
        <f t="shared" si="17"/>
        <v>1434</v>
      </c>
      <c r="L31" s="91">
        <f>K31/J31</f>
        <v>0.11181286549707602</v>
      </c>
      <c r="M31" s="90">
        <f t="shared" si="5"/>
        <v>11391</v>
      </c>
      <c r="N31" s="92">
        <f t="shared" si="6"/>
        <v>711.9375</v>
      </c>
      <c r="O31" s="93">
        <f>K31/H31</f>
        <v>2.0843023255813953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2026-09-12T04:54:41Z</dcterms:modified>
</cp:coreProperties>
</file>