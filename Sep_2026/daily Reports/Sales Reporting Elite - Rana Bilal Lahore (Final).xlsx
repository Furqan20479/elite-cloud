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06F41BDC-7584-49EB-AD7A-44DD747F79D6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8" i="2"/>
  <c r="H7" i="2"/>
  <c r="H6" i="2"/>
  <c r="H5" i="2"/>
  <c r="H4" i="2"/>
  <c r="O5" i="2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O14" i="2"/>
  <c r="I15" i="2"/>
  <c r="L15" i="2"/>
  <c r="O15" i="2"/>
  <c r="P14" i="2" l="1"/>
  <c r="H19" i="2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<sst xmlns="http://schemas.openxmlformats.org/spreadsheetml/2006/main" count="369" uniqueCount="78">
  <si>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</si>
  <si>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</si>
  <si>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</si>
  <si>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</si>
  <si>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</si>
  <si>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</si>
  <si>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</si>
  <si>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</si>
  <si>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</si>
  <si>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</si>
  <si>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</si>
  <si>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</si>
  <si>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</si>
  <si>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</si>
  <si>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</si>
  <si>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</si>
  <si>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</si>
  <si>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</si>
  <si>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</si>
  <si>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</si>
  <si>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</si>
  <si>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</si>
  <si>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</si>
  <si>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</si>
  <si>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</si>
  <si>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</si>
  <si>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</si>
  <si>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</si>
  <si>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</si>
  <si>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</si>
  <si>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</si>
  <si>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</si>
  <si>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</si>
  <si>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</si>
  <si>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</si>
  <si>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</si>
  <si>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</si>
  <si>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</si>
  <si>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</si>
  <si>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</si>
  <si>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</si>
  <si>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</si>
  <si>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</si>
  <si>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</si>
  <si>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</si>
  <si>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</si>
  <si>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</si>
  <si>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</si>
  <si>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</si>
  <si>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</si>
  <si>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</si>
  <si>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</si>
  <si>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</si>
  <si>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</si>
  <si>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</si>
  <si>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</si>
  <si>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</si>
  <si>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</si>
  <si>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</si>
  <si>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</si>
  <si>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</si>
  <si>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</si>
  <si>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</si>
  <si>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</si>
  <si>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</si>
  <si>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</si>
  <si>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</si>
  <si>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</si>
  <si>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</si>
  <si>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</si>
  <si>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</si>
  <si>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</si>
  <si>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</si>
  <si>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</si>
  <si>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</si>
  <si>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 xml:space="preserve">Hasan </t>
  </si>
  <si>
    <t>Pendings</t>
  </si>
  <si>
    <t xml:space="preserve">Yasir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</si>
</sst>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3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165" fontId="0" fillId="0" borderId="30" xfId="0" applyNumberFormat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D1" workbookViewId="0">
      <selection activeCell="M15" sqref="M15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2" t="s">
        <v>0</v>
      </c>
      <c r="H1" s="103"/>
      <c r="I1" s="103"/>
      <c r="J1" s="103"/>
      <c r="K1" s="103"/>
      <c r="L1" s="103"/>
      <c r="M1" s="103"/>
      <c r="N1" s="104"/>
      <c r="O1" s="105" t="s">
        <v>1</v>
      </c>
      <c r="P1" s="106"/>
      <c r="Q1" s="106"/>
      <c r="R1" s="106"/>
      <c r="S1" s="106"/>
      <c r="T1" s="106"/>
      <c r="U1" s="106"/>
      <c r="V1" s="107"/>
    </row>
    <row r="2" spans="1:28" ht="15" thickBot="1" x14ac:dyDescent="0.4">
      <c r="F2" s="94">
        <v>46253</v>
      </c>
      <c r="G2" s="108" t="s">
        <v>2</v>
      </c>
      <c r="H2" s="109"/>
      <c r="I2" s="110"/>
      <c r="J2" s="109" t="s">
        <v>3</v>
      </c>
      <c r="K2" s="109"/>
      <c r="L2" s="110"/>
      <c r="M2" s="1"/>
      <c r="N2" s="2"/>
      <c r="O2" s="108" t="s">
        <v>2</v>
      </c>
      <c r="P2" s="109"/>
      <c r="Q2" s="110"/>
      <c r="R2" s="109" t="s">
        <v>3</v>
      </c>
      <c r="S2" s="109"/>
      <c r="T2" s="110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13</v>
      </c>
      <c r="L4" s="32">
        <f t="shared" ref="L4:L12" si="1">K4/J4</f>
        <v>0.32500000000000001</v>
      </c>
      <c r="M4" s="30">
        <f t="shared" ref="M4:N12" si="2">K4/H4</f>
        <v>1.4444444444444444</v>
      </c>
      <c r="N4" s="33">
        <f t="shared" si="2"/>
        <v>1.8055555555555556</v>
      </c>
      <c r="O4" s="30">
        <v>15</v>
      </c>
      <c r="P4" s="96">
        <v>12</v>
      </c>
      <c r="Q4" s="32">
        <f t="shared" ref="Q4:Q12" si="3">P4/O4</f>
        <v>0.8</v>
      </c>
      <c r="R4" s="30">
        <v>16</v>
      </c>
      <c r="S4" s="96">
        <v>13</v>
      </c>
      <c r="T4" s="32">
        <f t="shared" ref="T4:T12" si="4">S4/R4</f>
        <v>0.8125</v>
      </c>
      <c r="U4" s="30">
        <f t="shared" ref="U4:V12" si="5">S4/P4</f>
        <v>1.0833333333333333</v>
      </c>
      <c r="V4" s="33">
        <f t="shared" si="5"/>
        <v>1.015625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10</v>
      </c>
      <c r="I5" s="13">
        <f t="shared" si="0"/>
        <v>0.2</v>
      </c>
      <c r="J5" s="30">
        <v>30</v>
      </c>
      <c r="K5" s="12">
        <v>12</v>
      </c>
      <c r="L5" s="13">
        <f t="shared" si="1"/>
        <v>0.4</v>
      </c>
      <c r="M5" s="11">
        <f t="shared" si="2"/>
        <v>1.2</v>
      </c>
      <c r="N5" s="14">
        <f t="shared" si="2"/>
        <v>2</v>
      </c>
      <c r="O5" s="30">
        <v>11</v>
      </c>
      <c r="P5" s="97">
        <v>11</v>
      </c>
      <c r="Q5" s="13">
        <f t="shared" si="3"/>
        <v>1</v>
      </c>
      <c r="R5" s="30">
        <v>16</v>
      </c>
      <c r="S5" s="97">
        <v>8</v>
      </c>
      <c r="T5" s="13">
        <f t="shared" si="4"/>
        <v>0.5</v>
      </c>
      <c r="U5" s="11">
        <f t="shared" si="5"/>
        <v>0.72727272727272729</v>
      </c>
      <c r="V5" s="14">
        <f t="shared" si="5"/>
        <v>0.5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7</v>
      </c>
      <c r="I6" s="13">
        <f t="shared" si="0"/>
        <v>0.14000000000000001</v>
      </c>
      <c r="J6" s="30">
        <v>25</v>
      </c>
      <c r="K6" s="12">
        <v>9</v>
      </c>
      <c r="L6" s="13">
        <f t="shared" si="1"/>
        <v>0.36</v>
      </c>
      <c r="M6" s="11">
        <f t="shared" si="2"/>
        <v>1.2857142857142858</v>
      </c>
      <c r="N6" s="14">
        <f t="shared" si="2"/>
        <v>2.5714285714285712</v>
      </c>
      <c r="O6" s="30">
        <v>11</v>
      </c>
      <c r="P6" s="97">
        <v>7</v>
      </c>
      <c r="Q6" s="13">
        <f t="shared" si="3"/>
        <v>0.63636363636363635</v>
      </c>
      <c r="R6" s="30">
        <v>11</v>
      </c>
      <c r="S6" s="97">
        <v>7</v>
      </c>
      <c r="T6" s="13">
        <f t="shared" si="4"/>
        <v>0.63636363636363635</v>
      </c>
      <c r="U6" s="11">
        <f t="shared" si="5"/>
        <v>1</v>
      </c>
      <c r="V6" s="14">
        <f t="shared" si="5"/>
        <v>1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2</v>
      </c>
      <c r="I7" s="13">
        <f t="shared" si="0"/>
        <v>0.04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0.5</v>
      </c>
      <c r="N7" s="14">
        <f t="shared" si="2"/>
        <v>0.83333333333333326</v>
      </c>
      <c r="O7" s="30">
        <v>9</v>
      </c>
      <c r="P7" s="97">
        <v>9</v>
      </c>
      <c r="Q7" s="13">
        <f t="shared" si="3"/>
        <v>1</v>
      </c>
      <c r="R7" s="30">
        <v>13</v>
      </c>
      <c r="S7" s="97">
        <v>10</v>
      </c>
      <c r="T7" s="13">
        <f t="shared" si="4"/>
        <v>0.76923076923076927</v>
      </c>
      <c r="U7" s="11">
        <f t="shared" si="5"/>
        <v>1.1111111111111112</v>
      </c>
      <c r="V7" s="14">
        <f t="shared" si="5"/>
        <v>0.76923076923076927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75</v>
      </c>
      <c r="G8" s="30">
        <v>50</v>
      </c>
      <c r="H8" s="12">
        <v>3</v>
      </c>
      <c r="I8" s="13">
        <f t="shared" si="0"/>
        <v>0.06</v>
      </c>
      <c r="J8" s="30">
        <v>20</v>
      </c>
      <c r="K8" s="12">
        <v>3</v>
      </c>
      <c r="L8" s="13">
        <f t="shared" si="1"/>
        <v>0.15</v>
      </c>
      <c r="M8" s="11">
        <f t="shared" si="2"/>
        <v>1</v>
      </c>
      <c r="N8" s="14">
        <f t="shared" si="2"/>
        <v>2.5</v>
      </c>
      <c r="O8" s="30"/>
      <c r="P8" s="97"/>
      <c r="Q8" s="13" t="e">
        <f t="shared" si="3"/>
        <v>#DIV/0!</v>
      </c>
      <c r="R8" s="30">
        <v>6</v>
      </c>
      <c r="S8" s="97">
        <v>6</v>
      </c>
      <c r="T8" s="13">
        <f t="shared" si="4"/>
        <v>1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74</v>
      </c>
      <c r="G9" s="30">
        <v>0</v>
      </c>
      <c r="H9" s="12">
        <v>10</v>
      </c>
      <c r="I9" s="13" t="e">
        <f t="shared" si="0"/>
        <v>#DIV/0!</v>
      </c>
      <c r="J9" s="30">
        <v>20</v>
      </c>
      <c r="K9" s="12">
        <v>7</v>
      </c>
      <c r="L9" s="13">
        <f t="shared" si="1"/>
        <v>0.35</v>
      </c>
      <c r="M9" s="11">
        <f t="shared" si="2"/>
        <v>0.7</v>
      </c>
      <c r="N9" s="14" t="e">
        <f t="shared" si="2"/>
        <v>#DIV/0!</v>
      </c>
      <c r="O9" s="30">
        <v>0</v>
      </c>
      <c r="P9" s="97">
        <v>0</v>
      </c>
      <c r="Q9" s="13" t="e">
        <f t="shared" si="3"/>
        <v>#DIV/0!</v>
      </c>
      <c r="R9" s="30">
        <v>2</v>
      </c>
      <c r="S9" s="97">
        <v>1</v>
      </c>
      <c r="T9" s="13">
        <f t="shared" si="4"/>
        <v>0.5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61</v>
      </c>
      <c r="L10" s="13" t="e">
        <f t="shared" si="1"/>
        <v>#DIV/0!</v>
      </c>
      <c r="M10" s="11">
        <f t="shared" si="2"/>
        <v>10.166666666666666</v>
      </c>
      <c r="N10" s="14" t="e">
        <f t="shared" si="2"/>
        <v>#DIV/0!</v>
      </c>
      <c r="O10" s="30">
        <v>6</v>
      </c>
      <c r="P10" s="97">
        <v>5</v>
      </c>
      <c r="Q10" s="13">
        <f t="shared" si="3"/>
        <v>0.83333333333333337</v>
      </c>
      <c r="R10" s="30">
        <v>180</v>
      </c>
      <c r="S10" s="97">
        <v>155</v>
      </c>
      <c r="T10" s="13">
        <f t="shared" si="4"/>
        <v>0.86111111111111116</v>
      </c>
      <c r="U10" s="11">
        <f t="shared" si="5"/>
        <v>31</v>
      </c>
      <c r="V10" s="14">
        <f t="shared" si="5"/>
        <v>1.0333333333333334</v>
      </c>
      <c r="W10" s="34" t="s">
        <v>76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>
        <v>14</v>
      </c>
      <c r="I11" s="13">
        <f t="shared" si="0"/>
        <v>0.28000000000000003</v>
      </c>
      <c r="J11" s="30">
        <v>200</v>
      </c>
      <c r="K11" s="12">
        <v>23</v>
      </c>
      <c r="L11" s="13">
        <f t="shared" si="1"/>
        <v>0.115</v>
      </c>
      <c r="M11" s="11">
        <f t="shared" si="2"/>
        <v>1.6428571428571428</v>
      </c>
      <c r="N11" s="14">
        <f t="shared" si="2"/>
        <v>0.4107142857142857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>
        <v>13</v>
      </c>
      <c r="I12" s="13">
        <f t="shared" si="0"/>
        <v>0.26</v>
      </c>
      <c r="J12" s="30">
        <v>20</v>
      </c>
      <c r="K12" s="12">
        <v>14</v>
      </c>
      <c r="L12" s="13">
        <f t="shared" si="1"/>
        <v>0.7</v>
      </c>
      <c r="M12" s="11">
        <f t="shared" si="2"/>
        <v>1.0769230769230769</v>
      </c>
      <c r="N12" s="14">
        <f t="shared" si="2"/>
        <v>2.6923076923076921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375</v>
      </c>
      <c r="H19" s="41">
        <f>SUM(H4:H18)</f>
        <v>74</v>
      </c>
      <c r="I19" s="42">
        <f t="shared" si="0"/>
        <v>0.19733333333333333</v>
      </c>
      <c r="J19" s="40">
        <f>SUM(J4:J18)</f>
        <v>385</v>
      </c>
      <c r="K19" s="41">
        <f>SUM(K4:K18)</f>
        <v>143</v>
      </c>
      <c r="L19" s="42">
        <f t="shared" ref="L19" si="6">K19/J19</f>
        <v>0.37142857142857144</v>
      </c>
      <c r="M19" s="40">
        <f>K19/H19</f>
        <v>1.9324324324324325</v>
      </c>
      <c r="N19" s="43" t="e">
        <f>AVERAGE(N4:N18)</f>
        <v>#DIV/0!</v>
      </c>
      <c r="O19" s="40">
        <f>SUM(O4:O18)</f>
        <v>52</v>
      </c>
      <c r="P19" s="41">
        <f>SUM(P4:P18)</f>
        <v>44</v>
      </c>
      <c r="Q19" s="42">
        <f t="shared" ref="Q19" si="7">P19/O19</f>
        <v>0.84615384615384615</v>
      </c>
      <c r="R19" s="40">
        <f>SUM(R4:R18)</f>
        <v>244</v>
      </c>
      <c r="S19" s="41">
        <f>SUM(S4:S18)</f>
        <v>200</v>
      </c>
      <c r="T19" s="42">
        <f t="shared" ref="T19" si="8">S19/R19</f>
        <v>0.81967213114754101</v>
      </c>
      <c r="U19" s="40">
        <f>S19/P19</f>
        <v>4.5454545454545459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212</v>
      </c>
      <c r="I31" s="22">
        <f t="shared" si="0"/>
        <v>7.0082644628099169E-2</v>
      </c>
      <c r="J31" s="20">
        <f>+J30+J25+J19</f>
        <v>2585</v>
      </c>
      <c r="K31" s="21">
        <f t="shared" ref="K31" si="25">+K30+K25+K19</f>
        <v>310</v>
      </c>
      <c r="L31" s="22">
        <f t="shared" si="9"/>
        <v>0.11992263056092843</v>
      </c>
      <c r="M31" s="20">
        <f>K31/H31</f>
        <v>1.4622641509433962</v>
      </c>
      <c r="N31" s="23" t="e">
        <f>AVERAGE(N30,N19,N25)</f>
        <v>#DIV/0!</v>
      </c>
      <c r="O31" s="20">
        <f>+O30+O25+O19</f>
        <v>201</v>
      </c>
      <c r="P31" s="21">
        <f t="shared" ref="P31" si="26">+P30+P25+P19</f>
        <v>157</v>
      </c>
      <c r="Q31" s="22">
        <f t="shared" si="11"/>
        <v>0.78109452736318408</v>
      </c>
      <c r="R31" s="20">
        <f>+R30+R25+R19</f>
        <v>483</v>
      </c>
      <c r="S31" s="21">
        <f t="shared" ref="S31" si="27">+S30+S25+S19</f>
        <v>330</v>
      </c>
      <c r="T31" s="22">
        <f t="shared" si="12"/>
        <v>0.68322981366459623</v>
      </c>
      <c r="U31" s="20">
        <f>S31/P31</f>
        <v>2.1019108280254777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zoomScale="85" zoomScaleNormal="85" workbookViewId="0">
      <selection activeCell="G7" sqref="G7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9.5429687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6</v>
      </c>
      <c r="C2" s="63">
        <f>+B2/A2</f>
        <v>0.23076923076923078</v>
      </c>
      <c r="D2" s="62">
        <f>+A2-B2</f>
        <v>20</v>
      </c>
      <c r="F2" s="94">
        <v>46272</v>
      </c>
      <c r="G2" s="108" t="s">
        <v>38</v>
      </c>
      <c r="H2" s="109"/>
      <c r="I2" s="109"/>
      <c r="J2" s="105" t="s">
        <v>59</v>
      </c>
      <c r="K2" s="106"/>
      <c r="L2" s="106"/>
      <c r="M2" s="106"/>
      <c r="N2" s="107"/>
      <c r="O2" s="111" t="s">
        <v>39</v>
      </c>
      <c r="P2" s="112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5+36+19+15</f>
        <v>75</v>
      </c>
      <c r="I4" s="68">
        <f t="shared" ref="I4:I31" si="0">H4/G4</f>
        <v>0.125</v>
      </c>
      <c r="J4" s="30">
        <v>550</v>
      </c>
      <c r="K4" s="8">
        <v>69</v>
      </c>
      <c r="L4" s="87">
        <f t="shared" ref="L4:L29" si="1">K4/J4</f>
        <v>0.12545454545454546</v>
      </c>
      <c r="M4" s="8">
        <f t="shared" ref="M4:M6" si="2">J4-K4</f>
        <v>481</v>
      </c>
      <c r="N4" s="10">
        <f t="shared" ref="N4:N6" si="3">M4/$D$2</f>
        <v>24.05</v>
      </c>
      <c r="O4" s="69">
        <f t="shared" ref="O4:P12" si="4">K4/H4</f>
        <v>0.92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23+33+16+19</f>
        <v>91</v>
      </c>
      <c r="I5" s="70">
        <f t="shared" si="0"/>
        <v>0.15166666666666667</v>
      </c>
      <c r="J5" s="11">
        <v>450</v>
      </c>
      <c r="K5" s="12">
        <v>51</v>
      </c>
      <c r="L5" s="71">
        <f t="shared" si="1"/>
        <v>0.11333333333333333</v>
      </c>
      <c r="M5" s="12">
        <f t="shared" si="2"/>
        <v>399</v>
      </c>
      <c r="N5" s="14">
        <f t="shared" si="3"/>
        <v>19.95</v>
      </c>
      <c r="O5" s="98">
        <f t="shared" si="4"/>
        <v>0.56043956043956045</v>
      </c>
      <c r="P5" s="33">
        <v>3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6+16+5+3</f>
        <v>30</v>
      </c>
      <c r="I6" s="70">
        <f t="shared" si="0"/>
        <v>0.05</v>
      </c>
      <c r="J6" s="11">
        <v>550</v>
      </c>
      <c r="K6" s="12">
        <v>38</v>
      </c>
      <c r="L6" s="71">
        <f t="shared" si="1"/>
        <v>6.9090909090909092E-2</v>
      </c>
      <c r="M6" s="12">
        <f t="shared" si="2"/>
        <v>512</v>
      </c>
      <c r="N6" s="14">
        <f t="shared" si="3"/>
        <v>25.6</v>
      </c>
      <c r="O6" s="72">
        <f t="shared" si="4"/>
        <v>1.2666666666666666</v>
      </c>
      <c r="P6" s="14">
        <f t="shared" si="4"/>
        <v>1.3818181818181818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2+9+17+9</f>
        <v>37</v>
      </c>
      <c r="I7" s="70">
        <f t="shared" si="0"/>
        <v>6.1666666666666668E-2</v>
      </c>
      <c r="J7" s="11">
        <v>400</v>
      </c>
      <c r="K7" s="12">
        <v>41</v>
      </c>
      <c r="L7" s="71">
        <f t="shared" si="1"/>
        <v>0.10249999999999999</v>
      </c>
      <c r="M7" s="12">
        <f t="shared" ref="M7:M31" si="5">J7-K7</f>
        <v>359</v>
      </c>
      <c r="N7" s="14">
        <f t="shared" ref="N7:N31" si="6">M7/$D$2</f>
        <v>17.95</v>
      </c>
      <c r="O7" s="72">
        <f t="shared" si="4"/>
        <v>1.1081081081081081</v>
      </c>
      <c r="P7" s="14">
        <f t="shared" si="4"/>
        <v>1.6621621621621621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f>4+7+6+6</f>
        <v>23</v>
      </c>
      <c r="I8" s="70">
        <f t="shared" si="0"/>
        <v>3.833333333333333E-2</v>
      </c>
      <c r="J8" s="11">
        <v>575</v>
      </c>
      <c r="K8" s="12">
        <v>28</v>
      </c>
      <c r="L8" s="71">
        <f t="shared" si="1"/>
        <v>4.8695652173913043E-2</v>
      </c>
      <c r="M8" s="12">
        <f t="shared" si="5"/>
        <v>547</v>
      </c>
      <c r="N8" s="14">
        <f t="shared" si="6"/>
        <v>27.35</v>
      </c>
      <c r="O8" s="72">
        <f t="shared" si="4"/>
        <v>1.2173913043478262</v>
      </c>
      <c r="P8" s="14">
        <f t="shared" si="4"/>
        <v>1.2703213610586013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27.5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2+7+1+6</f>
        <v>16</v>
      </c>
      <c r="I10" s="70">
        <f t="shared" si="0"/>
        <v>0.08</v>
      </c>
      <c r="J10" s="11">
        <v>3000</v>
      </c>
      <c r="K10" s="12">
        <v>288</v>
      </c>
      <c r="L10" s="71">
        <f t="shared" si="1"/>
        <v>9.6000000000000002E-2</v>
      </c>
      <c r="M10" s="12">
        <f t="shared" si="5"/>
        <v>2712</v>
      </c>
      <c r="N10" s="14">
        <f t="shared" si="6"/>
        <v>135.6</v>
      </c>
      <c r="O10" s="72">
        <f t="shared" si="4"/>
        <v>18</v>
      </c>
      <c r="P10" s="14">
        <f t="shared" si="4"/>
        <v>1.2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32.5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27.5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77</v>
      </c>
      <c r="G13" s="11">
        <v>600</v>
      </c>
      <c r="H13" s="12"/>
      <c r="I13" s="70">
        <f t="shared" ref="I13:I15" si="7">H13/G13</f>
        <v>0</v>
      </c>
      <c r="J13" s="11">
        <v>450</v>
      </c>
      <c r="K13" s="12"/>
      <c r="L13" s="71">
        <f t="shared" ref="L13:L16" si="8">K13/J13</f>
        <v>0</v>
      </c>
      <c r="M13" s="12">
        <f t="shared" si="5"/>
        <v>450</v>
      </c>
      <c r="N13" s="14">
        <f t="shared" ref="N13:N15" si="9">M13/$D$2</f>
        <v>22.5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>
        <v>100</v>
      </c>
      <c r="K14" s="12">
        <v>100</v>
      </c>
      <c r="L14" s="71">
        <f t="shared" si="8"/>
        <v>1</v>
      </c>
      <c r="M14" s="12">
        <f t="shared" si="5"/>
        <v>0</v>
      </c>
      <c r="N14" s="14">
        <f t="shared" si="9"/>
        <v>0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/>
      <c r="I16" s="70" t="e">
        <f t="shared" ref="I16" si="12">H16/G16</f>
        <v>#DIV/0!</v>
      </c>
      <c r="J16" s="11"/>
      <c r="K16" s="12"/>
      <c r="L16" s="71" t="e">
        <f t="shared" si="8"/>
        <v>#DIV/0!</v>
      </c>
      <c r="M16" s="12">
        <f t="shared" si="5"/>
        <v>0</v>
      </c>
      <c r="N16" s="14">
        <f t="shared" si="6"/>
        <v>0</v>
      </c>
      <c r="O16" s="72" t="e">
        <f t="shared" si="10"/>
        <v>#DIV/0!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5600</v>
      </c>
      <c r="H19" s="40">
        <f>SUM(H4:H18)</f>
        <v>273</v>
      </c>
      <c r="I19" s="79">
        <f t="shared" si="0"/>
        <v>4.8750000000000002E-2</v>
      </c>
      <c r="J19" s="80">
        <f>SUM(J4:J18)</f>
        <v>7825</v>
      </c>
      <c r="K19" s="80">
        <f>SUM(K4:K18)</f>
        <v>615</v>
      </c>
      <c r="L19" s="82">
        <f>K19/J19</f>
        <v>7.8594249201277958E-2</v>
      </c>
      <c r="M19" s="81">
        <f t="shared" si="5"/>
        <v>7210</v>
      </c>
      <c r="N19" s="83">
        <f t="shared" si="6"/>
        <v>360.5</v>
      </c>
      <c r="O19" s="84">
        <f>K19/H19</f>
        <v>2.2527472527472527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23.25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23.35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23.2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23.65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24.2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117.65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30.8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28.3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28.7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30.6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118.4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6050</v>
      </c>
      <c r="H31" s="21">
        <f t="shared" ref="H31:K31" si="17">+H30+H25+H19</f>
        <v>474</v>
      </c>
      <c r="I31" s="88">
        <f t="shared" si="0"/>
        <v>7.8347107438016525E-2</v>
      </c>
      <c r="J31" s="89">
        <f t="shared" si="17"/>
        <v>12825</v>
      </c>
      <c r="K31" s="90">
        <f t="shared" si="17"/>
        <v>894</v>
      </c>
      <c r="L31" s="91">
        <f>K31/J31</f>
        <v>6.9707602339181288E-2</v>
      </c>
      <c r="M31" s="90">
        <f t="shared" si="5"/>
        <v>11931</v>
      </c>
      <c r="N31" s="92">
        <f t="shared" si="6"/>
        <v>596.54999999999995</v>
      </c>
      <c r="O31" s="93">
        <f>K31/H31</f>
        <v>1.8860759493670887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2026-09-08T05:21:54Z</dcterms:modified>
</cp:coreProperties>
</file>