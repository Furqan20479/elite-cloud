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CA0BFB7B-04D5-4B89-A2AF-08B808C7BAC5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8" i="2"/>
  <c r="H7" i="2"/>
  <c r="H6" i="2"/>
  <c r="H5" i="2"/>
  <c r="H4" i="2"/>
  <c r="O5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O14" i="2"/>
  <c r="I15" i="2"/>
  <c r="L15" i="2"/>
  <c r="O15" i="2"/>
  <c r="P14" i="2" l="1"/>
  <c r="H19" i="2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<sst xmlns="http://schemas.openxmlformats.org/spreadsheetml/2006/main" count="369" uniqueCount="78">
  <si>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</si>
  <si>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</si>
  <si>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</si>
  <si>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</si>
  <si>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</si>
  <si>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</si>
  <si>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</si>
  <si>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</si>
  <si>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</si>
  <si>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</si>
  <si>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</si>
  <si>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</si>
  <si>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</si>
  <si>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</si>
  <si>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</si>
  <si>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</si>
  <si>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</si>
  <si>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</si>
  <si>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</si>
  <si>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</si>
  <si>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</si>
  <si>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</si>
  <si>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</si>
  <si>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</si>
  <si>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</si>
  <si>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</si>
  <si>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</si>
  <si>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</si>
  <si>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</si>
  <si>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</si>
  <si>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</si>
  <si>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</si>
  <si>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</si>
  <si>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</si>
  <si>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</si>
  <si>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</si>
  <si>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</si>
  <si>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</si>
  <si>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</si>
  <si>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</si>
  <si>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</si>
  <si>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</si>
  <si>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</si>
  <si>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</si>
  <si>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</si>
  <si>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</si>
  <si>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</si>
  <si>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</si>
  <si>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</si>
  <si>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</si>
  <si>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</si>
  <si>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</si>
  <si>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</si>
  <si>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</si>
  <si>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</si>
  <si>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</si>
  <si>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</si>
  <si>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</si>
  <si>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</si>
  <si>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</si>
  <si>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</si>
  <si>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</si>
  <si>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</si>
  <si>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</si>
  <si>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</si>
  <si>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</si>
  <si>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</si>
  <si>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</si>
  <si>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</si>
  <si>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</si>
  <si>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</si>
  <si>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</si>
  <si>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</si>
  <si>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</si>
  <si>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</si>
  <si>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Hasan </t>
  </si>
  <si>
    <t>Pendings</t>
  </si>
  <si>
    <t xml:space="preserve">Yasir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</si>
</sst>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165" fontId="0" fillId="0" borderId="30" xfId="0" applyNumberFormat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D1" workbookViewId="0">
      <selection activeCell="M15" sqref="M15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2" t="s">
        <v>0</v>
      </c>
      <c r="H1" s="103"/>
      <c r="I1" s="103"/>
      <c r="J1" s="103"/>
      <c r="K1" s="103"/>
      <c r="L1" s="103"/>
      <c r="M1" s="103"/>
      <c r="N1" s="104"/>
      <c r="O1" s="105" t="s">
        <v>1</v>
      </c>
      <c r="P1" s="106"/>
      <c r="Q1" s="106"/>
      <c r="R1" s="106"/>
      <c r="S1" s="106"/>
      <c r="T1" s="106"/>
      <c r="U1" s="106"/>
      <c r="V1" s="107"/>
    </row>
    <row r="2" spans="1:28" ht="15" thickBot="1" x14ac:dyDescent="0.4">
      <c r="F2" s="94">
        <v>46253</v>
      </c>
      <c r="G2" s="108" t="s">
        <v>2</v>
      </c>
      <c r="H2" s="109"/>
      <c r="I2" s="110"/>
      <c r="J2" s="109" t="s">
        <v>3</v>
      </c>
      <c r="K2" s="109"/>
      <c r="L2" s="110"/>
      <c r="M2" s="1"/>
      <c r="N2" s="2"/>
      <c r="O2" s="108" t="s">
        <v>2</v>
      </c>
      <c r="P2" s="109"/>
      <c r="Q2" s="110"/>
      <c r="R2" s="109" t="s">
        <v>3</v>
      </c>
      <c r="S2" s="109"/>
      <c r="T2" s="110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75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74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76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zoomScale="85" zoomScaleNormal="85" workbookViewId="0">
      <selection activeCell="F8" sqref="F8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9.5429687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9</v>
      </c>
      <c r="C2" s="63">
        <f>+B2/A2</f>
        <v>0.34615384615384615</v>
      </c>
      <c r="D2" s="62">
        <f>+A2-B2</f>
        <v>17</v>
      </c>
      <c r="F2" s="94">
        <v>46275</v>
      </c>
      <c r="G2" s="108" t="s">
        <v>38</v>
      </c>
      <c r="H2" s="109"/>
      <c r="I2" s="109"/>
      <c r="J2" s="105" t="s">
        <v>59</v>
      </c>
      <c r="K2" s="106"/>
      <c r="L2" s="106"/>
      <c r="M2" s="106"/>
      <c r="N2" s="107"/>
      <c r="O2" s="111" t="s">
        <v>39</v>
      </c>
      <c r="P2" s="112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5+36+19+15+11+19+14</f>
        <v>119</v>
      </c>
      <c r="I4" s="68">
        <f t="shared" ref="I4:I31" si="0">H4/G4</f>
        <v>0.19833333333333333</v>
      </c>
      <c r="J4" s="30">
        <v>550</v>
      </c>
      <c r="K4" s="8">
        <v>142</v>
      </c>
      <c r="L4" s="87">
        <f t="shared" ref="L4:L29" si="1">K4/J4</f>
        <v>0.25818181818181818</v>
      </c>
      <c r="M4" s="8">
        <f t="shared" ref="M4:M6" si="2">J4-K4</f>
        <v>408</v>
      </c>
      <c r="N4" s="10">
        <f t="shared" ref="N4:N6" si="3">M4/$D$2</f>
        <v>24</v>
      </c>
      <c r="O4" s="69">
        <f t="shared" ref="O4:P12" si="4">K4/H4</f>
        <v>1.1932773109243697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23+33+16+19+14+20+21</f>
        <v>146</v>
      </c>
      <c r="I5" s="70">
        <f t="shared" si="0"/>
        <v>0.24333333333333335</v>
      </c>
      <c r="J5" s="11">
        <v>450</v>
      </c>
      <c r="K5" s="12">
        <v>83</v>
      </c>
      <c r="L5" s="71">
        <f t="shared" si="1"/>
        <v>0.18444444444444444</v>
      </c>
      <c r="M5" s="12">
        <f t="shared" si="2"/>
        <v>367</v>
      </c>
      <c r="N5" s="14">
        <f t="shared" si="3"/>
        <v>21.588235294117649</v>
      </c>
      <c r="O5" s="98">
        <f t="shared" si="4"/>
        <v>0.56849315068493156</v>
      </c>
      <c r="P5" s="33">
        <v>3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6+16+5+3+11+11+4</f>
        <v>56</v>
      </c>
      <c r="I6" s="70">
        <f t="shared" si="0"/>
        <v>9.3333333333333338E-2</v>
      </c>
      <c r="J6" s="11">
        <v>550</v>
      </c>
      <c r="K6" s="12">
        <v>79</v>
      </c>
      <c r="L6" s="71">
        <f t="shared" si="1"/>
        <v>0.14363636363636365</v>
      </c>
      <c r="M6" s="12">
        <f t="shared" si="2"/>
        <v>471</v>
      </c>
      <c r="N6" s="14">
        <f t="shared" si="3"/>
        <v>27.705882352941178</v>
      </c>
      <c r="O6" s="72">
        <f t="shared" si="4"/>
        <v>1.4107142857142858</v>
      </c>
      <c r="P6" s="14">
        <f t="shared" si="4"/>
        <v>1.5389610389610391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2+9+17+9+5+4+10</f>
        <v>56</v>
      </c>
      <c r="I7" s="70">
        <f t="shared" si="0"/>
        <v>9.3333333333333338E-2</v>
      </c>
      <c r="J7" s="11">
        <v>400</v>
      </c>
      <c r="K7" s="12">
        <v>60</v>
      </c>
      <c r="L7" s="71">
        <f t="shared" si="1"/>
        <v>0.15</v>
      </c>
      <c r="M7" s="12">
        <f t="shared" ref="M7:M31" si="5">J7-K7</f>
        <v>340</v>
      </c>
      <c r="N7" s="14">
        <f t="shared" ref="N7:N31" si="6">M7/$D$2</f>
        <v>20</v>
      </c>
      <c r="O7" s="72">
        <f t="shared" si="4"/>
        <v>1.0714285714285714</v>
      </c>
      <c r="P7" s="14">
        <f t="shared" si="4"/>
        <v>1.607142857142857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f>4+7+6+6+11+2+9</f>
        <v>45</v>
      </c>
      <c r="I8" s="70">
        <f t="shared" si="0"/>
        <v>7.4999999999999997E-2</v>
      </c>
      <c r="J8" s="11">
        <v>575</v>
      </c>
      <c r="K8" s="12">
        <v>45</v>
      </c>
      <c r="L8" s="71">
        <f t="shared" si="1"/>
        <v>7.8260869565217397E-2</v>
      </c>
      <c r="M8" s="12">
        <f t="shared" si="5"/>
        <v>530</v>
      </c>
      <c r="N8" s="14">
        <f t="shared" si="6"/>
        <v>31.176470588235293</v>
      </c>
      <c r="O8" s="72">
        <f t="shared" si="4"/>
        <v>1</v>
      </c>
      <c r="P8" s="14">
        <f t="shared" si="4"/>
        <v>1.0434782608695654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32.352941176470587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2+7+1+6+5+2+4</f>
        <v>27</v>
      </c>
      <c r="I10" s="70">
        <f t="shared" si="0"/>
        <v>0.13500000000000001</v>
      </c>
      <c r="J10" s="11">
        <v>3000</v>
      </c>
      <c r="K10" s="12">
        <v>529</v>
      </c>
      <c r="L10" s="71">
        <f t="shared" si="1"/>
        <v>0.17633333333333334</v>
      </c>
      <c r="M10" s="12">
        <f t="shared" si="5"/>
        <v>2471</v>
      </c>
      <c r="N10" s="14">
        <f t="shared" si="6"/>
        <v>145.35294117647058</v>
      </c>
      <c r="O10" s="72">
        <f t="shared" si="4"/>
        <v>19.592592592592592</v>
      </c>
      <c r="P10" s="14">
        <f t="shared" si="4"/>
        <v>1.3061728395061729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38.235294117647058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32.352941176470587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77</v>
      </c>
      <c r="G13" s="11">
        <v>600</v>
      </c>
      <c r="H13" s="12"/>
      <c r="I13" s="70">
        <f t="shared" ref="I13:I15" si="7">H13/G13</f>
        <v>0</v>
      </c>
      <c r="J13" s="11">
        <v>450</v>
      </c>
      <c r="K13" s="12"/>
      <c r="L13" s="71">
        <f t="shared" ref="L13:L16" si="8">K13/J13</f>
        <v>0</v>
      </c>
      <c r="M13" s="12">
        <f t="shared" si="5"/>
        <v>450</v>
      </c>
      <c r="N13" s="14">
        <f t="shared" ref="N13:N15" si="9">M13/$D$2</f>
        <v>26.470588235294116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>
        <v>100</v>
      </c>
      <c r="K14" s="12">
        <v>100</v>
      </c>
      <c r="L14" s="71">
        <f t="shared" si="8"/>
        <v>1</v>
      </c>
      <c r="M14" s="12">
        <f t="shared" si="5"/>
        <v>0</v>
      </c>
      <c r="N14" s="14">
        <f t="shared" si="9"/>
        <v>0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/>
      <c r="I16" s="70" t="e">
        <f t="shared" ref="I16" si="12">H16/G16</f>
        <v>#DIV/0!</v>
      </c>
      <c r="J16" s="11"/>
      <c r="K16" s="12"/>
      <c r="L16" s="71" t="e">
        <f t="shared" si="8"/>
        <v>#DIV/0!</v>
      </c>
      <c r="M16" s="12">
        <f t="shared" si="5"/>
        <v>0</v>
      </c>
      <c r="N16" s="14">
        <f t="shared" si="6"/>
        <v>0</v>
      </c>
      <c r="O16" s="72" t="e">
        <f t="shared" si="10"/>
        <v>#DIV/0!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5600</v>
      </c>
      <c r="H19" s="40">
        <f>SUM(H4:H18)</f>
        <v>450</v>
      </c>
      <c r="I19" s="79">
        <f t="shared" si="0"/>
        <v>8.0357142857142863E-2</v>
      </c>
      <c r="J19" s="80">
        <f>SUM(J4:J18)</f>
        <v>7825</v>
      </c>
      <c r="K19" s="80">
        <f>SUM(K4:K18)</f>
        <v>1038</v>
      </c>
      <c r="L19" s="82">
        <f>K19/J19</f>
        <v>0.13265175718849839</v>
      </c>
      <c r="M19" s="81">
        <f t="shared" si="5"/>
        <v>6787</v>
      </c>
      <c r="N19" s="83">
        <f t="shared" si="6"/>
        <v>399.23529411764707</v>
      </c>
      <c r="O19" s="84">
        <f>K19/H19</f>
        <v>2.3066666666666666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27.352941176470587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27.470588235294116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27.294117647058822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27.823529411764707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28.470588235294116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138.41176470588235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36.235294117647058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33.294117647058826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33.764705882352942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36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139.29411764705881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6050</v>
      </c>
      <c r="H31" s="21">
        <f t="shared" ref="H31:K31" si="17">+H30+H25+H19</f>
        <v>651</v>
      </c>
      <c r="I31" s="88">
        <f t="shared" si="0"/>
        <v>0.10760330578512396</v>
      </c>
      <c r="J31" s="89">
        <f t="shared" si="17"/>
        <v>12825</v>
      </c>
      <c r="K31" s="90">
        <f t="shared" si="17"/>
        <v>1317</v>
      </c>
      <c r="L31" s="91">
        <f>K31/J31</f>
        <v>0.10269005847953216</v>
      </c>
      <c r="M31" s="90">
        <f t="shared" si="5"/>
        <v>11508</v>
      </c>
      <c r="N31" s="92">
        <f t="shared" si="6"/>
        <v>676.94117647058829</v>
      </c>
      <c r="O31" s="93">
        <f>K31/H31</f>
        <v>2.0230414746543777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2026-09-11T05:09:31Z</dcterms:modified>
</cp:coreProperties>
</file>