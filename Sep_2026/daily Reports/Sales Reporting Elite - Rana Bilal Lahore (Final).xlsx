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22580834-925B-460B-9D5E-1C90EED4D97C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0" i="2" l="1"/>
  <c r="H8" i="2"/>
  <c r="H7" i="2"/>
  <c r="H6" i="2"/>
  <c r="H5" i="2"/>
  <c r="H4" i="2"/>
  <c r="O5" i="2" l="1"/>
  <c r="J19" i="2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O14" i="2"/>
  <c r="I15" i="2"/>
  <c r="L15" i="2"/>
  <c r="O15" i="2"/>
  <c r="P14" i="2" l="1"/>
  <c r="H19" i="2"/>
  <c r="I19" i="2" s="1"/>
  <c r="K19" i="2"/>
  <c r="L19" i="2" s="1"/>
  <c r="P16" i="2"/>
  <c r="P15" i="2"/>
  <c r="P13" i="2"/>
  <c r="M19" i="2" l="1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<sst xmlns="http://schemas.openxmlformats.org/spreadsheetml/2006/main" count="369" uniqueCount="78">
  <si>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</si>
  <si>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</si>
  <si>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</si>
  <si>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</si>
  <si>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</si>
  <si>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</si>
  <si>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</si>
  <si>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</si>
  <si>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</si>
  <si>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</si>
  <si>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</si>
  <si>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</si>
  <si>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</si>
  <si>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</si>
  <si>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</si>
  <si>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</si>
  <si>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</si>
  <si>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</si>
  <si>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</si>
  <si>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</si>
  <si>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</si>
  <si>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</si>
  <si>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</si>
  <si>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</si>
  <si>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</si>
  <si>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</si>
  <si>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</si>
  <si>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</si>
  <si>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</si>
  <si>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</si>
  <si>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</si>
  <si>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</si>
  <si>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</si>
  <si>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</si>
  <si>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</si>
  <si>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</si>
  <si>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</si>
  <si>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</si>
  <si>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</si>
  <si>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</si>
  <si>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</si>
  <si>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</si>
  <si>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</si>
  <si>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</si>
  <si>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</si>
  <si>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</si>
  <si>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</si>
  <si>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</si>
  <si>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</si>
  <si>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</si>
  <si>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</si>
  <si>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</si>
  <si>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</si>
  <si>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</si>
  <si>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</si>
  <si>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</si>
  <si>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</si>
  <si>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</si>
  <si>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</si>
  <si>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</si>
  <si>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</si>
  <si>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</si>
  <si>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</si>
  <si>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</si>
  <si>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</si>
  <si>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</si>
  <si>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</si>
  <si>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</si>
  <si>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</si>
  <si>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</si>
  <si>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</si>
  <si>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</si>
  <si>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Jabbar</t>
  </si>
  <si>
    <t xml:space="preserve">Umair </t>
  </si>
  <si>
    <t>Furqan</t>
  </si>
  <si>
    <t xml:space="preserve">Hasan </t>
  </si>
  <si>
    <t>Pendings</t>
  </si>
  <si>
    <t xml:space="preserve">Yasir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</si>
</sst>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3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165" fontId="0" fillId="0" borderId="30" xfId="0" applyNumberFormat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topLeftCell="D1" workbookViewId="0">
      <selection activeCell="M15" sqref="M15"/>
    </sheetView>
  </sheetViews>
  <sheetFormatPr defaultRowHeight="14.5" x14ac:dyDescent="0.35"/>
  <cols>
    <col min="1" max="1" width="13.54296875" customWidth="1"/>
    <col min="2" max="2" width="11.26953125" customWidth="1"/>
    <col min="3" max="3" width="10" customWidth="1"/>
    <col min="4" max="4" width="9.453125" customWidth="1"/>
    <col min="5" max="5" width="17.453125" customWidth="1"/>
    <col min="6" max="6" width="25.2695312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2" t="s">
        <v>0</v>
      </c>
      <c r="H1" s="103"/>
      <c r="I1" s="103"/>
      <c r="J1" s="103"/>
      <c r="K1" s="103"/>
      <c r="L1" s="103"/>
      <c r="M1" s="103"/>
      <c r="N1" s="104"/>
      <c r="O1" s="105" t="s">
        <v>1</v>
      </c>
      <c r="P1" s="106"/>
      <c r="Q1" s="106"/>
      <c r="R1" s="106"/>
      <c r="S1" s="106"/>
      <c r="T1" s="106"/>
      <c r="U1" s="106"/>
      <c r="V1" s="107"/>
    </row>
    <row r="2" spans="1:28" ht="15" thickBot="1" x14ac:dyDescent="0.4">
      <c r="F2" s="94">
        <v>46253</v>
      </c>
      <c r="G2" s="108" t="s">
        <v>2</v>
      </c>
      <c r="H2" s="109"/>
      <c r="I2" s="110"/>
      <c r="J2" s="109" t="s">
        <v>3</v>
      </c>
      <c r="K2" s="109"/>
      <c r="L2" s="110"/>
      <c r="M2" s="1"/>
      <c r="N2" s="2"/>
      <c r="O2" s="108" t="s">
        <v>2</v>
      </c>
      <c r="P2" s="109"/>
      <c r="Q2" s="110"/>
      <c r="R2" s="109" t="s">
        <v>3</v>
      </c>
      <c r="S2" s="109"/>
      <c r="T2" s="110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52</v>
      </c>
      <c r="Q3" s="5" t="s">
        <v>12</v>
      </c>
      <c r="R3" s="6" t="s">
        <v>53</v>
      </c>
      <c r="S3" s="4" t="s">
        <v>54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9</v>
      </c>
      <c r="I4" s="32">
        <f t="shared" ref="I4:I31" si="0">H4/G4</f>
        <v>0.18</v>
      </c>
      <c r="J4" s="30">
        <v>40</v>
      </c>
      <c r="K4" s="31">
        <v>13</v>
      </c>
      <c r="L4" s="32">
        <f t="shared" ref="L4:L12" si="1">K4/J4</f>
        <v>0.32500000000000001</v>
      </c>
      <c r="M4" s="30">
        <f t="shared" ref="M4:N12" si="2">K4/H4</f>
        <v>1.4444444444444444</v>
      </c>
      <c r="N4" s="33">
        <f t="shared" si="2"/>
        <v>1.8055555555555556</v>
      </c>
      <c r="O4" s="30">
        <v>15</v>
      </c>
      <c r="P4" s="96">
        <v>12</v>
      </c>
      <c r="Q4" s="32">
        <f t="shared" ref="Q4:Q12" si="3">P4/O4</f>
        <v>0.8</v>
      </c>
      <c r="R4" s="30">
        <v>16</v>
      </c>
      <c r="S4" s="96">
        <v>13</v>
      </c>
      <c r="T4" s="32">
        <f t="shared" ref="T4:T12" si="4">S4/R4</f>
        <v>0.8125</v>
      </c>
      <c r="U4" s="30">
        <f t="shared" ref="U4:V12" si="5">S4/P4</f>
        <v>1.0833333333333333</v>
      </c>
      <c r="V4" s="33">
        <f t="shared" si="5"/>
        <v>1.015625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10</v>
      </c>
      <c r="I5" s="13">
        <f t="shared" si="0"/>
        <v>0.2</v>
      </c>
      <c r="J5" s="30">
        <v>30</v>
      </c>
      <c r="K5" s="12">
        <v>12</v>
      </c>
      <c r="L5" s="13">
        <f t="shared" si="1"/>
        <v>0.4</v>
      </c>
      <c r="M5" s="11">
        <f t="shared" si="2"/>
        <v>1.2</v>
      </c>
      <c r="N5" s="14">
        <f t="shared" si="2"/>
        <v>2</v>
      </c>
      <c r="O5" s="30">
        <v>11</v>
      </c>
      <c r="P5" s="97">
        <v>11</v>
      </c>
      <c r="Q5" s="13">
        <f t="shared" si="3"/>
        <v>1</v>
      </c>
      <c r="R5" s="30">
        <v>16</v>
      </c>
      <c r="S5" s="97">
        <v>8</v>
      </c>
      <c r="T5" s="13">
        <f t="shared" si="4"/>
        <v>0.5</v>
      </c>
      <c r="U5" s="11">
        <f t="shared" si="5"/>
        <v>0.72727272727272729</v>
      </c>
      <c r="V5" s="14">
        <f t="shared" si="5"/>
        <v>0.5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>
        <v>7</v>
      </c>
      <c r="I6" s="13">
        <f t="shared" si="0"/>
        <v>0.14000000000000001</v>
      </c>
      <c r="J6" s="30">
        <v>25</v>
      </c>
      <c r="K6" s="12">
        <v>9</v>
      </c>
      <c r="L6" s="13">
        <f t="shared" si="1"/>
        <v>0.36</v>
      </c>
      <c r="M6" s="11">
        <f t="shared" si="2"/>
        <v>1.2857142857142858</v>
      </c>
      <c r="N6" s="14">
        <f t="shared" si="2"/>
        <v>2.5714285714285712</v>
      </c>
      <c r="O6" s="30">
        <v>11</v>
      </c>
      <c r="P6" s="97">
        <v>7</v>
      </c>
      <c r="Q6" s="13">
        <f t="shared" si="3"/>
        <v>0.63636363636363635</v>
      </c>
      <c r="R6" s="30">
        <v>11</v>
      </c>
      <c r="S6" s="97">
        <v>7</v>
      </c>
      <c r="T6" s="13">
        <f t="shared" si="4"/>
        <v>0.63636363636363635</v>
      </c>
      <c r="U6" s="11">
        <f t="shared" si="5"/>
        <v>1</v>
      </c>
      <c r="V6" s="14">
        <f t="shared" si="5"/>
        <v>1</v>
      </c>
      <c r="W6" s="34"/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50</v>
      </c>
      <c r="H7" s="12">
        <v>2</v>
      </c>
      <c r="I7" s="13">
        <f t="shared" si="0"/>
        <v>0.04</v>
      </c>
      <c r="J7" s="30">
        <v>30</v>
      </c>
      <c r="K7" s="12">
        <v>1</v>
      </c>
      <c r="L7" s="13">
        <f t="shared" si="1"/>
        <v>3.3333333333333333E-2</v>
      </c>
      <c r="M7" s="11">
        <f t="shared" si="2"/>
        <v>0.5</v>
      </c>
      <c r="N7" s="14">
        <f t="shared" si="2"/>
        <v>0.83333333333333326</v>
      </c>
      <c r="O7" s="30">
        <v>9</v>
      </c>
      <c r="P7" s="97">
        <v>9</v>
      </c>
      <c r="Q7" s="13">
        <f t="shared" si="3"/>
        <v>1</v>
      </c>
      <c r="R7" s="30">
        <v>13</v>
      </c>
      <c r="S7" s="97">
        <v>10</v>
      </c>
      <c r="T7" s="13">
        <f t="shared" si="4"/>
        <v>0.76923076923076927</v>
      </c>
      <c r="U7" s="11">
        <f t="shared" si="5"/>
        <v>1.1111111111111112</v>
      </c>
      <c r="V7" s="14">
        <f t="shared" si="5"/>
        <v>0.76923076923076927</v>
      </c>
      <c r="W7" s="34"/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75</v>
      </c>
      <c r="G8" s="30">
        <v>50</v>
      </c>
      <c r="H8" s="12">
        <v>3</v>
      </c>
      <c r="I8" s="13">
        <f t="shared" si="0"/>
        <v>0.06</v>
      </c>
      <c r="J8" s="30">
        <v>20</v>
      </c>
      <c r="K8" s="12">
        <v>3</v>
      </c>
      <c r="L8" s="13">
        <f t="shared" si="1"/>
        <v>0.15</v>
      </c>
      <c r="M8" s="11">
        <f t="shared" si="2"/>
        <v>1</v>
      </c>
      <c r="N8" s="14">
        <f t="shared" si="2"/>
        <v>2.5</v>
      </c>
      <c r="O8" s="30"/>
      <c r="P8" s="97"/>
      <c r="Q8" s="13" t="e">
        <f t="shared" si="3"/>
        <v>#DIV/0!</v>
      </c>
      <c r="R8" s="30">
        <v>6</v>
      </c>
      <c r="S8" s="97">
        <v>6</v>
      </c>
      <c r="T8" s="13">
        <f t="shared" si="4"/>
        <v>1</v>
      </c>
      <c r="U8" s="11" t="e">
        <f t="shared" si="5"/>
        <v>#DIV/0!</v>
      </c>
      <c r="V8" s="14" t="e">
        <f t="shared" si="5"/>
        <v>#DIV/0!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74</v>
      </c>
      <c r="G9" s="30">
        <v>0</v>
      </c>
      <c r="H9" s="12">
        <v>10</v>
      </c>
      <c r="I9" s="13" t="e">
        <f t="shared" si="0"/>
        <v>#DIV/0!</v>
      </c>
      <c r="J9" s="30">
        <v>20</v>
      </c>
      <c r="K9" s="12">
        <v>7</v>
      </c>
      <c r="L9" s="13">
        <f t="shared" si="1"/>
        <v>0.35</v>
      </c>
      <c r="M9" s="11">
        <f t="shared" si="2"/>
        <v>0.7</v>
      </c>
      <c r="N9" s="14" t="e">
        <f t="shared" si="2"/>
        <v>#DIV/0!</v>
      </c>
      <c r="O9" s="30">
        <v>0</v>
      </c>
      <c r="P9" s="97">
        <v>0</v>
      </c>
      <c r="Q9" s="13" t="e">
        <f t="shared" si="3"/>
        <v>#DIV/0!</v>
      </c>
      <c r="R9" s="30">
        <v>2</v>
      </c>
      <c r="S9" s="97">
        <v>1</v>
      </c>
      <c r="T9" s="13">
        <f t="shared" si="4"/>
        <v>0.5</v>
      </c>
      <c r="U9" s="11" t="e">
        <f t="shared" si="5"/>
        <v>#DIV/0!</v>
      </c>
      <c r="V9" s="14" t="e">
        <f t="shared" si="5"/>
        <v>#DIV/0!</v>
      </c>
      <c r="W9" s="34"/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30">
        <v>25</v>
      </c>
      <c r="H10" s="12">
        <v>6</v>
      </c>
      <c r="I10" s="13">
        <f t="shared" si="0"/>
        <v>0.24</v>
      </c>
      <c r="J10" s="30">
        <v>0</v>
      </c>
      <c r="K10" s="12">
        <v>61</v>
      </c>
      <c r="L10" s="13" t="e">
        <f t="shared" si="1"/>
        <v>#DIV/0!</v>
      </c>
      <c r="M10" s="11">
        <f t="shared" si="2"/>
        <v>10.166666666666666</v>
      </c>
      <c r="N10" s="14" t="e">
        <f t="shared" si="2"/>
        <v>#DIV/0!</v>
      </c>
      <c r="O10" s="30">
        <v>6</v>
      </c>
      <c r="P10" s="97">
        <v>5</v>
      </c>
      <c r="Q10" s="13">
        <f t="shared" si="3"/>
        <v>0.83333333333333337</v>
      </c>
      <c r="R10" s="30">
        <v>180</v>
      </c>
      <c r="S10" s="97">
        <v>155</v>
      </c>
      <c r="T10" s="13">
        <f t="shared" si="4"/>
        <v>0.86111111111111116</v>
      </c>
      <c r="U10" s="11">
        <f t="shared" si="5"/>
        <v>31</v>
      </c>
      <c r="V10" s="14">
        <f t="shared" si="5"/>
        <v>1.0333333333333334</v>
      </c>
      <c r="W10" s="34" t="s">
        <v>76</v>
      </c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28</v>
      </c>
      <c r="G11" s="30">
        <v>50</v>
      </c>
      <c r="H11" s="12">
        <v>14</v>
      </c>
      <c r="I11" s="13">
        <f t="shared" si="0"/>
        <v>0.28000000000000003</v>
      </c>
      <c r="J11" s="30">
        <v>200</v>
      </c>
      <c r="K11" s="12">
        <v>23</v>
      </c>
      <c r="L11" s="13">
        <f t="shared" si="1"/>
        <v>0.115</v>
      </c>
      <c r="M11" s="11">
        <f t="shared" si="2"/>
        <v>1.6428571428571428</v>
      </c>
      <c r="N11" s="14">
        <f t="shared" si="2"/>
        <v>0.4107142857142857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30">
        <v>50</v>
      </c>
      <c r="H12" s="12">
        <v>13</v>
      </c>
      <c r="I12" s="13">
        <f t="shared" si="0"/>
        <v>0.26</v>
      </c>
      <c r="J12" s="30">
        <v>20</v>
      </c>
      <c r="K12" s="12">
        <v>14</v>
      </c>
      <c r="L12" s="13">
        <f t="shared" si="1"/>
        <v>0.7</v>
      </c>
      <c r="M12" s="11">
        <f t="shared" si="2"/>
        <v>1.0769230769230769</v>
      </c>
      <c r="N12" s="14">
        <f t="shared" si="2"/>
        <v>2.6923076923076921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43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45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9" t="s">
        <v>18</v>
      </c>
      <c r="E19" s="100"/>
      <c r="F19" s="101"/>
      <c r="G19" s="40">
        <f>SUM(G4:G18)</f>
        <v>375</v>
      </c>
      <c r="H19" s="41">
        <f>SUM(H4:H18)</f>
        <v>74</v>
      </c>
      <c r="I19" s="42">
        <f t="shared" si="0"/>
        <v>0.19733333333333333</v>
      </c>
      <c r="J19" s="40">
        <f>SUM(J4:J18)</f>
        <v>385</v>
      </c>
      <c r="K19" s="41">
        <f>SUM(K4:K18)</f>
        <v>143</v>
      </c>
      <c r="L19" s="42">
        <f t="shared" ref="L19" si="6">K19/J19</f>
        <v>0.37142857142857144</v>
      </c>
      <c r="M19" s="40">
        <f>K19/H19</f>
        <v>1.9324324324324325</v>
      </c>
      <c r="N19" s="43" t="e">
        <f>AVERAGE(N4:N18)</f>
        <v>#DIV/0!</v>
      </c>
      <c r="O19" s="40">
        <f>SUM(O4:O18)</f>
        <v>52</v>
      </c>
      <c r="P19" s="41">
        <f>SUM(P4:P18)</f>
        <v>44</v>
      </c>
      <c r="Q19" s="42">
        <f t="shared" ref="Q19" si="7">P19/O19</f>
        <v>0.84615384615384615</v>
      </c>
      <c r="R19" s="40">
        <f>SUM(R4:R18)</f>
        <v>244</v>
      </c>
      <c r="S19" s="41">
        <f>SUM(S4:S18)</f>
        <v>200</v>
      </c>
      <c r="T19" s="42">
        <f t="shared" ref="T19" si="8">S19/R19</f>
        <v>0.81967213114754101</v>
      </c>
      <c r="U19" s="40">
        <f>S19/P19</f>
        <v>4.5454545454545459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33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66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34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67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68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9" t="s">
        <v>18</v>
      </c>
      <c r="E25" s="100"/>
      <c r="F25" s="101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69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70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49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71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9" t="s">
        <v>18</v>
      </c>
      <c r="E30" s="100"/>
      <c r="F30" s="101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212</v>
      </c>
      <c r="I31" s="22">
        <f t="shared" si="0"/>
        <v>7.0082644628099169E-2</v>
      </c>
      <c r="J31" s="20">
        <f>+J30+J25+J19</f>
        <v>2585</v>
      </c>
      <c r="K31" s="21">
        <f t="shared" ref="K31" si="25">+K30+K25+K19</f>
        <v>310</v>
      </c>
      <c r="L31" s="22">
        <f t="shared" si="9"/>
        <v>0.11992263056092843</v>
      </c>
      <c r="M31" s="20">
        <f>K31/H31</f>
        <v>1.4622641509433962</v>
      </c>
      <c r="N31" s="23" t="e">
        <f>AVERAGE(N30,N19,N25)</f>
        <v>#DIV/0!</v>
      </c>
      <c r="O31" s="20">
        <f>+O30+O25+O19</f>
        <v>201</v>
      </c>
      <c r="P31" s="21">
        <f t="shared" ref="P31" si="26">+P30+P25+P19</f>
        <v>157</v>
      </c>
      <c r="Q31" s="22">
        <f t="shared" si="11"/>
        <v>0.78109452736318408</v>
      </c>
      <c r="R31" s="20">
        <f>+R30+R25+R19</f>
        <v>483</v>
      </c>
      <c r="S31" s="21">
        <f t="shared" ref="S31" si="27">+S30+S25+S19</f>
        <v>330</v>
      </c>
      <c r="T31" s="22">
        <f t="shared" si="12"/>
        <v>0.68322981366459623</v>
      </c>
      <c r="U31" s="20">
        <f>S31/P31</f>
        <v>2.1019108280254777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zoomScale="85" zoomScaleNormal="85" workbookViewId="0">
      <selection activeCell="G17" sqref="G17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9.54296875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55</v>
      </c>
      <c r="B1" s="61" t="s">
        <v>56</v>
      </c>
      <c r="C1" s="61" t="s">
        <v>57</v>
      </c>
      <c r="D1" s="61" t="s">
        <v>58</v>
      </c>
    </row>
    <row r="2" spans="1:17" ht="15" thickBot="1" x14ac:dyDescent="0.4">
      <c r="A2" s="62">
        <v>26</v>
      </c>
      <c r="B2" s="24">
        <v>8</v>
      </c>
      <c r="C2" s="63">
        <f>+B2/A2</f>
        <v>0.30769230769230771</v>
      </c>
      <c r="D2" s="62">
        <f>+A2-B2</f>
        <v>18</v>
      </c>
      <c r="F2" s="94">
        <v>46274</v>
      </c>
      <c r="G2" s="108" t="s">
        <v>38</v>
      </c>
      <c r="H2" s="109"/>
      <c r="I2" s="109"/>
      <c r="J2" s="105" t="s">
        <v>59</v>
      </c>
      <c r="K2" s="106"/>
      <c r="L2" s="106"/>
      <c r="M2" s="106"/>
      <c r="N2" s="107"/>
      <c r="O2" s="111" t="s">
        <v>39</v>
      </c>
      <c r="P2" s="112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40</v>
      </c>
      <c r="I3" s="27" t="s">
        <v>12</v>
      </c>
      <c r="J3" s="64" t="s">
        <v>41</v>
      </c>
      <c r="K3" s="65" t="s">
        <v>42</v>
      </c>
      <c r="L3" s="65" t="s">
        <v>12</v>
      </c>
      <c r="M3" s="65" t="s">
        <v>60</v>
      </c>
      <c r="N3" s="66" t="s">
        <v>61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5+36+19+15+11+19</f>
        <v>105</v>
      </c>
      <c r="I4" s="68">
        <f t="shared" ref="I4:I31" si="0">H4/G4</f>
        <v>0.17499999999999999</v>
      </c>
      <c r="J4" s="30">
        <v>550</v>
      </c>
      <c r="K4" s="8">
        <v>132</v>
      </c>
      <c r="L4" s="87">
        <f t="shared" ref="L4:L29" si="1">K4/J4</f>
        <v>0.24</v>
      </c>
      <c r="M4" s="8">
        <f t="shared" ref="M4:M6" si="2">J4-K4</f>
        <v>418</v>
      </c>
      <c r="N4" s="10">
        <f t="shared" ref="N4:N6" si="3">M4/$D$2</f>
        <v>23.222222222222221</v>
      </c>
      <c r="O4" s="69">
        <f t="shared" ref="O4:P12" si="4">K4/H4</f>
        <v>1.2571428571428571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23+33+16+19+14+20</f>
        <v>125</v>
      </c>
      <c r="I5" s="70">
        <f t="shared" si="0"/>
        <v>0.20833333333333334</v>
      </c>
      <c r="J5" s="11">
        <v>450</v>
      </c>
      <c r="K5" s="12">
        <v>71</v>
      </c>
      <c r="L5" s="71">
        <f t="shared" si="1"/>
        <v>0.15777777777777777</v>
      </c>
      <c r="M5" s="12">
        <f t="shared" si="2"/>
        <v>379</v>
      </c>
      <c r="N5" s="14">
        <f t="shared" si="3"/>
        <v>21.055555555555557</v>
      </c>
      <c r="O5" s="98">
        <f t="shared" si="4"/>
        <v>0.56799999999999995</v>
      </c>
      <c r="P5" s="33">
        <v>3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73</v>
      </c>
      <c r="G6" s="30">
        <v>600</v>
      </c>
      <c r="H6" s="12">
        <f>6+16+5+3+11+11</f>
        <v>52</v>
      </c>
      <c r="I6" s="70">
        <f t="shared" si="0"/>
        <v>8.666666666666667E-2</v>
      </c>
      <c r="J6" s="11">
        <v>550</v>
      </c>
      <c r="K6" s="12">
        <v>66</v>
      </c>
      <c r="L6" s="71">
        <f t="shared" si="1"/>
        <v>0.12</v>
      </c>
      <c r="M6" s="12">
        <f t="shared" si="2"/>
        <v>484</v>
      </c>
      <c r="N6" s="14">
        <f t="shared" si="3"/>
        <v>26.888888888888889</v>
      </c>
      <c r="O6" s="72">
        <f t="shared" si="4"/>
        <v>1.2692307692307692</v>
      </c>
      <c r="P6" s="14">
        <f t="shared" si="4"/>
        <v>1.3846153846153846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600</v>
      </c>
      <c r="H7" s="12">
        <f>2+9+17+9+5+4</f>
        <v>46</v>
      </c>
      <c r="I7" s="70">
        <f t="shared" si="0"/>
        <v>7.6666666666666661E-2</v>
      </c>
      <c r="J7" s="11">
        <v>400</v>
      </c>
      <c r="K7" s="12">
        <v>53</v>
      </c>
      <c r="L7" s="71">
        <f t="shared" si="1"/>
        <v>0.13250000000000001</v>
      </c>
      <c r="M7" s="12">
        <f t="shared" ref="M7:M31" si="5">J7-K7</f>
        <v>347</v>
      </c>
      <c r="N7" s="14">
        <f t="shared" ref="N7:N31" si="6">M7/$D$2</f>
        <v>19.277777777777779</v>
      </c>
      <c r="O7" s="72">
        <f t="shared" si="4"/>
        <v>1.1521739130434783</v>
      </c>
      <c r="P7" s="14">
        <f t="shared" si="4"/>
        <v>1.7282608695652175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74</v>
      </c>
      <c r="G8" s="30">
        <v>600</v>
      </c>
      <c r="H8" s="12">
        <f>4+7+6+6+11+2</f>
        <v>36</v>
      </c>
      <c r="I8" s="70">
        <f t="shared" si="0"/>
        <v>0.06</v>
      </c>
      <c r="J8" s="11">
        <v>575</v>
      </c>
      <c r="K8" s="12">
        <v>39</v>
      </c>
      <c r="L8" s="71">
        <f t="shared" si="1"/>
        <v>6.7826086956521744E-2</v>
      </c>
      <c r="M8" s="12">
        <f t="shared" si="5"/>
        <v>536</v>
      </c>
      <c r="N8" s="14">
        <f t="shared" si="6"/>
        <v>29.777777777777779</v>
      </c>
      <c r="O8" s="72">
        <f t="shared" si="4"/>
        <v>1.0833333333333333</v>
      </c>
      <c r="P8" s="14">
        <f t="shared" si="4"/>
        <v>1.1304347826086958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26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30.555555555555557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11">
        <v>200</v>
      </c>
      <c r="H10" s="12">
        <f>2+7+1+6+5+2</f>
        <v>23</v>
      </c>
      <c r="I10" s="70">
        <f t="shared" si="0"/>
        <v>0.115</v>
      </c>
      <c r="J10" s="11">
        <v>3000</v>
      </c>
      <c r="K10" s="12">
        <v>504</v>
      </c>
      <c r="L10" s="71">
        <f t="shared" si="1"/>
        <v>0.16800000000000001</v>
      </c>
      <c r="M10" s="12">
        <f t="shared" si="5"/>
        <v>2496</v>
      </c>
      <c r="N10" s="14">
        <f t="shared" si="6"/>
        <v>138.66666666666666</v>
      </c>
      <c r="O10" s="72">
        <f t="shared" si="4"/>
        <v>21.913043478260871</v>
      </c>
      <c r="P10" s="14">
        <f t="shared" si="4"/>
        <v>1.4608695652173913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600</v>
      </c>
      <c r="H11" s="12"/>
      <c r="I11" s="70">
        <f t="shared" si="0"/>
        <v>0</v>
      </c>
      <c r="J11" s="11">
        <v>650</v>
      </c>
      <c r="K11" s="12"/>
      <c r="L11" s="71">
        <f t="shared" si="1"/>
        <v>0</v>
      </c>
      <c r="M11" s="12">
        <f t="shared" si="5"/>
        <v>650</v>
      </c>
      <c r="N11" s="14">
        <f t="shared" si="6"/>
        <v>36.111111111111114</v>
      </c>
      <c r="O11" s="72" t="e">
        <f t="shared" si="4"/>
        <v>#DIV/0!</v>
      </c>
      <c r="P11" s="14" t="e">
        <f t="shared" si="4"/>
        <v>#DIV/0!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11">
        <v>600</v>
      </c>
      <c r="H12" s="12"/>
      <c r="I12" s="70">
        <f t="shared" si="0"/>
        <v>0</v>
      </c>
      <c r="J12" s="11">
        <v>550</v>
      </c>
      <c r="K12" s="12"/>
      <c r="L12" s="71">
        <f t="shared" si="1"/>
        <v>0</v>
      </c>
      <c r="M12" s="12">
        <f t="shared" si="5"/>
        <v>550</v>
      </c>
      <c r="N12" s="14">
        <f t="shared" si="6"/>
        <v>30.555555555555557</v>
      </c>
      <c r="O12" s="72" t="e">
        <f t="shared" si="4"/>
        <v>#DIV/0!</v>
      </c>
      <c r="P12" s="14" t="e">
        <f t="shared" si="4"/>
        <v>#DIV/0!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17" t="s">
        <v>77</v>
      </c>
      <c r="G13" s="11">
        <v>600</v>
      </c>
      <c r="H13" s="12"/>
      <c r="I13" s="70">
        <f t="shared" ref="I13:I15" si="7">H13/G13</f>
        <v>0</v>
      </c>
      <c r="J13" s="11">
        <v>450</v>
      </c>
      <c r="K13" s="12"/>
      <c r="L13" s="71">
        <f t="shared" ref="L13:L16" si="8">K13/J13</f>
        <v>0</v>
      </c>
      <c r="M13" s="12">
        <f t="shared" si="5"/>
        <v>450</v>
      </c>
      <c r="N13" s="14">
        <f t="shared" ref="N13:N15" si="9">M13/$D$2</f>
        <v>25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>
        <v>1</v>
      </c>
      <c r="I14" s="70" t="e">
        <f t="shared" si="7"/>
        <v>#DIV/0!</v>
      </c>
      <c r="J14" s="11">
        <v>100</v>
      </c>
      <c r="K14" s="12">
        <v>100</v>
      </c>
      <c r="L14" s="71">
        <f t="shared" si="8"/>
        <v>1</v>
      </c>
      <c r="M14" s="12">
        <f t="shared" si="5"/>
        <v>0</v>
      </c>
      <c r="N14" s="14">
        <f t="shared" si="9"/>
        <v>0</v>
      </c>
      <c r="O14" s="72">
        <f t="shared" si="10"/>
        <v>100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65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64</v>
      </c>
      <c r="G16" s="11"/>
      <c r="H16" s="12"/>
      <c r="I16" s="70" t="e">
        <f t="shared" ref="I16" si="12">H16/G16</f>
        <v>#DIV/0!</v>
      </c>
      <c r="J16" s="11"/>
      <c r="K16" s="12"/>
      <c r="L16" s="71" t="e">
        <f t="shared" si="8"/>
        <v>#DIV/0!</v>
      </c>
      <c r="M16" s="12">
        <f t="shared" si="5"/>
        <v>0</v>
      </c>
      <c r="N16" s="14">
        <f t="shared" si="6"/>
        <v>0</v>
      </c>
      <c r="O16" s="72" t="e">
        <f t="shared" si="10"/>
        <v>#DIV/0!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9" t="s">
        <v>18</v>
      </c>
      <c r="E19" s="100"/>
      <c r="F19" s="101"/>
      <c r="G19" s="40">
        <f>SUM(G4:G18)</f>
        <v>5600</v>
      </c>
      <c r="H19" s="40">
        <f>SUM(H4:H18)</f>
        <v>388</v>
      </c>
      <c r="I19" s="79">
        <f t="shared" si="0"/>
        <v>6.9285714285714284E-2</v>
      </c>
      <c r="J19" s="80">
        <f>SUM(J4:J18)</f>
        <v>7825</v>
      </c>
      <c r="K19" s="80">
        <f>SUM(K4:K18)</f>
        <v>965</v>
      </c>
      <c r="L19" s="82">
        <f>K19/J19</f>
        <v>0.12332268370607029</v>
      </c>
      <c r="M19" s="81">
        <f t="shared" si="5"/>
        <v>6860</v>
      </c>
      <c r="N19" s="83">
        <f t="shared" si="6"/>
        <v>381.11111111111109</v>
      </c>
      <c r="O19" s="84">
        <f>K19/H19</f>
        <v>2.4871134020618557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31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25.833333333333332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32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25.944444444444443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33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25.777777777777779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34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26.277777777777779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48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26.888888888888889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9" t="s">
        <v>18</v>
      </c>
      <c r="E25" s="100"/>
      <c r="F25" s="101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130.72222222222223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49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34.222222222222221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50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31.444444444444443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51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31.888888888888889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26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34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9" t="s">
        <v>18</v>
      </c>
      <c r="E30" s="100"/>
      <c r="F30" s="101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131.55555555555554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6050</v>
      </c>
      <c r="H31" s="21">
        <f t="shared" ref="H31:K31" si="17">+H30+H25+H19</f>
        <v>589</v>
      </c>
      <c r="I31" s="88">
        <f t="shared" si="0"/>
        <v>9.7355371900826451E-2</v>
      </c>
      <c r="J31" s="89">
        <f t="shared" si="17"/>
        <v>12825</v>
      </c>
      <c r="K31" s="90">
        <f t="shared" si="17"/>
        <v>1244</v>
      </c>
      <c r="L31" s="91">
        <f>K31/J31</f>
        <v>9.6998050682261208E-2</v>
      </c>
      <c r="M31" s="90">
        <f t="shared" si="5"/>
        <v>11581</v>
      </c>
      <c r="N31" s="92">
        <f t="shared" si="6"/>
        <v>643.38888888888891</v>
      </c>
      <c r="O31" s="93">
        <f>K31/H31</f>
        <v>2.1120543293718166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2026-09-10T05:14:01Z</dcterms:modified>
</cp:coreProperties>
</file>