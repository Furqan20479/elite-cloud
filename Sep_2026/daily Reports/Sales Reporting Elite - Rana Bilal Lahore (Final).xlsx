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Sep_2026\Daily Reports\"/>
    </mc:Choice>
  </mc:AlternateContent>
  <xr:revisionPtr revIDLastSave="0" documentId="13_ncr:1_{D7E02A7F-DB9D-4CBD-84C9-7B63430A8A2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oday Performance" sheetId="1" r:id="rId1"/>
    <sheet name="Till To date Performan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2" l="1"/>
  <c r="F14" i="2"/>
  <c r="F12" i="2"/>
  <c r="I12" i="2"/>
  <c r="I13" i="2"/>
  <c r="F13" i="2"/>
  <c r="F8" i="2"/>
  <c r="F7" i="2"/>
  <c r="F6" i="2"/>
  <c r="F5" i="2"/>
  <c r="F11" i="2"/>
  <c r="F9" i="2"/>
  <c r="M9" i="2" l="1"/>
  <c r="M8" i="2"/>
  <c r="M7" i="2"/>
  <c r="M5" i="2"/>
  <c r="J5" i="2"/>
  <c r="M6" i="2"/>
  <c r="M10" i="2"/>
  <c r="M11" i="2"/>
  <c r="M12" i="2"/>
  <c r="M13" i="2"/>
  <c r="M14" i="2"/>
  <c r="M15" i="2"/>
  <c r="M16" i="2"/>
  <c r="M17" i="2"/>
  <c r="L16" i="2"/>
  <c r="L17" i="2"/>
  <c r="H2" i="2"/>
  <c r="G2" i="2"/>
  <c r="L15" i="2" l="1"/>
  <c r="H18" i="2" l="1"/>
  <c r="E18" i="2"/>
  <c r="K13" i="2"/>
  <c r="L13" i="2" s="1"/>
  <c r="K14" i="2"/>
  <c r="L14" i="2" s="1"/>
  <c r="K15" i="2"/>
  <c r="K16" i="2"/>
  <c r="J17" i="2"/>
  <c r="G17" i="2"/>
  <c r="G14" i="2"/>
  <c r="J14" i="2"/>
  <c r="G15" i="2"/>
  <c r="J15" i="2"/>
  <c r="G16" i="2"/>
  <c r="J16" i="2"/>
  <c r="N15" i="2" l="1"/>
  <c r="F18" i="2"/>
  <c r="I18" i="2"/>
  <c r="J18" i="2" s="1"/>
  <c r="N17" i="2"/>
  <c r="N16" i="2"/>
  <c r="N14" i="2"/>
  <c r="G18" i="2" l="1"/>
  <c r="M18" i="2"/>
  <c r="K18" i="2"/>
  <c r="L18" i="2" s="1"/>
  <c r="R5" i="1" l="1"/>
  <c r="R6" i="1"/>
  <c r="R7" i="1"/>
  <c r="R8" i="1"/>
  <c r="R9" i="1"/>
  <c r="R10" i="1"/>
  <c r="R11" i="1"/>
  <c r="R4" i="1"/>
  <c r="O5" i="1"/>
  <c r="O6" i="1"/>
  <c r="O7" i="1"/>
  <c r="O8" i="1"/>
  <c r="O9" i="1"/>
  <c r="O10" i="1"/>
  <c r="O11" i="1"/>
  <c r="O4" i="1"/>
  <c r="N29" i="2"/>
  <c r="I29" i="2"/>
  <c r="H29" i="2"/>
  <c r="F29" i="2"/>
  <c r="E29" i="2"/>
  <c r="M28" i="2"/>
  <c r="K28" i="2"/>
  <c r="J28" i="2"/>
  <c r="G28" i="2"/>
  <c r="M27" i="2"/>
  <c r="K27" i="2"/>
  <c r="J27" i="2"/>
  <c r="G27" i="2"/>
  <c r="M26" i="2"/>
  <c r="K26" i="2"/>
  <c r="J26" i="2"/>
  <c r="G26" i="2"/>
  <c r="M25" i="2"/>
  <c r="K25" i="2"/>
  <c r="J25" i="2"/>
  <c r="G25" i="2"/>
  <c r="N24" i="2"/>
  <c r="I24" i="2"/>
  <c r="H24" i="2"/>
  <c r="F24" i="2"/>
  <c r="E24" i="2"/>
  <c r="M23" i="2"/>
  <c r="K23" i="2"/>
  <c r="J23" i="2"/>
  <c r="G23" i="2"/>
  <c r="M22" i="2"/>
  <c r="K22" i="2"/>
  <c r="J22" i="2"/>
  <c r="G22" i="2"/>
  <c r="M21" i="2"/>
  <c r="K21" i="2"/>
  <c r="J21" i="2"/>
  <c r="G21" i="2"/>
  <c r="M20" i="2"/>
  <c r="K20" i="2"/>
  <c r="J20" i="2"/>
  <c r="G20" i="2"/>
  <c r="M19" i="2"/>
  <c r="K19" i="2"/>
  <c r="J19" i="2"/>
  <c r="G19" i="2"/>
  <c r="K17" i="2"/>
  <c r="J13" i="2"/>
  <c r="G13" i="2"/>
  <c r="K12" i="2"/>
  <c r="L12" i="2" s="1"/>
  <c r="J12" i="2"/>
  <c r="G12" i="2"/>
  <c r="K11" i="2"/>
  <c r="L11" i="2" s="1"/>
  <c r="J11" i="2"/>
  <c r="G11" i="2"/>
  <c r="K10" i="2"/>
  <c r="L10" i="2" s="1"/>
  <c r="J10" i="2"/>
  <c r="G10" i="2"/>
  <c r="K9" i="2"/>
  <c r="L9" i="2" s="1"/>
  <c r="J9" i="2"/>
  <c r="G9" i="2"/>
  <c r="K8" i="2"/>
  <c r="L8" i="2" s="1"/>
  <c r="J8" i="2"/>
  <c r="G8" i="2"/>
  <c r="K7" i="2"/>
  <c r="L7" i="2" s="1"/>
  <c r="J7" i="2"/>
  <c r="G7" i="2"/>
  <c r="K6" i="2"/>
  <c r="L6" i="2" s="1"/>
  <c r="J6" i="2"/>
  <c r="G6" i="2"/>
  <c r="K5" i="2"/>
  <c r="L5" i="2" s="1"/>
  <c r="G5" i="2"/>
  <c r="Q16" i="1"/>
  <c r="N16" i="1"/>
  <c r="I16" i="1"/>
  <c r="H16" i="1"/>
  <c r="F16" i="1"/>
  <c r="E16" i="1"/>
  <c r="T27" i="1"/>
  <c r="Q27" i="1"/>
  <c r="P27" i="1"/>
  <c r="N27" i="1"/>
  <c r="M27" i="1"/>
  <c r="L27" i="1"/>
  <c r="I27" i="1"/>
  <c r="H27" i="1"/>
  <c r="F27" i="1"/>
  <c r="E27" i="1"/>
  <c r="S26" i="1"/>
  <c r="R26" i="1"/>
  <c r="O26" i="1"/>
  <c r="K26" i="1"/>
  <c r="J26" i="1"/>
  <c r="G26" i="1"/>
  <c r="S25" i="1"/>
  <c r="R25" i="1"/>
  <c r="O25" i="1"/>
  <c r="K25" i="1"/>
  <c r="J25" i="1"/>
  <c r="G25" i="1"/>
  <c r="S24" i="1"/>
  <c r="R24" i="1"/>
  <c r="O24" i="1"/>
  <c r="K24" i="1"/>
  <c r="J24" i="1"/>
  <c r="G24" i="1"/>
  <c r="S23" i="1"/>
  <c r="R23" i="1"/>
  <c r="O23" i="1"/>
  <c r="K23" i="1"/>
  <c r="J23" i="1"/>
  <c r="G23" i="1"/>
  <c r="T22" i="1"/>
  <c r="Q22" i="1"/>
  <c r="P22" i="1"/>
  <c r="N22" i="1"/>
  <c r="M22" i="1"/>
  <c r="L22" i="1"/>
  <c r="I22" i="1"/>
  <c r="H22" i="1"/>
  <c r="F22" i="1"/>
  <c r="E22" i="1"/>
  <c r="S21" i="1"/>
  <c r="R21" i="1"/>
  <c r="O21" i="1"/>
  <c r="K21" i="1"/>
  <c r="J21" i="1"/>
  <c r="G21" i="1"/>
  <c r="S20" i="1"/>
  <c r="R20" i="1"/>
  <c r="O20" i="1"/>
  <c r="K20" i="1"/>
  <c r="J20" i="1"/>
  <c r="G20" i="1"/>
  <c r="S19" i="1"/>
  <c r="R19" i="1"/>
  <c r="O19" i="1"/>
  <c r="K19" i="1"/>
  <c r="J19" i="1"/>
  <c r="G19" i="1"/>
  <c r="S18" i="1"/>
  <c r="R18" i="1"/>
  <c r="O18" i="1"/>
  <c r="K18" i="1"/>
  <c r="J18" i="1"/>
  <c r="G18" i="1"/>
  <c r="S17" i="1"/>
  <c r="R17" i="1"/>
  <c r="O17" i="1"/>
  <c r="K17" i="1"/>
  <c r="J17" i="1"/>
  <c r="G17" i="1"/>
  <c r="S11" i="1"/>
  <c r="K11" i="1"/>
  <c r="J11" i="1"/>
  <c r="G11" i="1"/>
  <c r="S10" i="1"/>
  <c r="K10" i="1"/>
  <c r="J10" i="1"/>
  <c r="G10" i="1"/>
  <c r="S9" i="1"/>
  <c r="K9" i="1"/>
  <c r="J9" i="1"/>
  <c r="G9" i="1"/>
  <c r="S8" i="1"/>
  <c r="K8" i="1"/>
  <c r="J8" i="1"/>
  <c r="G8" i="1"/>
  <c r="S7" i="1"/>
  <c r="K7" i="1"/>
  <c r="J7" i="1"/>
  <c r="G7" i="1"/>
  <c r="L7" i="1" s="1"/>
  <c r="S6" i="1"/>
  <c r="K6" i="1"/>
  <c r="J6" i="1"/>
  <c r="G6" i="1"/>
  <c r="S5" i="1"/>
  <c r="K5" i="1"/>
  <c r="J5" i="1"/>
  <c r="G5" i="1"/>
  <c r="S4" i="1"/>
  <c r="K4" i="1"/>
  <c r="J4" i="1"/>
  <c r="G4" i="1"/>
  <c r="K24" i="2" l="1"/>
  <c r="L24" i="2" s="1"/>
  <c r="P16" i="1"/>
  <c r="R16" i="1" s="1"/>
  <c r="T4" i="1"/>
  <c r="M16" i="1"/>
  <c r="M28" i="1" s="1"/>
  <c r="T7" i="1"/>
  <c r="T10" i="1"/>
  <c r="K22" i="1"/>
  <c r="L5" i="1"/>
  <c r="L8" i="1"/>
  <c r="L11" i="1"/>
  <c r="T5" i="1"/>
  <c r="T8" i="1"/>
  <c r="T9" i="1"/>
  <c r="T11" i="1"/>
  <c r="J16" i="1"/>
  <c r="K29" i="2"/>
  <c r="L29" i="2" s="1"/>
  <c r="N13" i="2"/>
  <c r="N11" i="2"/>
  <c r="N9" i="2"/>
  <c r="L25" i="2"/>
  <c r="L27" i="2"/>
  <c r="M29" i="2"/>
  <c r="N7" i="2"/>
  <c r="N10" i="2"/>
  <c r="E30" i="2"/>
  <c r="G29" i="2"/>
  <c r="G24" i="2"/>
  <c r="L22" i="2"/>
  <c r="J24" i="2"/>
  <c r="M24" i="2"/>
  <c r="L26" i="2"/>
  <c r="L28" i="2"/>
  <c r="N12" i="2"/>
  <c r="L20" i="2"/>
  <c r="N8" i="2"/>
  <c r="L19" i="2"/>
  <c r="L21" i="2"/>
  <c r="F30" i="2"/>
  <c r="J29" i="2"/>
  <c r="H30" i="2"/>
  <c r="I30" i="2"/>
  <c r="L23" i="2"/>
  <c r="K16" i="1"/>
  <c r="O22" i="1"/>
  <c r="L9" i="1"/>
  <c r="G16" i="1"/>
  <c r="J22" i="1"/>
  <c r="E28" i="1"/>
  <c r="O27" i="1"/>
  <c r="R27" i="1"/>
  <c r="L4" i="1"/>
  <c r="G27" i="1"/>
  <c r="H28" i="1"/>
  <c r="Q28" i="1"/>
  <c r="I28" i="1"/>
  <c r="J27" i="1"/>
  <c r="L10" i="1"/>
  <c r="S27" i="1"/>
  <c r="S16" i="1"/>
  <c r="G22" i="1"/>
  <c r="R22" i="1"/>
  <c r="K27" i="1"/>
  <c r="L6" i="1"/>
  <c r="S22" i="1"/>
  <c r="T6" i="1"/>
  <c r="F28" i="1"/>
  <c r="N28" i="1"/>
  <c r="O16" i="1" l="1"/>
  <c r="P28" i="1"/>
  <c r="R28" i="1" s="1"/>
  <c r="T16" i="1"/>
  <c r="T28" i="1" s="1"/>
  <c r="G28" i="1"/>
  <c r="J28" i="1"/>
  <c r="L16" i="1"/>
  <c r="L28" i="1" s="1"/>
  <c r="O28" i="1"/>
  <c r="G30" i="2"/>
  <c r="K30" i="2"/>
  <c r="L30" i="2" s="1"/>
  <c r="N18" i="2"/>
  <c r="N30" i="2" s="1"/>
  <c r="J30" i="2"/>
  <c r="M30" i="2"/>
  <c r="S28" i="1"/>
  <c r="K28" i="1"/>
</calcChain>
</file>

<file path=xl/sharedStrings.xml><?xml version="1.0" encoding="utf-8"?>
<sst xmlns="http://schemas.openxmlformats.org/spreadsheetml/2006/main" count="237" uniqueCount="71">
  <si>
    <t>Booking</t>
  </si>
  <si>
    <t>Execution</t>
  </si>
  <si>
    <t>Productivity</t>
  </si>
  <si>
    <t>Sales</t>
  </si>
  <si>
    <t>Region</t>
  </si>
  <si>
    <t>TSO Name</t>
  </si>
  <si>
    <t>Distribution Name</t>
  </si>
  <si>
    <t>OB Name</t>
  </si>
  <si>
    <t>Plan Shop</t>
  </si>
  <si>
    <t>Booked Orders</t>
  </si>
  <si>
    <t>%</t>
  </si>
  <si>
    <t>Plan Booking</t>
  </si>
  <si>
    <t>Boooked CTN</t>
  </si>
  <si>
    <t>Drop Size</t>
  </si>
  <si>
    <t>SKU/Bills</t>
  </si>
  <si>
    <t>Remarks</t>
  </si>
  <si>
    <t>Total</t>
  </si>
  <si>
    <t>Lahore</t>
  </si>
  <si>
    <t>Elite Marketing</t>
  </si>
  <si>
    <t>Zeeshan Maharban</t>
  </si>
  <si>
    <t>Salman Butt</t>
  </si>
  <si>
    <t>Vacant</t>
  </si>
  <si>
    <t>Shakoor LMT</t>
  </si>
  <si>
    <t>AHMED</t>
  </si>
  <si>
    <t xml:space="preserve">WASEEM BROTHER </t>
  </si>
  <si>
    <t xml:space="preserve">Rana Maqbool </t>
  </si>
  <si>
    <t>Ghulam Ahmed</t>
  </si>
  <si>
    <t>M Shahzad</t>
  </si>
  <si>
    <t>Usman Akbar</t>
  </si>
  <si>
    <t xml:space="preserve">ZOHAIB </t>
  </si>
  <si>
    <t xml:space="preserve">DOLPHIN TRADER </t>
  </si>
  <si>
    <t>Unique Productivity</t>
  </si>
  <si>
    <t>KPI's</t>
  </si>
  <si>
    <t>Productive</t>
  </si>
  <si>
    <t>Target</t>
  </si>
  <si>
    <t>Ach(CTN)</t>
  </si>
  <si>
    <t>Kasur</t>
  </si>
  <si>
    <t>Nouman</t>
  </si>
  <si>
    <t>Shahzad Nayyar</t>
  </si>
  <si>
    <t>Muhammad Salah</t>
  </si>
  <si>
    <t>Muhammad Hassan</t>
  </si>
  <si>
    <t>Delivered Orders</t>
  </si>
  <si>
    <t>Booked CTN</t>
  </si>
  <si>
    <t>Delivered CTN</t>
  </si>
  <si>
    <t>Total Day</t>
  </si>
  <si>
    <t>Day Gone</t>
  </si>
  <si>
    <t>Day Gone %</t>
  </si>
  <si>
    <t>Remaining Day</t>
  </si>
  <si>
    <t>Secondary Sales Update</t>
  </si>
  <si>
    <t>Balance</t>
  </si>
  <si>
    <t>RPD</t>
  </si>
  <si>
    <t>Aqeel Malik (SD)</t>
  </si>
  <si>
    <t xml:space="preserve">Qasim Khan </t>
  </si>
  <si>
    <t>Nabeel Traders</t>
  </si>
  <si>
    <t xml:space="preserve">Riwand </t>
  </si>
  <si>
    <t>Maqbool</t>
  </si>
  <si>
    <t>Ghulam Ahmad</t>
  </si>
  <si>
    <t>Noman Younas</t>
  </si>
  <si>
    <t xml:space="preserve">M Saleh </t>
  </si>
  <si>
    <t xml:space="preserve">M Hassan </t>
  </si>
  <si>
    <t>Hamid</t>
  </si>
  <si>
    <t>Jabbar</t>
  </si>
  <si>
    <t xml:space="preserve">Umair </t>
  </si>
  <si>
    <t>Furqan</t>
  </si>
  <si>
    <t xml:space="preserve">Yasir </t>
  </si>
  <si>
    <t xml:space="preserve">Qamar Ijaz </t>
  </si>
  <si>
    <t>Qamar Ijaz</t>
  </si>
  <si>
    <t xml:space="preserve">Nabeel Traders </t>
  </si>
  <si>
    <t xml:space="preserve">Sohail Traders </t>
  </si>
  <si>
    <t>On Leave</t>
  </si>
  <si>
    <t>Punding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</si>
</sst>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color rgb="FF000000"/>
      <name val="Arial Unicode MS"/>
      <family val="2"/>
    </font>
    <font>
      <b/>
      <sz val="11"/>
      <color rgb="FFFF0000"/>
      <name val="Arial Unicode MS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9" fontId="0" fillId="0" borderId="15" xfId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9" fontId="0" fillId="0" borderId="19" xfId="1" applyFon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6" borderId="12" xfId="0" applyFill="1" applyBorder="1" applyAlignment="1">
      <alignment vertical="center"/>
    </xf>
    <xf numFmtId="0" fontId="0" fillId="6" borderId="16" xfId="0" applyFill="1" applyBorder="1" applyAlignment="1">
      <alignment vertical="center"/>
    </xf>
    <xf numFmtId="0" fontId="3" fillId="6" borderId="17" xfId="0" applyFont="1" applyFill="1" applyBorder="1"/>
    <xf numFmtId="0" fontId="4" fillId="6" borderId="17" xfId="0" applyFont="1" applyFill="1" applyBorder="1"/>
    <xf numFmtId="0" fontId="0" fillId="6" borderId="21" xfId="0" applyFill="1" applyBorder="1" applyAlignment="1">
      <alignment vertical="center"/>
    </xf>
    <xf numFmtId="1" fontId="2" fillId="7" borderId="7" xfId="0" applyNumberFormat="1" applyFont="1" applyFill="1" applyBorder="1" applyAlignment="1">
      <alignment horizontal="center"/>
    </xf>
    <xf numFmtId="1" fontId="2" fillId="7" borderId="8" xfId="0" applyNumberFormat="1" applyFont="1" applyFill="1" applyBorder="1" applyAlignment="1">
      <alignment horizontal="center"/>
    </xf>
    <xf numFmtId="9" fontId="2" fillId="7" borderId="10" xfId="1" applyFont="1" applyFill="1" applyBorder="1" applyAlignment="1">
      <alignment horizontal="center"/>
    </xf>
    <xf numFmtId="1" fontId="2" fillId="7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21" xfId="0" applyFont="1" applyFill="1" applyBorder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0" fillId="0" borderId="27" xfId="0" applyBorder="1"/>
    <xf numFmtId="0" fontId="0" fillId="0" borderId="31" xfId="0" applyBorder="1"/>
    <xf numFmtId="0" fontId="0" fillId="0" borderId="18" xfId="0" applyBorder="1"/>
    <xf numFmtId="1" fontId="0" fillId="0" borderId="23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9" fontId="0" fillId="0" borderId="24" xfId="1" applyFon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9" fontId="2" fillId="5" borderId="10" xfId="1" applyFont="1" applyFill="1" applyBorder="1" applyAlignment="1">
      <alignment horizontal="center"/>
    </xf>
    <xf numFmtId="1" fontId="2" fillId="5" borderId="10" xfId="0" applyNumberFormat="1" applyFont="1" applyFill="1" applyBorder="1" applyAlignment="1">
      <alignment horizontal="center"/>
    </xf>
    <xf numFmtId="1" fontId="2" fillId="5" borderId="26" xfId="0" applyNumberFormat="1" applyFont="1" applyFill="1" applyBorder="1" applyAlignment="1">
      <alignment horizontal="center"/>
    </xf>
    <xf numFmtId="0" fontId="0" fillId="0" borderId="32" xfId="0" applyBorder="1"/>
    <xf numFmtId="0" fontId="0" fillId="6" borderId="28" xfId="0" applyFill="1" applyBorder="1" applyAlignment="1">
      <alignment vertical="center"/>
    </xf>
    <xf numFmtId="0" fontId="3" fillId="6" borderId="29" xfId="0" applyFont="1" applyFill="1" applyBorder="1"/>
    <xf numFmtId="0" fontId="5" fillId="6" borderId="17" xfId="0" applyFont="1" applyFill="1" applyBorder="1"/>
    <xf numFmtId="0" fontId="5" fillId="6" borderId="22" xfId="0" applyFont="1" applyFill="1" applyBorder="1"/>
    <xf numFmtId="0" fontId="4" fillId="6" borderId="13" xfId="0" applyFont="1" applyFill="1" applyBorder="1"/>
    <xf numFmtId="0" fontId="4" fillId="6" borderId="22" xfId="0" applyFont="1" applyFill="1" applyBorder="1"/>
    <xf numFmtId="0" fontId="2" fillId="7" borderId="2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9" fontId="0" fillId="0" borderId="17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9" fontId="0" fillId="0" borderId="22" xfId="1" applyFon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1" fontId="0" fillId="0" borderId="37" xfId="0" applyNumberFormat="1" applyBorder="1" applyAlignment="1">
      <alignment horizontal="center"/>
    </xf>
    <xf numFmtId="9" fontId="0" fillId="0" borderId="37" xfId="1" applyFont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9" fontId="2" fillId="5" borderId="9" xfId="1" applyFont="1" applyFill="1" applyBorder="1" applyAlignment="1">
      <alignment horizontal="center"/>
    </xf>
    <xf numFmtId="1" fontId="2" fillId="5" borderId="33" xfId="0" applyNumberFormat="1" applyFont="1" applyFill="1" applyBorder="1" applyAlignment="1">
      <alignment horizontal="center"/>
    </xf>
    <xf numFmtId="1" fontId="2" fillId="5" borderId="34" xfId="0" applyNumberFormat="1" applyFont="1" applyFill="1" applyBorder="1" applyAlignment="1">
      <alignment horizontal="center"/>
    </xf>
    <xf numFmtId="9" fontId="2" fillId="5" borderId="34" xfId="1" applyFont="1" applyFill="1" applyBorder="1" applyAlignment="1">
      <alignment horizontal="center"/>
    </xf>
    <xf numFmtId="1" fontId="2" fillId="5" borderId="35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/>
    </xf>
    <xf numFmtId="9" fontId="0" fillId="0" borderId="13" xfId="1" applyFon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9" fontId="0" fillId="0" borderId="12" xfId="1" applyFont="1" applyBorder="1" applyAlignment="1">
      <alignment horizontal="center"/>
    </xf>
    <xf numFmtId="9" fontId="2" fillId="7" borderId="9" xfId="1" applyFont="1" applyFill="1" applyBorder="1" applyAlignment="1">
      <alignment horizontal="center"/>
    </xf>
    <xf numFmtId="1" fontId="2" fillId="7" borderId="33" xfId="0" applyNumberFormat="1" applyFont="1" applyFill="1" applyBorder="1" applyAlignment="1">
      <alignment horizontal="center"/>
    </xf>
    <xf numFmtId="1" fontId="2" fillId="7" borderId="34" xfId="0" applyNumberFormat="1" applyFont="1" applyFill="1" applyBorder="1" applyAlignment="1">
      <alignment horizontal="center"/>
    </xf>
    <xf numFmtId="9" fontId="2" fillId="7" borderId="34" xfId="1" applyFont="1" applyFill="1" applyBorder="1" applyAlignment="1">
      <alignment horizontal="center"/>
    </xf>
    <xf numFmtId="1" fontId="2" fillId="7" borderId="35" xfId="0" applyNumberFormat="1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164" fontId="2" fillId="5" borderId="26" xfId="0" applyNumberFormat="1" applyFont="1" applyFill="1" applyBorder="1"/>
    <xf numFmtId="1" fontId="0" fillId="5" borderId="16" xfId="0" applyNumberFormat="1" applyFill="1" applyBorder="1" applyAlignment="1">
      <alignment horizontal="center"/>
    </xf>
    <xf numFmtId="0" fontId="6" fillId="7" borderId="27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9" fontId="7" fillId="0" borderId="21" xfId="1" applyFont="1" applyBorder="1" applyAlignment="1">
      <alignment horizontal="center" vertical="center"/>
    </xf>
    <xf numFmtId="1" fontId="7" fillId="8" borderId="24" xfId="0" applyNumberFormat="1" applyFont="1" applyFill="1" applyBorder="1" applyAlignment="1">
      <alignment horizontal="center" vertical="center"/>
    </xf>
    <xf numFmtId="164" fontId="2" fillId="5" borderId="40" xfId="0" applyNumberFormat="1" applyFont="1" applyFill="1" applyBorder="1" applyAlignment="1">
      <alignment horizontal="center" vertical="center"/>
    </xf>
    <xf numFmtId="0" fontId="0" fillId="0" borderId="14" xfId="0" applyBorder="1"/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0" fillId="0" borderId="44" xfId="0" applyBorder="1"/>
    <xf numFmtId="9" fontId="2" fillId="5" borderId="35" xfId="1" applyFont="1" applyFill="1" applyBorder="1" applyAlignment="1">
      <alignment horizontal="center"/>
    </xf>
    <xf numFmtId="0" fontId="2" fillId="0" borderId="45" xfId="0" applyFont="1" applyBorder="1" applyAlignment="1">
      <alignment horizontal="center" vertical="center" wrapText="1"/>
    </xf>
    <xf numFmtId="1" fontId="2" fillId="5" borderId="46" xfId="0" applyNumberFormat="1" applyFont="1" applyFill="1" applyBorder="1" applyAlignment="1">
      <alignment horizontal="center"/>
    </xf>
    <xf numFmtId="0" fontId="0" fillId="0" borderId="16" xfId="0" applyBorder="1"/>
    <xf numFmtId="1" fontId="0" fillId="0" borderId="17" xfId="0" applyNumberForma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3" fillId="6" borderId="13" xfId="0" applyFont="1" applyFill="1" applyBorder="1"/>
    <xf numFmtId="1" fontId="0" fillId="0" borderId="13" xfId="0" applyNumberFormat="1" applyBorder="1" applyAlignment="1">
      <alignment horizontal="center"/>
    </xf>
    <xf numFmtId="0" fontId="2" fillId="4" borderId="7" xfId="0" applyFont="1" applyFill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0" fillId="6" borderId="41" xfId="0" applyFill="1" applyBorder="1" applyAlignment="1">
      <alignment vertical="center"/>
    </xf>
    <xf numFmtId="9" fontId="0" fillId="0" borderId="21" xfId="1" applyFon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9" fontId="2" fillId="5" borderId="8" xfId="1" applyFont="1" applyFill="1" applyBorder="1" applyAlignment="1">
      <alignment horizontal="center"/>
    </xf>
    <xf numFmtId="0" fontId="0" fillId="0" borderId="23" xfId="0" applyBorder="1"/>
    <xf numFmtId="0" fontId="0" fillId="0" borderId="7" xfId="0" applyBorder="1"/>
    <xf numFmtId="0" fontId="2" fillId="4" borderId="9" xfId="0" applyFont="1" applyFill="1" applyBorder="1" applyAlignment="1">
      <alignment vertical="center" wrapText="1"/>
    </xf>
    <xf numFmtId="165" fontId="0" fillId="0" borderId="14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"/>
  <sheetViews>
    <sheetView zoomScale="85" zoomScaleNormal="85" workbookViewId="0"/>
  </sheetViews>
  <sheetFormatPr defaultRowHeight="14.5" x14ac:dyDescent="0.35"/>
  <cols>
    <col min="1" max="1" width="13.54296875" customWidth="1"/>
    <col min="2" max="2" width="9.81640625" bestFit="1" customWidth="1"/>
    <col min="3" max="3" width="16.08984375" customWidth="1"/>
    <col min="4" max="4" width="30.1796875" customWidth="1"/>
    <col min="5" max="5" width="5.453125" style="23" customWidth="1"/>
    <col min="6" max="6" width="7.7265625" customWidth="1"/>
    <col min="7" max="7" width="5.54296875" customWidth="1"/>
    <col min="8" max="8" width="8.1796875" customWidth="1"/>
    <col min="9" max="9" width="8.81640625" customWidth="1"/>
    <col min="10" max="10" width="7.7265625" customWidth="1"/>
    <col min="11" max="11" width="10.54296875" customWidth="1"/>
    <col min="12" max="12" width="8.54296875" customWidth="1"/>
    <col min="13" max="13" width="7.1796875" customWidth="1"/>
    <col min="14" max="14" width="8.7265625" customWidth="1"/>
    <col min="15" max="15" width="8.36328125" customWidth="1"/>
    <col min="16" max="16" width="7.1796875" customWidth="1"/>
    <col min="17" max="17" width="8.7265625" customWidth="1"/>
    <col min="18" max="18" width="8.453125" customWidth="1"/>
    <col min="19" max="19" width="9.36328125" customWidth="1"/>
    <col min="20" max="20" width="9" customWidth="1"/>
    <col min="21" max="21" width="20.453125" customWidth="1"/>
    <col min="22" max="22" width="8.7265625" customWidth="1"/>
  </cols>
  <sheetData>
    <row r="1" spans="1:26" ht="15" thickBot="1" x14ac:dyDescent="0.4">
      <c r="E1" s="111" t="s">
        <v>0</v>
      </c>
      <c r="F1" s="112"/>
      <c r="G1" s="112"/>
      <c r="H1" s="112"/>
      <c r="I1" s="112"/>
      <c r="J1" s="112"/>
      <c r="K1" s="112"/>
      <c r="L1" s="113"/>
      <c r="M1" s="114" t="s">
        <v>1</v>
      </c>
      <c r="N1" s="115"/>
      <c r="O1" s="115"/>
      <c r="P1" s="115"/>
      <c r="Q1" s="115"/>
      <c r="R1" s="115"/>
      <c r="S1" s="115"/>
      <c r="T1" s="116"/>
    </row>
    <row r="2" spans="1:26" ht="15" thickBot="1" x14ac:dyDescent="0.4">
      <c r="D2" s="73">
        <v>46283</v>
      </c>
      <c r="E2" s="117" t="s">
        <v>2</v>
      </c>
      <c r="F2" s="118"/>
      <c r="G2" s="119"/>
      <c r="H2" s="118" t="s">
        <v>3</v>
      </c>
      <c r="I2" s="118"/>
      <c r="J2" s="119"/>
      <c r="K2" s="1"/>
      <c r="L2" s="2"/>
      <c r="M2" s="117" t="s">
        <v>2</v>
      </c>
      <c r="N2" s="118"/>
      <c r="O2" s="119"/>
      <c r="P2" s="118" t="s">
        <v>3</v>
      </c>
      <c r="Q2" s="118"/>
      <c r="R2" s="119"/>
      <c r="S2" s="1"/>
      <c r="T2" s="2"/>
    </row>
    <row r="3" spans="1:26" ht="29.5" thickBot="1" x14ac:dyDescent="0.4">
      <c r="A3" s="24" t="s">
        <v>4</v>
      </c>
      <c r="B3" s="24" t="s">
        <v>5</v>
      </c>
      <c r="C3" s="24" t="s">
        <v>6</v>
      </c>
      <c r="D3" s="25" t="s">
        <v>7</v>
      </c>
      <c r="E3" s="84" t="s">
        <v>8</v>
      </c>
      <c r="F3" s="85" t="s">
        <v>9</v>
      </c>
      <c r="G3" s="87" t="s">
        <v>10</v>
      </c>
      <c r="H3" s="86" t="s">
        <v>11</v>
      </c>
      <c r="I3" s="85" t="s">
        <v>12</v>
      </c>
      <c r="J3" s="87" t="s">
        <v>10</v>
      </c>
      <c r="K3" s="86" t="s">
        <v>13</v>
      </c>
      <c r="L3" s="87" t="s">
        <v>14</v>
      </c>
      <c r="M3" s="84" t="s">
        <v>9</v>
      </c>
      <c r="N3" s="85" t="s">
        <v>41</v>
      </c>
      <c r="O3" s="87" t="s">
        <v>10</v>
      </c>
      <c r="P3" s="86" t="s">
        <v>42</v>
      </c>
      <c r="Q3" s="85" t="s">
        <v>43</v>
      </c>
      <c r="R3" s="87" t="s">
        <v>10</v>
      </c>
      <c r="S3" s="86" t="s">
        <v>13</v>
      </c>
      <c r="T3" s="87" t="s">
        <v>14</v>
      </c>
      <c r="U3" s="90" t="s">
        <v>15</v>
      </c>
    </row>
    <row r="4" spans="1:26" ht="17" thickBot="1" x14ac:dyDescent="0.5">
      <c r="A4" s="26" t="s">
        <v>17</v>
      </c>
      <c r="B4" s="39" t="s">
        <v>66</v>
      </c>
      <c r="C4" s="39" t="s">
        <v>18</v>
      </c>
      <c r="D4" s="40" t="s">
        <v>19</v>
      </c>
      <c r="E4" s="11">
        <v>50</v>
      </c>
      <c r="F4" s="11">
        <v>12</v>
      </c>
      <c r="G4" s="50">
        <f t="shared" ref="G4:G28" si="0">F4/E4</f>
        <v>0.24</v>
      </c>
      <c r="H4" s="11">
        <v>40</v>
      </c>
      <c r="I4" s="11">
        <v>11</v>
      </c>
      <c r="J4" s="50">
        <f t="shared" ref="J4:J11" si="1">I4/H4</f>
        <v>0.27500000000000002</v>
      </c>
      <c r="K4" s="11">
        <f t="shared" ref="K4:L11" si="2">I4/F4</f>
        <v>0.91666666666666663</v>
      </c>
      <c r="L4" s="11">
        <f t="shared" si="2"/>
        <v>1.1458333333333335</v>
      </c>
      <c r="M4" s="11">
        <v>7</v>
      </c>
      <c r="N4" s="74">
        <v>7</v>
      </c>
      <c r="O4" s="50">
        <f t="shared" ref="O4:O11" si="3">N4/M4</f>
        <v>1</v>
      </c>
      <c r="P4" s="11">
        <v>6</v>
      </c>
      <c r="Q4" s="74">
        <v>6</v>
      </c>
      <c r="R4" s="50">
        <f t="shared" ref="R4:R11" si="4">Q4/P4</f>
        <v>1</v>
      </c>
      <c r="S4" s="11">
        <f t="shared" ref="S4:T11" si="5">Q4/N4</f>
        <v>0.8571428571428571</v>
      </c>
      <c r="T4" s="11">
        <f t="shared" si="5"/>
        <v>1</v>
      </c>
      <c r="U4" s="92"/>
    </row>
    <row r="5" spans="1:26" ht="17" thickBot="1" x14ac:dyDescent="0.5">
      <c r="A5" s="28" t="s">
        <v>17</v>
      </c>
      <c r="B5" s="39" t="s">
        <v>66</v>
      </c>
      <c r="C5" s="15" t="s">
        <v>18</v>
      </c>
      <c r="D5" s="16" t="s">
        <v>20</v>
      </c>
      <c r="E5" s="11">
        <v>50</v>
      </c>
      <c r="F5" s="11">
        <v>20</v>
      </c>
      <c r="G5" s="50">
        <f t="shared" si="0"/>
        <v>0.4</v>
      </c>
      <c r="H5" s="11">
        <v>30</v>
      </c>
      <c r="I5" s="11">
        <v>7</v>
      </c>
      <c r="J5" s="50">
        <f t="shared" si="1"/>
        <v>0.23333333333333334</v>
      </c>
      <c r="K5" s="11">
        <f t="shared" si="2"/>
        <v>0.35</v>
      </c>
      <c r="L5" s="11">
        <f t="shared" si="2"/>
        <v>0.58333333333333326</v>
      </c>
      <c r="M5" s="11">
        <v>13</v>
      </c>
      <c r="N5" s="74">
        <v>12</v>
      </c>
      <c r="O5" s="50">
        <f t="shared" si="3"/>
        <v>0.92307692307692313</v>
      </c>
      <c r="P5" s="11">
        <v>7</v>
      </c>
      <c r="Q5" s="74">
        <v>6</v>
      </c>
      <c r="R5" s="50">
        <f t="shared" si="4"/>
        <v>0.8571428571428571</v>
      </c>
      <c r="S5" s="11">
        <f t="shared" si="5"/>
        <v>0.5</v>
      </c>
      <c r="T5" s="11">
        <f t="shared" si="5"/>
        <v>0.92857142857142849</v>
      </c>
      <c r="U5" s="92"/>
    </row>
    <row r="6" spans="1:26" ht="17" thickBot="1" x14ac:dyDescent="0.5">
      <c r="A6" s="28" t="s">
        <v>17</v>
      </c>
      <c r="B6" s="39" t="s">
        <v>66</v>
      </c>
      <c r="C6" s="15" t="s">
        <v>18</v>
      </c>
      <c r="D6" s="16" t="s">
        <v>62</v>
      </c>
      <c r="E6" s="11">
        <v>50</v>
      </c>
      <c r="F6" s="11">
        <v>4</v>
      </c>
      <c r="G6" s="50">
        <f t="shared" si="0"/>
        <v>0.08</v>
      </c>
      <c r="H6" s="11">
        <v>25</v>
      </c>
      <c r="I6" s="11">
        <v>5</v>
      </c>
      <c r="J6" s="50">
        <f t="shared" si="1"/>
        <v>0.2</v>
      </c>
      <c r="K6" s="11">
        <f t="shared" si="2"/>
        <v>1.25</v>
      </c>
      <c r="L6" s="11">
        <f t="shared" si="2"/>
        <v>2.5</v>
      </c>
      <c r="M6" s="11">
        <v>4</v>
      </c>
      <c r="N6" s="74">
        <v>3</v>
      </c>
      <c r="O6" s="50">
        <f t="shared" si="3"/>
        <v>0.75</v>
      </c>
      <c r="P6" s="11">
        <v>4</v>
      </c>
      <c r="Q6" s="74">
        <v>3</v>
      </c>
      <c r="R6" s="50">
        <f t="shared" si="4"/>
        <v>0.75</v>
      </c>
      <c r="S6" s="11">
        <f t="shared" si="5"/>
        <v>1</v>
      </c>
      <c r="T6" s="11">
        <f t="shared" si="5"/>
        <v>1</v>
      </c>
      <c r="U6" s="92"/>
    </row>
    <row r="7" spans="1:26" ht="17" thickBot="1" x14ac:dyDescent="0.5">
      <c r="A7" s="28" t="s">
        <v>17</v>
      </c>
      <c r="B7" s="39" t="s">
        <v>66</v>
      </c>
      <c r="C7" s="15" t="s">
        <v>18</v>
      </c>
      <c r="D7" s="16" t="s">
        <v>61</v>
      </c>
      <c r="E7" s="11">
        <v>50</v>
      </c>
      <c r="F7" s="11">
        <v>7</v>
      </c>
      <c r="G7" s="50">
        <f t="shared" si="0"/>
        <v>0.14000000000000001</v>
      </c>
      <c r="H7" s="11">
        <v>30</v>
      </c>
      <c r="I7" s="11">
        <v>12</v>
      </c>
      <c r="J7" s="50">
        <f t="shared" si="1"/>
        <v>0.4</v>
      </c>
      <c r="K7" s="11">
        <f t="shared" si="2"/>
        <v>1.7142857142857142</v>
      </c>
      <c r="L7" s="11">
        <f t="shared" si="2"/>
        <v>2.8571428571428572</v>
      </c>
      <c r="M7" s="11">
        <v>0</v>
      </c>
      <c r="N7" s="74">
        <v>0</v>
      </c>
      <c r="O7" s="50" t="e">
        <f t="shared" si="3"/>
        <v>#DIV/0!</v>
      </c>
      <c r="P7" s="11">
        <v>0</v>
      </c>
      <c r="Q7" s="74">
        <v>0</v>
      </c>
      <c r="R7" s="50" t="e">
        <f t="shared" si="4"/>
        <v>#DIV/0!</v>
      </c>
      <c r="S7" s="11" t="e">
        <f t="shared" si="5"/>
        <v>#DIV/0!</v>
      </c>
      <c r="T7" s="11" t="e">
        <f t="shared" si="5"/>
        <v>#DIV/0!</v>
      </c>
      <c r="U7" s="92"/>
    </row>
    <row r="8" spans="1:26" ht="17" thickBot="1" x14ac:dyDescent="0.5">
      <c r="A8" s="28" t="s">
        <v>17</v>
      </c>
      <c r="B8" s="39" t="s">
        <v>66</v>
      </c>
      <c r="C8" s="15" t="s">
        <v>18</v>
      </c>
      <c r="D8" s="16" t="s">
        <v>63</v>
      </c>
      <c r="E8" s="11">
        <v>50</v>
      </c>
      <c r="F8" s="11">
        <v>0</v>
      </c>
      <c r="G8" s="50">
        <f t="shared" si="0"/>
        <v>0</v>
      </c>
      <c r="H8" s="11">
        <v>20</v>
      </c>
      <c r="I8" s="11">
        <v>0</v>
      </c>
      <c r="J8" s="50">
        <f t="shared" si="1"/>
        <v>0</v>
      </c>
      <c r="K8" s="11" t="e">
        <f t="shared" si="2"/>
        <v>#DIV/0!</v>
      </c>
      <c r="L8" s="11" t="e">
        <f t="shared" si="2"/>
        <v>#DIV/0!</v>
      </c>
      <c r="M8" s="11">
        <v>5</v>
      </c>
      <c r="N8" s="74">
        <v>4</v>
      </c>
      <c r="O8" s="50">
        <f t="shared" si="3"/>
        <v>0.8</v>
      </c>
      <c r="P8" s="11">
        <v>7</v>
      </c>
      <c r="Q8" s="74">
        <v>6</v>
      </c>
      <c r="R8" s="50">
        <f t="shared" si="4"/>
        <v>0.8571428571428571</v>
      </c>
      <c r="S8" s="11">
        <f t="shared" si="5"/>
        <v>1.5</v>
      </c>
      <c r="T8" s="11">
        <f t="shared" si="5"/>
        <v>1.0714285714285714</v>
      </c>
      <c r="U8" s="92"/>
    </row>
    <row r="9" spans="1:26" ht="17" thickBot="1" x14ac:dyDescent="0.5">
      <c r="A9" s="28" t="s">
        <v>17</v>
      </c>
      <c r="B9" s="39" t="s">
        <v>66</v>
      </c>
      <c r="C9" s="15" t="s">
        <v>18</v>
      </c>
      <c r="D9" s="16" t="s">
        <v>22</v>
      </c>
      <c r="E9" s="11">
        <v>25</v>
      </c>
      <c r="F9" s="11">
        <v>7</v>
      </c>
      <c r="G9" s="50">
        <f t="shared" si="0"/>
        <v>0.28000000000000003</v>
      </c>
      <c r="H9" s="11">
        <v>0</v>
      </c>
      <c r="I9" s="11">
        <v>78</v>
      </c>
      <c r="J9" s="50" t="e">
        <f t="shared" si="1"/>
        <v>#DIV/0!</v>
      </c>
      <c r="K9" s="11">
        <f t="shared" si="2"/>
        <v>11.142857142857142</v>
      </c>
      <c r="L9" s="11" t="e">
        <f t="shared" si="2"/>
        <v>#DIV/0!</v>
      </c>
      <c r="M9" s="11">
        <v>4</v>
      </c>
      <c r="N9" s="74">
        <v>4</v>
      </c>
      <c r="O9" s="50">
        <f t="shared" si="3"/>
        <v>1</v>
      </c>
      <c r="P9" s="11">
        <v>50</v>
      </c>
      <c r="Q9" s="74">
        <v>50</v>
      </c>
      <c r="R9" s="50">
        <f t="shared" si="4"/>
        <v>1</v>
      </c>
      <c r="S9" s="11">
        <f t="shared" si="5"/>
        <v>12.5</v>
      </c>
      <c r="T9" s="11">
        <f t="shared" si="5"/>
        <v>1</v>
      </c>
      <c r="U9" s="92"/>
      <c r="Z9">
        <v>33</v>
      </c>
    </row>
    <row r="10" spans="1:26" ht="17" thickBot="1" x14ac:dyDescent="0.5">
      <c r="A10" s="28" t="s">
        <v>17</v>
      </c>
      <c r="B10" s="39" t="s">
        <v>66</v>
      </c>
      <c r="C10" s="15" t="s">
        <v>18</v>
      </c>
      <c r="D10" s="16" t="s">
        <v>51</v>
      </c>
      <c r="E10" s="11">
        <v>50</v>
      </c>
      <c r="F10" s="11"/>
      <c r="G10" s="50">
        <f t="shared" si="0"/>
        <v>0</v>
      </c>
      <c r="H10" s="11">
        <v>200</v>
      </c>
      <c r="I10" s="11"/>
      <c r="J10" s="50">
        <f t="shared" si="1"/>
        <v>0</v>
      </c>
      <c r="K10" s="11" t="e">
        <f t="shared" si="2"/>
        <v>#DIV/0!</v>
      </c>
      <c r="L10" s="11" t="e">
        <f t="shared" si="2"/>
        <v>#DIV/0!</v>
      </c>
      <c r="M10" s="11"/>
      <c r="N10" s="11"/>
      <c r="O10" s="50" t="e">
        <f t="shared" si="3"/>
        <v>#DIV/0!</v>
      </c>
      <c r="P10" s="11"/>
      <c r="Q10" s="11"/>
      <c r="R10" s="50" t="e">
        <f t="shared" si="4"/>
        <v>#DIV/0!</v>
      </c>
      <c r="S10" s="11" t="e">
        <f t="shared" si="5"/>
        <v>#DIV/0!</v>
      </c>
      <c r="T10" s="11" t="e">
        <f t="shared" si="5"/>
        <v>#DIV/0!</v>
      </c>
      <c r="U10" s="92"/>
      <c r="Z10">
        <v>50</v>
      </c>
    </row>
    <row r="11" spans="1:26" ht="17" thickBot="1" x14ac:dyDescent="0.5">
      <c r="A11" s="28" t="s">
        <v>17</v>
      </c>
      <c r="B11" s="39" t="s">
        <v>66</v>
      </c>
      <c r="C11" s="15" t="s">
        <v>18</v>
      </c>
      <c r="D11" s="16" t="s">
        <v>52</v>
      </c>
      <c r="E11" s="11">
        <v>50</v>
      </c>
      <c r="F11" s="11"/>
      <c r="G11" s="50">
        <f t="shared" si="0"/>
        <v>0</v>
      </c>
      <c r="H11" s="11">
        <v>20</v>
      </c>
      <c r="I11" s="11"/>
      <c r="J11" s="50">
        <f t="shared" si="1"/>
        <v>0</v>
      </c>
      <c r="K11" s="11" t="e">
        <f t="shared" si="2"/>
        <v>#DIV/0!</v>
      </c>
      <c r="L11" s="11" t="e">
        <f t="shared" si="2"/>
        <v>#DIV/0!</v>
      </c>
      <c r="M11" s="11"/>
      <c r="N11" s="11"/>
      <c r="O11" s="50" t="e">
        <f t="shared" si="3"/>
        <v>#DIV/0!</v>
      </c>
      <c r="P11" s="11"/>
      <c r="Q11" s="11"/>
      <c r="R11" s="50" t="e">
        <f t="shared" si="4"/>
        <v>#DIV/0!</v>
      </c>
      <c r="S11" s="11" t="e">
        <f t="shared" si="5"/>
        <v>#DIV/0!</v>
      </c>
      <c r="T11" s="11" t="e">
        <f t="shared" si="5"/>
        <v>#DIV/0!</v>
      </c>
      <c r="U11" s="92"/>
      <c r="Z11">
        <v>13</v>
      </c>
    </row>
    <row r="12" spans="1:26" ht="17" thickBot="1" x14ac:dyDescent="0.5">
      <c r="A12" s="28" t="s">
        <v>17</v>
      </c>
      <c r="B12" s="39" t="s">
        <v>66</v>
      </c>
      <c r="C12" s="15" t="s">
        <v>18</v>
      </c>
      <c r="D12" s="41" t="s">
        <v>64</v>
      </c>
      <c r="E12" s="11"/>
      <c r="F12" s="11"/>
      <c r="G12" s="50"/>
      <c r="H12" s="11"/>
      <c r="I12" s="11"/>
      <c r="J12" s="50"/>
      <c r="K12" s="11"/>
      <c r="L12" s="11"/>
      <c r="M12" s="11"/>
      <c r="N12" s="11"/>
      <c r="O12" s="50"/>
      <c r="P12" s="11"/>
      <c r="Q12" s="11"/>
      <c r="R12" s="50"/>
      <c r="S12" s="11"/>
      <c r="T12" s="11"/>
      <c r="U12" s="92"/>
      <c r="Z12">
        <v>14</v>
      </c>
    </row>
    <row r="13" spans="1:26" ht="17" thickBot="1" x14ac:dyDescent="0.5">
      <c r="A13" s="28" t="s">
        <v>17</v>
      </c>
      <c r="B13" s="39" t="s">
        <v>66</v>
      </c>
      <c r="C13" s="15" t="s">
        <v>18</v>
      </c>
      <c r="D13" s="41" t="s">
        <v>36</v>
      </c>
      <c r="E13" s="11"/>
      <c r="F13" s="11"/>
      <c r="G13" s="50"/>
      <c r="H13" s="11"/>
      <c r="I13" s="11"/>
      <c r="J13" s="50"/>
      <c r="K13" s="11"/>
      <c r="L13" s="11"/>
      <c r="M13" s="11"/>
      <c r="N13" s="11"/>
      <c r="O13" s="50"/>
      <c r="P13" s="11"/>
      <c r="Q13" s="11"/>
      <c r="R13" s="50"/>
      <c r="S13" s="11"/>
      <c r="T13" s="11"/>
      <c r="U13" s="92"/>
      <c r="Z13">
        <v>8</v>
      </c>
    </row>
    <row r="14" spans="1:26" ht="17" thickBot="1" x14ac:dyDescent="0.5">
      <c r="A14" s="28" t="s">
        <v>17</v>
      </c>
      <c r="B14" s="39" t="s">
        <v>66</v>
      </c>
      <c r="C14" s="15" t="s">
        <v>18</v>
      </c>
      <c r="D14" s="41" t="s">
        <v>54</v>
      </c>
      <c r="E14" s="11"/>
      <c r="F14" s="11"/>
      <c r="G14" s="50"/>
      <c r="H14" s="11"/>
      <c r="I14" s="11"/>
      <c r="J14" s="50"/>
      <c r="K14" s="11"/>
      <c r="L14" s="11"/>
      <c r="M14" s="11"/>
      <c r="N14" s="11"/>
      <c r="O14" s="50"/>
      <c r="P14" s="11"/>
      <c r="Q14" s="11"/>
      <c r="R14" s="50"/>
      <c r="S14" s="11"/>
      <c r="T14" s="11"/>
      <c r="U14" s="92"/>
      <c r="Z14">
        <v>11</v>
      </c>
    </row>
    <row r="15" spans="1:26" ht="17" thickBot="1" x14ac:dyDescent="0.5">
      <c r="A15" s="28" t="s">
        <v>17</v>
      </c>
      <c r="B15" s="39" t="s">
        <v>66</v>
      </c>
      <c r="C15" s="15" t="s">
        <v>18</v>
      </c>
      <c r="D15" s="41" t="s">
        <v>53</v>
      </c>
      <c r="E15" s="11"/>
      <c r="F15" s="11"/>
      <c r="G15" s="50"/>
      <c r="H15" s="11"/>
      <c r="I15" s="11"/>
      <c r="J15" s="50"/>
      <c r="K15" s="11"/>
      <c r="L15" s="11"/>
      <c r="M15" s="11"/>
      <c r="N15" s="11"/>
      <c r="O15" s="50"/>
      <c r="P15" s="11"/>
      <c r="Q15" s="11"/>
      <c r="R15" s="50"/>
      <c r="S15" s="11"/>
      <c r="T15" s="11"/>
      <c r="U15" s="92"/>
      <c r="Z15">
        <v>365</v>
      </c>
    </row>
    <row r="16" spans="1:26" ht="15" thickBot="1" x14ac:dyDescent="0.4">
      <c r="A16" s="28" t="s">
        <v>17</v>
      </c>
      <c r="B16" s="108" t="s">
        <v>16</v>
      </c>
      <c r="C16" s="109"/>
      <c r="D16" s="110"/>
      <c r="E16" s="59">
        <f>SUM(E4:E15)</f>
        <v>375</v>
      </c>
      <c r="F16" s="60">
        <f>SUM(F4:F15)</f>
        <v>50</v>
      </c>
      <c r="G16" s="89">
        <f t="shared" si="0"/>
        <v>0.13333333333333333</v>
      </c>
      <c r="H16" s="59">
        <f>SUM(H4:H15)</f>
        <v>365</v>
      </c>
      <c r="I16" s="60">
        <f>SUM(I4:I15)</f>
        <v>113</v>
      </c>
      <c r="J16" s="89">
        <f t="shared" ref="J16" si="6">I16/H16</f>
        <v>0.30958904109589042</v>
      </c>
      <c r="K16" s="59">
        <f>I16/F16</f>
        <v>2.2599999999999998</v>
      </c>
      <c r="L16" s="62" t="e">
        <f>AVERAGE(L4:L15)</f>
        <v>#DIV/0!</v>
      </c>
      <c r="M16" s="59">
        <f>SUM(M4:M15)</f>
        <v>33</v>
      </c>
      <c r="N16" s="60">
        <f>SUM(N4:N15)</f>
        <v>30</v>
      </c>
      <c r="O16" s="89">
        <f t="shared" ref="O16" si="7">N16/M16</f>
        <v>0.90909090909090906</v>
      </c>
      <c r="P16" s="59">
        <f>SUM(P4:P15)</f>
        <v>74</v>
      </c>
      <c r="Q16" s="60">
        <f>SUM(Q4:Q15)</f>
        <v>71</v>
      </c>
      <c r="R16" s="89">
        <f t="shared" ref="R16" si="8">Q16/P16</f>
        <v>0.95945945945945943</v>
      </c>
      <c r="S16" s="59">
        <f>Q16/N16</f>
        <v>2.3666666666666667</v>
      </c>
      <c r="T16" s="62" t="e">
        <f>AVERAGE(T4:T15)</f>
        <v>#DIV/0!</v>
      </c>
      <c r="U16" s="91"/>
      <c r="Z16">
        <v>23</v>
      </c>
    </row>
    <row r="17" spans="1:26" ht="16.5" hidden="1" x14ac:dyDescent="0.45">
      <c r="A17" s="28" t="s">
        <v>17</v>
      </c>
      <c r="B17" s="14" t="s">
        <v>23</v>
      </c>
      <c r="C17" s="14" t="s">
        <v>24</v>
      </c>
      <c r="D17" s="43" t="s">
        <v>27</v>
      </c>
      <c r="E17" s="6">
        <v>50</v>
      </c>
      <c r="F17" s="7">
        <v>15</v>
      </c>
      <c r="G17" s="8">
        <f t="shared" si="0"/>
        <v>0.3</v>
      </c>
      <c r="H17" s="6">
        <v>40</v>
      </c>
      <c r="I17" s="7">
        <v>17</v>
      </c>
      <c r="J17" s="8">
        <f t="shared" ref="J17:J28" si="9">I17/H17</f>
        <v>0.42499999999999999</v>
      </c>
      <c r="K17" s="6">
        <f t="shared" ref="K17:K21" si="10">I17/F17</f>
        <v>1.1333333333333333</v>
      </c>
      <c r="L17" s="9">
        <v>1</v>
      </c>
      <c r="M17" s="6">
        <v>18</v>
      </c>
      <c r="N17" s="7">
        <v>16</v>
      </c>
      <c r="O17" s="8">
        <f t="shared" ref="O17:O28" si="11">N17/M17</f>
        <v>0.88888888888888884</v>
      </c>
      <c r="P17" s="6">
        <v>25</v>
      </c>
      <c r="Q17" s="7">
        <v>22</v>
      </c>
      <c r="R17" s="8">
        <f t="shared" ref="R17:R28" si="12">Q17/P17</f>
        <v>0.88</v>
      </c>
      <c r="S17" s="6">
        <f t="shared" ref="S17:S21" si="13">Q17/N17</f>
        <v>1.375</v>
      </c>
      <c r="T17" s="9">
        <v>1</v>
      </c>
      <c r="U17" s="27"/>
      <c r="Z17">
        <v>12</v>
      </c>
    </row>
    <row r="18" spans="1:26" ht="16.5" hidden="1" x14ac:dyDescent="0.45">
      <c r="A18" s="28" t="s">
        <v>17</v>
      </c>
      <c r="B18" s="15" t="s">
        <v>23</v>
      </c>
      <c r="C18" s="15" t="s">
        <v>24</v>
      </c>
      <c r="D18" s="17" t="s">
        <v>55</v>
      </c>
      <c r="E18" s="10">
        <v>50</v>
      </c>
      <c r="F18" s="11">
        <v>20</v>
      </c>
      <c r="G18" s="12">
        <f t="shared" si="0"/>
        <v>0.4</v>
      </c>
      <c r="H18" s="10">
        <v>40</v>
      </c>
      <c r="I18" s="11">
        <v>13</v>
      </c>
      <c r="J18" s="12">
        <f t="shared" si="9"/>
        <v>0.32500000000000001</v>
      </c>
      <c r="K18" s="10">
        <f t="shared" si="10"/>
        <v>0.65</v>
      </c>
      <c r="L18" s="13">
        <v>1</v>
      </c>
      <c r="M18" s="10">
        <v>15</v>
      </c>
      <c r="N18" s="11">
        <v>14</v>
      </c>
      <c r="O18" s="12">
        <f t="shared" si="11"/>
        <v>0.93333333333333335</v>
      </c>
      <c r="P18" s="10">
        <v>20</v>
      </c>
      <c r="Q18" s="11">
        <v>19</v>
      </c>
      <c r="R18" s="12">
        <f t="shared" si="12"/>
        <v>0.95</v>
      </c>
      <c r="S18" s="10">
        <f t="shared" si="13"/>
        <v>1.3571428571428572</v>
      </c>
      <c r="T18" s="13">
        <v>1</v>
      </c>
      <c r="U18" s="27"/>
      <c r="Z18">
        <v>9</v>
      </c>
    </row>
    <row r="19" spans="1:26" ht="16.5" hidden="1" x14ac:dyDescent="0.45">
      <c r="A19" s="28" t="s">
        <v>17</v>
      </c>
      <c r="B19" s="15" t="s">
        <v>23</v>
      </c>
      <c r="C19" s="15" t="s">
        <v>24</v>
      </c>
      <c r="D19" s="17" t="s">
        <v>28</v>
      </c>
      <c r="E19" s="10">
        <v>50</v>
      </c>
      <c r="F19" s="11">
        <v>20</v>
      </c>
      <c r="G19" s="12">
        <f t="shared" si="0"/>
        <v>0.4</v>
      </c>
      <c r="H19" s="10">
        <v>40</v>
      </c>
      <c r="I19" s="11">
        <v>20</v>
      </c>
      <c r="J19" s="12">
        <f t="shared" si="9"/>
        <v>0.5</v>
      </c>
      <c r="K19" s="10">
        <f t="shared" si="10"/>
        <v>1</v>
      </c>
      <c r="L19" s="13">
        <v>1</v>
      </c>
      <c r="M19" s="10">
        <v>17</v>
      </c>
      <c r="N19" s="11">
        <v>15</v>
      </c>
      <c r="O19" s="12">
        <f t="shared" si="11"/>
        <v>0.88235294117647056</v>
      </c>
      <c r="P19" s="10">
        <v>23</v>
      </c>
      <c r="Q19" s="11">
        <v>20</v>
      </c>
      <c r="R19" s="12">
        <f t="shared" si="12"/>
        <v>0.86956521739130432</v>
      </c>
      <c r="S19" s="10">
        <f t="shared" si="13"/>
        <v>1.3333333333333333</v>
      </c>
      <c r="T19" s="13">
        <v>1</v>
      </c>
      <c r="U19" s="27"/>
      <c r="Z19">
        <v>30</v>
      </c>
    </row>
    <row r="20" spans="1:26" ht="16.5" hidden="1" x14ac:dyDescent="0.45">
      <c r="A20" s="28" t="s">
        <v>17</v>
      </c>
      <c r="B20" s="15" t="s">
        <v>23</v>
      </c>
      <c r="C20" s="15" t="s">
        <v>24</v>
      </c>
      <c r="D20" s="17" t="s">
        <v>56</v>
      </c>
      <c r="E20" s="10">
        <v>50</v>
      </c>
      <c r="F20" s="11">
        <v>23</v>
      </c>
      <c r="G20" s="12">
        <f t="shared" si="0"/>
        <v>0.46</v>
      </c>
      <c r="H20" s="10">
        <v>40</v>
      </c>
      <c r="I20" s="11">
        <v>60</v>
      </c>
      <c r="J20" s="12">
        <f t="shared" si="9"/>
        <v>1.5</v>
      </c>
      <c r="K20" s="10">
        <f t="shared" si="10"/>
        <v>2.6086956521739131</v>
      </c>
      <c r="L20" s="13">
        <v>1</v>
      </c>
      <c r="M20" s="10">
        <v>17</v>
      </c>
      <c r="N20" s="11">
        <v>15</v>
      </c>
      <c r="O20" s="12">
        <f t="shared" si="11"/>
        <v>0.88235294117647056</v>
      </c>
      <c r="P20" s="10">
        <v>21</v>
      </c>
      <c r="Q20" s="11">
        <v>19</v>
      </c>
      <c r="R20" s="12">
        <f t="shared" si="12"/>
        <v>0.90476190476190477</v>
      </c>
      <c r="S20" s="10">
        <f t="shared" si="13"/>
        <v>1.2666666666666666</v>
      </c>
      <c r="T20" s="13">
        <v>1</v>
      </c>
      <c r="U20" s="27"/>
      <c r="Z20">
        <v>36</v>
      </c>
    </row>
    <row r="21" spans="1:26" ht="17" hidden="1" thickBot="1" x14ac:dyDescent="0.5">
      <c r="A21" s="28" t="s">
        <v>17</v>
      </c>
      <c r="B21" s="18" t="s">
        <v>23</v>
      </c>
      <c r="C21" s="18" t="s">
        <v>24</v>
      </c>
      <c r="D21" s="44" t="s">
        <v>57</v>
      </c>
      <c r="E21" s="29">
        <v>50</v>
      </c>
      <c r="F21" s="30">
        <v>15</v>
      </c>
      <c r="G21" s="31">
        <f t="shared" si="0"/>
        <v>0.3</v>
      </c>
      <c r="H21" s="29">
        <v>40</v>
      </c>
      <c r="I21" s="30">
        <v>13</v>
      </c>
      <c r="J21" s="31">
        <f t="shared" si="9"/>
        <v>0.32500000000000001</v>
      </c>
      <c r="K21" s="29">
        <f t="shared" si="10"/>
        <v>0.8666666666666667</v>
      </c>
      <c r="L21" s="32">
        <v>1</v>
      </c>
      <c r="M21" s="29">
        <v>19</v>
      </c>
      <c r="N21" s="30">
        <v>17</v>
      </c>
      <c r="O21" s="31">
        <f t="shared" si="11"/>
        <v>0.89473684210526316</v>
      </c>
      <c r="P21" s="29">
        <v>20</v>
      </c>
      <c r="Q21" s="30">
        <v>18</v>
      </c>
      <c r="R21" s="31">
        <f t="shared" si="12"/>
        <v>0.9</v>
      </c>
      <c r="S21" s="29">
        <f t="shared" si="13"/>
        <v>1.0588235294117647</v>
      </c>
      <c r="T21" s="32">
        <v>1</v>
      </c>
      <c r="U21" s="27"/>
    </row>
    <row r="22" spans="1:26" ht="15" hidden="1" thickBot="1" x14ac:dyDescent="0.4">
      <c r="A22" s="28" t="s">
        <v>17</v>
      </c>
      <c r="B22" s="108" t="s">
        <v>16</v>
      </c>
      <c r="C22" s="109"/>
      <c r="D22" s="110"/>
      <c r="E22" s="33">
        <f>SUM(E17:E21)</f>
        <v>250</v>
      </c>
      <c r="F22" s="34">
        <f t="shared" ref="F22" si="14">SUM(F17:F21)</f>
        <v>93</v>
      </c>
      <c r="G22" s="35">
        <f t="shared" si="0"/>
        <v>0.372</v>
      </c>
      <c r="H22" s="33">
        <f>SUM(H17:H21)</f>
        <v>200</v>
      </c>
      <c r="I22" s="34">
        <f t="shared" ref="I22" si="15">SUM(I17:I21)</f>
        <v>123</v>
      </c>
      <c r="J22" s="35">
        <f t="shared" si="9"/>
        <v>0.61499999999999999</v>
      </c>
      <c r="K22" s="33">
        <f>I22/F22</f>
        <v>1.3225806451612903</v>
      </c>
      <c r="L22" s="36">
        <f>AVERAGE(L17:L21)</f>
        <v>1</v>
      </c>
      <c r="M22" s="33">
        <f>SUM(M17:M21)</f>
        <v>86</v>
      </c>
      <c r="N22" s="34">
        <f t="shared" ref="N22" si="16">SUM(N17:N21)</f>
        <v>77</v>
      </c>
      <c r="O22" s="35">
        <f t="shared" si="11"/>
        <v>0.89534883720930236</v>
      </c>
      <c r="P22" s="33">
        <f>SUM(P17:P21)</f>
        <v>109</v>
      </c>
      <c r="Q22" s="34">
        <f t="shared" ref="Q22" si="17">SUM(Q17:Q21)</f>
        <v>98</v>
      </c>
      <c r="R22" s="35">
        <f t="shared" si="12"/>
        <v>0.8990825688073395</v>
      </c>
      <c r="S22" s="33">
        <f>Q22/N22</f>
        <v>1.2727272727272727</v>
      </c>
      <c r="T22" s="36">
        <f>AVERAGE(T17:T21)</f>
        <v>1</v>
      </c>
      <c r="U22" s="37"/>
    </row>
    <row r="23" spans="1:26" ht="16.5" hidden="1" x14ac:dyDescent="0.45">
      <c r="A23" s="28" t="s">
        <v>17</v>
      </c>
      <c r="B23" s="14" t="s">
        <v>29</v>
      </c>
      <c r="C23" s="14" t="s">
        <v>30</v>
      </c>
      <c r="D23" s="43" t="s">
        <v>58</v>
      </c>
      <c r="E23" s="6">
        <v>600</v>
      </c>
      <c r="F23" s="7">
        <v>9</v>
      </c>
      <c r="G23" s="8">
        <f t="shared" si="0"/>
        <v>1.4999999999999999E-2</v>
      </c>
      <c r="H23" s="6">
        <v>500</v>
      </c>
      <c r="I23" s="7">
        <v>15</v>
      </c>
      <c r="J23" s="8">
        <f t="shared" si="9"/>
        <v>0.03</v>
      </c>
      <c r="K23" s="6">
        <f t="shared" ref="K23:K26" si="18">I23/F23</f>
        <v>1.6666666666666667</v>
      </c>
      <c r="L23" s="9">
        <v>0</v>
      </c>
      <c r="M23" s="6">
        <v>20</v>
      </c>
      <c r="N23" s="7">
        <v>0</v>
      </c>
      <c r="O23" s="8">
        <f t="shared" si="11"/>
        <v>0</v>
      </c>
      <c r="P23" s="6">
        <v>47</v>
      </c>
      <c r="Q23" s="7">
        <v>0</v>
      </c>
      <c r="R23" s="8">
        <f t="shared" si="12"/>
        <v>0</v>
      </c>
      <c r="S23" s="6" t="e">
        <f t="shared" ref="S23:S26" si="19">Q23/N23</f>
        <v>#DIV/0!</v>
      </c>
      <c r="T23" s="9">
        <v>1</v>
      </c>
      <c r="U23" s="27"/>
    </row>
    <row r="24" spans="1:26" ht="16.5" hidden="1" x14ac:dyDescent="0.45">
      <c r="A24" s="28" t="s">
        <v>17</v>
      </c>
      <c r="B24" s="15" t="s">
        <v>29</v>
      </c>
      <c r="C24" s="15" t="s">
        <v>30</v>
      </c>
      <c r="D24" s="17" t="s">
        <v>59</v>
      </c>
      <c r="E24" s="10">
        <v>600</v>
      </c>
      <c r="F24" s="11">
        <v>12</v>
      </c>
      <c r="G24" s="12">
        <f t="shared" si="0"/>
        <v>0.02</v>
      </c>
      <c r="H24" s="6">
        <v>500</v>
      </c>
      <c r="I24" s="11">
        <v>8</v>
      </c>
      <c r="J24" s="12">
        <f t="shared" si="9"/>
        <v>1.6E-2</v>
      </c>
      <c r="K24" s="10">
        <f t="shared" si="18"/>
        <v>0.66666666666666663</v>
      </c>
      <c r="L24" s="13">
        <v>0</v>
      </c>
      <c r="M24" s="10">
        <v>14</v>
      </c>
      <c r="N24" s="11">
        <v>7</v>
      </c>
      <c r="O24" s="12">
        <f t="shared" si="11"/>
        <v>0.5</v>
      </c>
      <c r="P24" s="10">
        <v>30</v>
      </c>
      <c r="Q24" s="11">
        <v>7</v>
      </c>
      <c r="R24" s="12">
        <f t="shared" si="12"/>
        <v>0.23333333333333334</v>
      </c>
      <c r="S24" s="10">
        <f t="shared" si="19"/>
        <v>1</v>
      </c>
      <c r="T24" s="13">
        <v>1</v>
      </c>
      <c r="U24" s="27"/>
    </row>
    <row r="25" spans="1:26" ht="16.5" hidden="1" x14ac:dyDescent="0.45">
      <c r="A25" s="28" t="s">
        <v>17</v>
      </c>
      <c r="B25" s="15" t="s">
        <v>29</v>
      </c>
      <c r="C25" s="15" t="s">
        <v>30</v>
      </c>
      <c r="D25" s="17" t="s">
        <v>38</v>
      </c>
      <c r="E25" s="10">
        <v>600</v>
      </c>
      <c r="F25" s="11">
        <v>13</v>
      </c>
      <c r="G25" s="12">
        <f t="shared" si="0"/>
        <v>2.1666666666666667E-2</v>
      </c>
      <c r="H25" s="6">
        <v>500</v>
      </c>
      <c r="I25" s="11">
        <v>10</v>
      </c>
      <c r="J25" s="12">
        <f t="shared" si="9"/>
        <v>0.02</v>
      </c>
      <c r="K25" s="10">
        <f t="shared" si="18"/>
        <v>0.76923076923076927</v>
      </c>
      <c r="L25" s="13">
        <v>0</v>
      </c>
      <c r="M25" s="10">
        <v>20</v>
      </c>
      <c r="N25" s="11">
        <v>19</v>
      </c>
      <c r="O25" s="12">
        <f t="shared" si="11"/>
        <v>0.95</v>
      </c>
      <c r="P25" s="10">
        <v>37</v>
      </c>
      <c r="Q25" s="11">
        <v>13</v>
      </c>
      <c r="R25" s="12">
        <f t="shared" si="12"/>
        <v>0.35135135135135137</v>
      </c>
      <c r="S25" s="10">
        <f t="shared" si="19"/>
        <v>0.68421052631578949</v>
      </c>
      <c r="T25" s="13">
        <v>1</v>
      </c>
      <c r="U25" s="27"/>
    </row>
    <row r="26" spans="1:26" ht="17" hidden="1" thickBot="1" x14ac:dyDescent="0.5">
      <c r="A26" s="28" t="s">
        <v>17</v>
      </c>
      <c r="B26" s="18" t="s">
        <v>29</v>
      </c>
      <c r="C26" s="18" t="s">
        <v>30</v>
      </c>
      <c r="D26" s="44" t="s">
        <v>60</v>
      </c>
      <c r="E26" s="29">
        <v>600</v>
      </c>
      <c r="F26" s="30">
        <v>11</v>
      </c>
      <c r="G26" s="31">
        <f t="shared" si="0"/>
        <v>1.8333333333333333E-2</v>
      </c>
      <c r="H26" s="6">
        <v>500</v>
      </c>
      <c r="I26" s="30">
        <v>11</v>
      </c>
      <c r="J26" s="31">
        <f t="shared" si="9"/>
        <v>2.1999999999999999E-2</v>
      </c>
      <c r="K26" s="29">
        <f t="shared" si="18"/>
        <v>1</v>
      </c>
      <c r="L26" s="32">
        <v>0</v>
      </c>
      <c r="M26" s="29">
        <v>9</v>
      </c>
      <c r="N26" s="30">
        <v>10</v>
      </c>
      <c r="O26" s="31">
        <f t="shared" si="11"/>
        <v>1.1111111111111112</v>
      </c>
      <c r="P26" s="29">
        <v>16</v>
      </c>
      <c r="Q26" s="30">
        <v>12</v>
      </c>
      <c r="R26" s="31">
        <f t="shared" si="12"/>
        <v>0.75</v>
      </c>
      <c r="S26" s="29">
        <f t="shared" si="19"/>
        <v>1.2</v>
      </c>
      <c r="T26" s="32">
        <v>1</v>
      </c>
      <c r="U26" s="27"/>
    </row>
    <row r="27" spans="1:26" ht="15" hidden="1" thickBot="1" x14ac:dyDescent="0.4">
      <c r="A27" s="28" t="s">
        <v>17</v>
      </c>
      <c r="B27" s="108" t="s">
        <v>16</v>
      </c>
      <c r="C27" s="109"/>
      <c r="D27" s="110"/>
      <c r="E27" s="33">
        <f>SUM(E23:E26)</f>
        <v>2400</v>
      </c>
      <c r="F27" s="34">
        <f t="shared" ref="F27" si="20">SUM(F23:F26)</f>
        <v>45</v>
      </c>
      <c r="G27" s="35">
        <f t="shared" si="0"/>
        <v>1.8749999999999999E-2</v>
      </c>
      <c r="H27" s="33">
        <f>SUM(H23:H26)</f>
        <v>2000</v>
      </c>
      <c r="I27" s="34">
        <f t="shared" ref="I27" si="21">SUM(I23:I26)</f>
        <v>44</v>
      </c>
      <c r="J27" s="35">
        <f t="shared" si="9"/>
        <v>2.1999999999999999E-2</v>
      </c>
      <c r="K27" s="33">
        <f>I27/F27</f>
        <v>0.97777777777777775</v>
      </c>
      <c r="L27" s="36">
        <f>AVERAGE(L23:L26)</f>
        <v>0</v>
      </c>
      <c r="M27" s="33">
        <f>SUM(M23:M26)</f>
        <v>63</v>
      </c>
      <c r="N27" s="34">
        <f t="shared" ref="N27" si="22">SUM(N23:N26)</f>
        <v>36</v>
      </c>
      <c r="O27" s="35">
        <f t="shared" si="11"/>
        <v>0.5714285714285714</v>
      </c>
      <c r="P27" s="33">
        <f>SUM(P23:P26)</f>
        <v>130</v>
      </c>
      <c r="Q27" s="34">
        <f t="shared" ref="Q27" si="23">SUM(Q23:Q26)</f>
        <v>32</v>
      </c>
      <c r="R27" s="35">
        <f t="shared" si="12"/>
        <v>0.24615384615384617</v>
      </c>
      <c r="S27" s="33">
        <f>Q27/N27</f>
        <v>0.88888888888888884</v>
      </c>
      <c r="T27" s="36">
        <f>AVERAGE(T23:T26)</f>
        <v>1</v>
      </c>
      <c r="U27" s="37"/>
    </row>
    <row r="28" spans="1:26" ht="15" hidden="1" thickBot="1" x14ac:dyDescent="0.4">
      <c r="A28" s="38" t="s">
        <v>17</v>
      </c>
      <c r="B28" s="45"/>
      <c r="C28" s="45"/>
      <c r="D28" s="45"/>
      <c r="E28" s="19">
        <f>+E27+E22+E16</f>
        <v>3025</v>
      </c>
      <c r="F28" s="20">
        <f t="shared" ref="F28" si="24">+F27+F22+F16</f>
        <v>188</v>
      </c>
      <c r="G28" s="21">
        <f t="shared" si="0"/>
        <v>6.2148760330578513E-2</v>
      </c>
      <c r="H28" s="19">
        <f>+H27+H22+H16</f>
        <v>2565</v>
      </c>
      <c r="I28" s="20">
        <f t="shared" ref="I28" si="25">+I27+I22+I16</f>
        <v>280</v>
      </c>
      <c r="J28" s="21">
        <f t="shared" si="9"/>
        <v>0.10916179337231968</v>
      </c>
      <c r="K28" s="19">
        <f>I28/F28</f>
        <v>1.4893617021276595</v>
      </c>
      <c r="L28" s="22" t="e">
        <f>AVERAGE(L27,L16,L22)</f>
        <v>#DIV/0!</v>
      </c>
      <c r="M28" s="19">
        <f>+M27+M22+M16</f>
        <v>182</v>
      </c>
      <c r="N28" s="20">
        <f t="shared" ref="N28" si="26">+N27+N22+N16</f>
        <v>143</v>
      </c>
      <c r="O28" s="21">
        <f t="shared" si="11"/>
        <v>0.7857142857142857</v>
      </c>
      <c r="P28" s="19">
        <f>+P27+P22+P16</f>
        <v>313</v>
      </c>
      <c r="Q28" s="20">
        <f t="shared" ref="Q28" si="27">+Q27+Q22+Q16</f>
        <v>201</v>
      </c>
      <c r="R28" s="21">
        <f t="shared" si="12"/>
        <v>0.64217252396166136</v>
      </c>
      <c r="S28" s="19">
        <f>Q28/N28</f>
        <v>1.4055944055944056</v>
      </c>
      <c r="T28" s="22" t="e">
        <f>AVERAGE(T27,T16,T22)</f>
        <v>#DIV/0!</v>
      </c>
      <c r="U28" s="27"/>
    </row>
  </sheetData>
  <mergeCells count="9">
    <mergeCell ref="B16:D16"/>
    <mergeCell ref="B22:D22"/>
    <mergeCell ref="B27:D27"/>
    <mergeCell ref="E1:L1"/>
    <mergeCell ref="M1:T1"/>
    <mergeCell ref="E2:G2"/>
    <mergeCell ref="H2:J2"/>
    <mergeCell ref="M2:O2"/>
    <mergeCell ref="P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A274-C162-4D95-8CE5-F3DF4FC60319}">
  <dimension ref="A1:T30"/>
  <sheetViews>
    <sheetView tabSelected="1" topLeftCell="A2" zoomScale="85" zoomScaleNormal="85" workbookViewId="0">
      <selection activeCell="Q8" sqref="Q8"/>
    </sheetView>
  </sheetViews>
  <sheetFormatPr defaultRowHeight="14.5" x14ac:dyDescent="0.35"/>
  <cols>
    <col min="1" max="1" width="8.7265625" bestFit="1" customWidth="1"/>
    <col min="2" max="2" width="13.26953125" bestFit="1" customWidth="1"/>
    <col min="3" max="3" width="17.453125" bestFit="1" customWidth="1"/>
    <col min="4" max="4" width="29.54296875" bestFit="1" customWidth="1"/>
    <col min="5" max="5" width="9.54296875" style="23" bestFit="1" customWidth="1"/>
    <col min="6" max="6" width="12.453125" customWidth="1"/>
    <col min="7" max="7" width="11.81640625" bestFit="1" customWidth="1"/>
    <col min="8" max="8" width="14.54296875" bestFit="1" customWidth="1"/>
    <col min="9" max="9" width="11.81640625" customWidth="1"/>
    <col min="10" max="10" width="7.1796875" bestFit="1" customWidth="1"/>
    <col min="11" max="11" width="7.26953125" bestFit="1" customWidth="1"/>
    <col min="12" max="12" width="9.54296875" customWidth="1"/>
    <col min="13" max="13" width="7.1796875" bestFit="1" customWidth="1"/>
    <col min="14" max="14" width="13.1796875" customWidth="1"/>
    <col min="15" max="15" width="9" customWidth="1"/>
    <col min="17" max="17" width="8.81640625" bestFit="1" customWidth="1"/>
    <col min="18" max="18" width="9.08984375" bestFit="1" customWidth="1"/>
    <col min="19" max="19" width="11" bestFit="1" customWidth="1"/>
    <col min="20" max="20" width="13.54296875" bestFit="1" customWidth="1"/>
  </cols>
  <sheetData>
    <row r="1" spans="1:20" ht="22.5" customHeight="1" x14ac:dyDescent="0.35">
      <c r="A1" s="46"/>
      <c r="B1" s="46"/>
      <c r="C1" s="46"/>
      <c r="D1" s="46"/>
      <c r="E1" s="75" t="s">
        <v>44</v>
      </c>
      <c r="F1" s="76" t="s">
        <v>45</v>
      </c>
      <c r="G1" s="76" t="s">
        <v>46</v>
      </c>
      <c r="H1" s="77" t="s">
        <v>47</v>
      </c>
    </row>
    <row r="2" spans="1:20" ht="27.5" customHeight="1" thickBot="1" x14ac:dyDescent="0.4">
      <c r="A2" s="47"/>
      <c r="B2" s="23"/>
      <c r="C2" s="48"/>
      <c r="D2" s="47"/>
      <c r="E2" s="78">
        <v>26</v>
      </c>
      <c r="F2" s="79">
        <v>18</v>
      </c>
      <c r="G2" s="80">
        <f>+F2/E2</f>
        <v>0.69230769230769229</v>
      </c>
      <c r="H2" s="81">
        <f>+E2-F2</f>
        <v>8</v>
      </c>
    </row>
    <row r="3" spans="1:20" ht="30.5" customHeight="1" thickBot="1" x14ac:dyDescent="0.4">
      <c r="A3" s="47"/>
      <c r="B3" s="47"/>
      <c r="D3" s="82">
        <v>46286</v>
      </c>
      <c r="E3" s="122" t="s">
        <v>31</v>
      </c>
      <c r="F3" s="122"/>
      <c r="G3" s="122"/>
      <c r="H3" s="123" t="s">
        <v>48</v>
      </c>
      <c r="I3" s="123"/>
      <c r="J3" s="123"/>
      <c r="K3" s="123"/>
      <c r="L3" s="124"/>
      <c r="M3" s="120" t="s">
        <v>32</v>
      </c>
      <c r="N3" s="121"/>
    </row>
    <row r="4" spans="1:20" ht="29.5" thickBot="1" x14ac:dyDescent="0.4">
      <c r="A4" s="97" t="s">
        <v>4</v>
      </c>
      <c r="B4" s="105" t="s">
        <v>5</v>
      </c>
      <c r="C4" s="97" t="s">
        <v>6</v>
      </c>
      <c r="D4" s="98" t="s">
        <v>7</v>
      </c>
      <c r="E4" s="3" t="s">
        <v>8</v>
      </c>
      <c r="F4" s="4" t="s">
        <v>33</v>
      </c>
      <c r="G4" s="98" t="s">
        <v>10</v>
      </c>
      <c r="H4" s="3" t="s">
        <v>34</v>
      </c>
      <c r="I4" s="4" t="s">
        <v>35</v>
      </c>
      <c r="J4" s="4" t="s">
        <v>10</v>
      </c>
      <c r="K4" s="4" t="s">
        <v>49</v>
      </c>
      <c r="L4" s="5" t="s">
        <v>50</v>
      </c>
      <c r="M4" s="3" t="s">
        <v>13</v>
      </c>
      <c r="N4" s="5" t="s">
        <v>14</v>
      </c>
      <c r="O4" s="94" t="s">
        <v>15</v>
      </c>
      <c r="Q4" s="46"/>
      <c r="R4" s="46"/>
      <c r="S4" s="46"/>
      <c r="T4" s="46"/>
    </row>
    <row r="5" spans="1:20" ht="17" thickBot="1" x14ac:dyDescent="0.5">
      <c r="A5" s="26" t="s">
        <v>17</v>
      </c>
      <c r="B5" s="39" t="s">
        <v>65</v>
      </c>
      <c r="C5" s="14" t="s">
        <v>18</v>
      </c>
      <c r="D5" s="95" t="s">
        <v>19</v>
      </c>
      <c r="E5" s="7">
        <v>600</v>
      </c>
      <c r="F5" s="7">
        <f>5+36+19+15+11+19+14+7+13+21+21+21+4+7+12+11</f>
        <v>236</v>
      </c>
      <c r="G5" s="66">
        <f t="shared" ref="G5:G30" si="0">F5/E5</f>
        <v>0.39333333333333331</v>
      </c>
      <c r="H5" s="7">
        <v>550</v>
      </c>
      <c r="I5" s="7">
        <v>224</v>
      </c>
      <c r="J5" s="66">
        <f>I5/H5</f>
        <v>0.40727272727272729</v>
      </c>
      <c r="K5" s="7">
        <f t="shared" ref="K5:K7" si="1">H5-I5</f>
        <v>326</v>
      </c>
      <c r="L5" s="96">
        <f>K5/H2</f>
        <v>40.75</v>
      </c>
      <c r="M5" s="106">
        <f>I5/F5</f>
        <v>0.94915254237288138</v>
      </c>
      <c r="N5" s="9">
        <v>3</v>
      </c>
      <c r="O5" s="88"/>
      <c r="Q5" s="47"/>
      <c r="R5" s="23"/>
      <c r="S5" s="48"/>
      <c r="T5" s="47"/>
    </row>
    <row r="6" spans="1:20" ht="17" thickBot="1" x14ac:dyDescent="0.5">
      <c r="A6" s="28" t="s">
        <v>17</v>
      </c>
      <c r="B6" s="39" t="s">
        <v>65</v>
      </c>
      <c r="C6" s="15" t="s">
        <v>18</v>
      </c>
      <c r="D6" s="16" t="s">
        <v>20</v>
      </c>
      <c r="E6" s="11">
        <v>600</v>
      </c>
      <c r="F6" s="11">
        <f>23+33+16+19+14+20+21+15+9+14+21+12+13+19+10</f>
        <v>259</v>
      </c>
      <c r="G6" s="50">
        <f t="shared" si="0"/>
        <v>0.43166666666666664</v>
      </c>
      <c r="H6" s="11">
        <v>450</v>
      </c>
      <c r="I6" s="11">
        <v>155</v>
      </c>
      <c r="J6" s="50">
        <f t="shared" ref="J6:J28" si="2">I6/H6</f>
        <v>0.34444444444444444</v>
      </c>
      <c r="K6" s="11">
        <f t="shared" si="1"/>
        <v>295</v>
      </c>
      <c r="L6" s="93">
        <f>K6/H2</f>
        <v>36.875</v>
      </c>
      <c r="M6" s="107">
        <f t="shared" ref="M6:M17" si="3">I6/F6</f>
        <v>0.59845559845559848</v>
      </c>
      <c r="N6" s="13">
        <v>3</v>
      </c>
      <c r="O6" s="88"/>
    </row>
    <row r="7" spans="1:20" ht="17" thickBot="1" x14ac:dyDescent="0.5">
      <c r="A7" s="28" t="s">
        <v>17</v>
      </c>
      <c r="B7" s="39" t="s">
        <v>65</v>
      </c>
      <c r="C7" s="15" t="s">
        <v>18</v>
      </c>
      <c r="D7" s="16" t="s">
        <v>62</v>
      </c>
      <c r="E7" s="11">
        <v>600</v>
      </c>
      <c r="F7" s="11">
        <f>6+16+5+3+11+11+4+9+16+6+7+3+3+6</f>
        <v>106</v>
      </c>
      <c r="G7" s="50">
        <f t="shared" si="0"/>
        <v>0.17666666666666667</v>
      </c>
      <c r="H7" s="11">
        <v>550</v>
      </c>
      <c r="I7" s="11">
        <v>146</v>
      </c>
      <c r="J7" s="50">
        <f t="shared" si="2"/>
        <v>0.26545454545454544</v>
      </c>
      <c r="K7" s="11">
        <f t="shared" si="1"/>
        <v>404</v>
      </c>
      <c r="L7" s="93">
        <f>K7/H2</f>
        <v>50.5</v>
      </c>
      <c r="M7" s="107">
        <f t="shared" si="3"/>
        <v>1.3773584905660377</v>
      </c>
      <c r="N7" s="13">
        <f t="shared" ref="N7:N13" si="4">J7/G7</f>
        <v>1.5025728987993139</v>
      </c>
      <c r="O7" s="88"/>
    </row>
    <row r="8" spans="1:20" ht="17" thickBot="1" x14ac:dyDescent="0.5">
      <c r="A8" s="28" t="s">
        <v>17</v>
      </c>
      <c r="B8" s="39" t="s">
        <v>65</v>
      </c>
      <c r="C8" s="15" t="s">
        <v>18</v>
      </c>
      <c r="D8" s="16" t="s">
        <v>61</v>
      </c>
      <c r="E8" s="11">
        <v>600</v>
      </c>
      <c r="F8" s="11">
        <f>2+9+17+9+5+4+10+5+11+7+9+4+10+3+5</f>
        <v>110</v>
      </c>
      <c r="G8" s="50">
        <f t="shared" si="0"/>
        <v>0.18333333333333332</v>
      </c>
      <c r="H8" s="11">
        <v>400</v>
      </c>
      <c r="I8" s="11">
        <v>136</v>
      </c>
      <c r="J8" s="50">
        <f t="shared" si="2"/>
        <v>0.34</v>
      </c>
      <c r="K8" s="11">
        <f t="shared" ref="K8:K30" si="5">H8-I8</f>
        <v>264</v>
      </c>
      <c r="L8" s="93">
        <f>K8/H2</f>
        <v>33</v>
      </c>
      <c r="M8" s="107">
        <f t="shared" si="3"/>
        <v>1.2363636363636363</v>
      </c>
      <c r="N8" s="13">
        <f t="shared" si="4"/>
        <v>1.8545454545454547</v>
      </c>
      <c r="O8" s="88"/>
    </row>
    <row r="9" spans="1:20" ht="17" thickBot="1" x14ac:dyDescent="0.5">
      <c r="A9" s="28" t="s">
        <v>17</v>
      </c>
      <c r="B9" s="39" t="s">
        <v>65</v>
      </c>
      <c r="C9" s="15" t="s">
        <v>18</v>
      </c>
      <c r="D9" s="16" t="s">
        <v>63</v>
      </c>
      <c r="E9" s="11">
        <v>600</v>
      </c>
      <c r="F9" s="11">
        <f>4+7+6+6+11+2+9+6+2+10+1+5+6+4</f>
        <v>79</v>
      </c>
      <c r="G9" s="50">
        <f t="shared" si="0"/>
        <v>0.13166666666666665</v>
      </c>
      <c r="H9" s="11">
        <v>575</v>
      </c>
      <c r="I9" s="11">
        <v>83</v>
      </c>
      <c r="J9" s="50">
        <f t="shared" si="2"/>
        <v>0.14434782608695651</v>
      </c>
      <c r="K9" s="11">
        <f t="shared" si="5"/>
        <v>492</v>
      </c>
      <c r="L9" s="93">
        <f>K9/H2</f>
        <v>61.5</v>
      </c>
      <c r="M9" s="107">
        <f t="shared" si="3"/>
        <v>1.0506329113924051</v>
      </c>
      <c r="N9" s="13">
        <f t="shared" si="4"/>
        <v>1.0963126031920749</v>
      </c>
      <c r="O9" s="88" t="s">
        <v>69</v>
      </c>
    </row>
    <row r="10" spans="1:20" ht="17" hidden="1" thickBot="1" x14ac:dyDescent="0.5">
      <c r="A10" s="28" t="s">
        <v>17</v>
      </c>
      <c r="B10" s="39" t="s">
        <v>65</v>
      </c>
      <c r="C10" s="15" t="s">
        <v>18</v>
      </c>
      <c r="D10" s="16" t="s">
        <v>21</v>
      </c>
      <c r="E10" s="11">
        <v>600</v>
      </c>
      <c r="F10" s="11"/>
      <c r="G10" s="50">
        <f t="shared" si="0"/>
        <v>0</v>
      </c>
      <c r="H10" s="11">
        <v>550</v>
      </c>
      <c r="I10" s="11"/>
      <c r="J10" s="50">
        <f t="shared" si="2"/>
        <v>0</v>
      </c>
      <c r="K10" s="11">
        <f t="shared" si="5"/>
        <v>550</v>
      </c>
      <c r="L10" s="93">
        <f>K10/H2</f>
        <v>68.75</v>
      </c>
      <c r="M10" s="107" t="e">
        <f t="shared" si="3"/>
        <v>#DIV/0!</v>
      </c>
      <c r="N10" s="13" t="e">
        <f t="shared" si="4"/>
        <v>#DIV/0!</v>
      </c>
      <c r="O10" s="88"/>
    </row>
    <row r="11" spans="1:20" ht="17" thickBot="1" x14ac:dyDescent="0.5">
      <c r="A11" s="28" t="s">
        <v>17</v>
      </c>
      <c r="B11" s="39" t="s">
        <v>65</v>
      </c>
      <c r="C11" s="15" t="s">
        <v>18</v>
      </c>
      <c r="D11" s="16" t="s">
        <v>22</v>
      </c>
      <c r="E11" s="11">
        <v>200</v>
      </c>
      <c r="F11" s="11">
        <f>2+7+1+6+5+2+4+4+4+4+1+4+4+8</f>
        <v>56</v>
      </c>
      <c r="G11" s="50">
        <f t="shared" si="0"/>
        <v>0.28000000000000003</v>
      </c>
      <c r="H11" s="11">
        <v>3000</v>
      </c>
      <c r="I11" s="11">
        <v>1159</v>
      </c>
      <c r="J11" s="50">
        <f t="shared" si="2"/>
        <v>0.38633333333333331</v>
      </c>
      <c r="K11" s="11">
        <f t="shared" si="5"/>
        <v>1841</v>
      </c>
      <c r="L11" s="93">
        <f>K11/H2</f>
        <v>230.125</v>
      </c>
      <c r="M11" s="107">
        <f t="shared" si="3"/>
        <v>20.696428571428573</v>
      </c>
      <c r="N11" s="13">
        <f t="shared" si="4"/>
        <v>1.3797619047619045</v>
      </c>
      <c r="O11" s="88" t="s">
        <v>70</v>
      </c>
    </row>
    <row r="12" spans="1:20" ht="17" thickBot="1" x14ac:dyDescent="0.5">
      <c r="A12" s="28" t="s">
        <v>17</v>
      </c>
      <c r="B12" s="39" t="s">
        <v>65</v>
      </c>
      <c r="C12" s="15" t="s">
        <v>67</v>
      </c>
      <c r="D12" s="16" t="s">
        <v>51</v>
      </c>
      <c r="E12" s="11">
        <v>600</v>
      </c>
      <c r="F12" s="11">
        <f>170+17+18</f>
        <v>205</v>
      </c>
      <c r="G12" s="50">
        <f t="shared" si="0"/>
        <v>0.34166666666666667</v>
      </c>
      <c r="H12" s="11">
        <v>650</v>
      </c>
      <c r="I12" s="11">
        <f>244+61+22+23</f>
        <v>350</v>
      </c>
      <c r="J12" s="50">
        <f t="shared" si="2"/>
        <v>0.53846153846153844</v>
      </c>
      <c r="K12" s="11">
        <f t="shared" si="5"/>
        <v>300</v>
      </c>
      <c r="L12" s="93">
        <f>K12/H2</f>
        <v>37.5</v>
      </c>
      <c r="M12" s="10">
        <f t="shared" si="3"/>
        <v>1.7073170731707317</v>
      </c>
      <c r="N12" s="13">
        <f t="shared" si="4"/>
        <v>1.5759849906191368</v>
      </c>
      <c r="O12" s="88"/>
    </row>
    <row r="13" spans="1:20" ht="17" thickBot="1" x14ac:dyDescent="0.5">
      <c r="A13" s="28" t="s">
        <v>17</v>
      </c>
      <c r="B13" s="39" t="s">
        <v>65</v>
      </c>
      <c r="C13" s="15" t="s">
        <v>67</v>
      </c>
      <c r="D13" s="16" t="s">
        <v>52</v>
      </c>
      <c r="E13" s="11">
        <v>600</v>
      </c>
      <c r="F13" s="11">
        <f>113+11+12+10</f>
        <v>146</v>
      </c>
      <c r="G13" s="50">
        <f t="shared" si="0"/>
        <v>0.24333333333333335</v>
      </c>
      <c r="H13" s="11">
        <v>550</v>
      </c>
      <c r="I13" s="11">
        <f>123+40+9+11+8</f>
        <v>191</v>
      </c>
      <c r="J13" s="50">
        <f t="shared" si="2"/>
        <v>0.34727272727272729</v>
      </c>
      <c r="K13" s="11">
        <f t="shared" si="5"/>
        <v>359</v>
      </c>
      <c r="L13" s="93">
        <f>K13/H2</f>
        <v>44.875</v>
      </c>
      <c r="M13" s="10">
        <f t="shared" si="3"/>
        <v>1.3082191780821917</v>
      </c>
      <c r="N13" s="13">
        <f t="shared" si="4"/>
        <v>1.4271481942714819</v>
      </c>
      <c r="O13" s="88"/>
    </row>
    <row r="14" spans="1:20" ht="17" thickBot="1" x14ac:dyDescent="0.5">
      <c r="A14" s="28" t="s">
        <v>17</v>
      </c>
      <c r="B14" s="39" t="s">
        <v>65</v>
      </c>
      <c r="C14" s="15" t="s">
        <v>67</v>
      </c>
      <c r="D14" s="16" t="s">
        <v>64</v>
      </c>
      <c r="E14" s="11">
        <v>600</v>
      </c>
      <c r="F14" s="11">
        <f>95+15+8+8+5</f>
        <v>131</v>
      </c>
      <c r="G14" s="50">
        <f t="shared" ref="G14:G16" si="6">F14/E14</f>
        <v>0.21833333333333332</v>
      </c>
      <c r="H14" s="11">
        <v>450</v>
      </c>
      <c r="I14" s="11">
        <f>80+13+11+2+7+6</f>
        <v>119</v>
      </c>
      <c r="J14" s="50">
        <f t="shared" ref="J14:J17" si="7">I14/H14</f>
        <v>0.26444444444444443</v>
      </c>
      <c r="K14" s="11">
        <f t="shared" si="5"/>
        <v>331</v>
      </c>
      <c r="L14" s="93">
        <f>K14/H2</f>
        <v>41.375</v>
      </c>
      <c r="M14" s="10">
        <f t="shared" si="3"/>
        <v>0.90839694656488545</v>
      </c>
      <c r="N14" s="13">
        <f t="shared" ref="N14:N17" si="8">J14/G14</f>
        <v>1.2111959287531806</v>
      </c>
      <c r="O14" s="88"/>
    </row>
    <row r="15" spans="1:20" ht="17" thickBot="1" x14ac:dyDescent="0.5">
      <c r="A15" s="28" t="s">
        <v>17</v>
      </c>
      <c r="B15" s="39" t="s">
        <v>65</v>
      </c>
      <c r="C15" s="15" t="s">
        <v>68</v>
      </c>
      <c r="D15" s="41" t="s">
        <v>36</v>
      </c>
      <c r="E15" s="11"/>
      <c r="F15" s="11">
        <v>1</v>
      </c>
      <c r="G15" s="50" t="e">
        <f t="shared" si="6"/>
        <v>#DIV/0!</v>
      </c>
      <c r="H15" s="11">
        <v>100</v>
      </c>
      <c r="I15" s="11">
        <v>100</v>
      </c>
      <c r="J15" s="50">
        <f t="shared" si="7"/>
        <v>1</v>
      </c>
      <c r="K15" s="11">
        <f t="shared" si="5"/>
        <v>0</v>
      </c>
      <c r="L15" s="93">
        <f>K15/H2</f>
        <v>0</v>
      </c>
      <c r="M15" s="10">
        <f t="shared" si="3"/>
        <v>100</v>
      </c>
      <c r="N15" s="13" t="e">
        <f t="shared" si="8"/>
        <v>#DIV/0!</v>
      </c>
      <c r="O15" s="88"/>
    </row>
    <row r="16" spans="1:20" ht="17" thickBot="1" x14ac:dyDescent="0.5">
      <c r="A16" s="28" t="s">
        <v>17</v>
      </c>
      <c r="B16" s="39" t="s">
        <v>65</v>
      </c>
      <c r="C16" s="15" t="s">
        <v>18</v>
      </c>
      <c r="D16" s="41" t="s">
        <v>54</v>
      </c>
      <c r="E16" s="11"/>
      <c r="F16" s="11"/>
      <c r="G16" s="50" t="e">
        <f t="shared" si="6"/>
        <v>#DIV/0!</v>
      </c>
      <c r="H16" s="11"/>
      <c r="I16" s="11"/>
      <c r="J16" s="50" t="e">
        <f t="shared" si="7"/>
        <v>#DIV/0!</v>
      </c>
      <c r="K16" s="11">
        <f t="shared" si="5"/>
        <v>0</v>
      </c>
      <c r="L16" s="93">
        <f t="shared" ref="L16:L17" si="9">I16/F13</f>
        <v>0</v>
      </c>
      <c r="M16" s="10" t="e">
        <f t="shared" si="3"/>
        <v>#DIV/0!</v>
      </c>
      <c r="N16" s="13" t="e">
        <f t="shared" si="8"/>
        <v>#DIV/0!</v>
      </c>
      <c r="O16" s="88"/>
    </row>
    <row r="17" spans="1:15" ht="17" thickBot="1" x14ac:dyDescent="0.5">
      <c r="A17" s="103" t="s">
        <v>17</v>
      </c>
      <c r="B17" s="99" t="s">
        <v>65</v>
      </c>
      <c r="C17" s="18" t="s">
        <v>67</v>
      </c>
      <c r="D17" s="42" t="s">
        <v>53</v>
      </c>
      <c r="E17" s="30"/>
      <c r="F17" s="30"/>
      <c r="G17" s="100" t="e">
        <f t="shared" ref="G17" si="10">F17/E17</f>
        <v>#DIV/0!</v>
      </c>
      <c r="H17" s="30"/>
      <c r="I17" s="30"/>
      <c r="J17" s="100" t="e">
        <f t="shared" si="7"/>
        <v>#DIV/0!</v>
      </c>
      <c r="K17" s="30">
        <f t="shared" si="5"/>
        <v>0</v>
      </c>
      <c r="L17" s="101">
        <f t="shared" si="9"/>
        <v>0</v>
      </c>
      <c r="M17" s="29" t="e">
        <f t="shared" si="3"/>
        <v>#DIV/0!</v>
      </c>
      <c r="N17" s="32" t="e">
        <f t="shared" si="8"/>
        <v>#DIV/0!</v>
      </c>
      <c r="O17" s="88"/>
    </row>
    <row r="18" spans="1:15" ht="15" thickBot="1" x14ac:dyDescent="0.4">
      <c r="A18" s="104" t="s">
        <v>17</v>
      </c>
      <c r="B18" s="108" t="s">
        <v>16</v>
      </c>
      <c r="C18" s="109"/>
      <c r="D18" s="110"/>
      <c r="E18" s="33">
        <f>SUM(E5:E17)</f>
        <v>5600</v>
      </c>
      <c r="F18" s="33">
        <f>SUM(F5:F17)</f>
        <v>1329</v>
      </c>
      <c r="G18" s="58">
        <f t="shared" si="0"/>
        <v>0.23732142857142857</v>
      </c>
      <c r="H18" s="33">
        <f>SUM(H5:H17)</f>
        <v>7825</v>
      </c>
      <c r="I18" s="33">
        <f>SUM(I5:I17)</f>
        <v>2663</v>
      </c>
      <c r="J18" s="102">
        <f>I18/H18</f>
        <v>0.34031948881789137</v>
      </c>
      <c r="K18" s="34">
        <f t="shared" si="5"/>
        <v>5162</v>
      </c>
      <c r="L18" s="36">
        <f>K18/H2</f>
        <v>645.25</v>
      </c>
      <c r="M18" s="63">
        <f>I18/F18</f>
        <v>2.0037622272385254</v>
      </c>
      <c r="N18" s="36" t="e">
        <f>AVERAGE(N5:N13)</f>
        <v>#DIV/0!</v>
      </c>
      <c r="O18" s="37"/>
    </row>
    <row r="19" spans="1:15" ht="16.5" hidden="1" x14ac:dyDescent="0.45">
      <c r="A19" s="83" t="s">
        <v>17</v>
      </c>
      <c r="B19" s="14" t="s">
        <v>23</v>
      </c>
      <c r="C19" s="14" t="s">
        <v>24</v>
      </c>
      <c r="D19" s="43" t="s">
        <v>25</v>
      </c>
      <c r="E19" s="6">
        <v>50</v>
      </c>
      <c r="F19" s="7">
        <v>28</v>
      </c>
      <c r="G19" s="64">
        <f t="shared" si="0"/>
        <v>0.56000000000000005</v>
      </c>
      <c r="H19" s="6">
        <v>500</v>
      </c>
      <c r="I19" s="7">
        <v>35</v>
      </c>
      <c r="J19" s="66">
        <f t="shared" si="2"/>
        <v>7.0000000000000007E-2</v>
      </c>
      <c r="K19" s="7">
        <f t="shared" si="5"/>
        <v>465</v>
      </c>
      <c r="L19" s="9" t="e">
        <f t="shared" ref="L19:L30" si="11">K19/$B$3</f>
        <v>#DIV/0!</v>
      </c>
      <c r="M19" s="65">
        <f t="shared" ref="M19:M23" si="12">I19/F19</f>
        <v>1.25</v>
      </c>
      <c r="N19" s="9">
        <v>1</v>
      </c>
      <c r="O19" s="27"/>
    </row>
    <row r="20" spans="1:15" ht="16.5" hidden="1" x14ac:dyDescent="0.45">
      <c r="A20" s="28" t="s">
        <v>17</v>
      </c>
      <c r="B20" s="15" t="s">
        <v>23</v>
      </c>
      <c r="C20" s="15" t="s">
        <v>24</v>
      </c>
      <c r="D20" s="17" t="s">
        <v>26</v>
      </c>
      <c r="E20" s="6">
        <v>50</v>
      </c>
      <c r="F20" s="11">
        <v>27</v>
      </c>
      <c r="G20" s="49">
        <f t="shared" si="0"/>
        <v>0.54</v>
      </c>
      <c r="H20" s="10">
        <v>500</v>
      </c>
      <c r="I20" s="11">
        <v>33</v>
      </c>
      <c r="J20" s="50">
        <f t="shared" si="2"/>
        <v>6.6000000000000003E-2</v>
      </c>
      <c r="K20" s="11">
        <f t="shared" si="5"/>
        <v>467</v>
      </c>
      <c r="L20" s="13" t="e">
        <f t="shared" si="11"/>
        <v>#DIV/0!</v>
      </c>
      <c r="M20" s="51">
        <f t="shared" si="12"/>
        <v>1.2222222222222223</v>
      </c>
      <c r="N20" s="13">
        <v>1</v>
      </c>
      <c r="O20" s="27"/>
    </row>
    <row r="21" spans="1:15" ht="16.5" hidden="1" x14ac:dyDescent="0.45">
      <c r="A21" s="28" t="s">
        <v>17</v>
      </c>
      <c r="B21" s="15" t="s">
        <v>23</v>
      </c>
      <c r="C21" s="15" t="s">
        <v>24</v>
      </c>
      <c r="D21" s="17" t="s">
        <v>27</v>
      </c>
      <c r="E21" s="6">
        <v>50</v>
      </c>
      <c r="F21" s="11">
        <v>24</v>
      </c>
      <c r="G21" s="49">
        <f t="shared" si="0"/>
        <v>0.48</v>
      </c>
      <c r="H21" s="10">
        <v>500</v>
      </c>
      <c r="I21" s="11">
        <v>36</v>
      </c>
      <c r="J21" s="50">
        <f t="shared" si="2"/>
        <v>7.1999999999999995E-2</v>
      </c>
      <c r="K21" s="11">
        <f t="shared" si="5"/>
        <v>464</v>
      </c>
      <c r="L21" s="13" t="e">
        <f t="shared" si="11"/>
        <v>#DIV/0!</v>
      </c>
      <c r="M21" s="51">
        <f t="shared" si="12"/>
        <v>1.5</v>
      </c>
      <c r="N21" s="13">
        <v>1</v>
      </c>
      <c r="O21" s="27"/>
    </row>
    <row r="22" spans="1:15" ht="16.5" hidden="1" x14ac:dyDescent="0.45">
      <c r="A22" s="28" t="s">
        <v>17</v>
      </c>
      <c r="B22" s="15" t="s">
        <v>23</v>
      </c>
      <c r="C22" s="15" t="s">
        <v>24</v>
      </c>
      <c r="D22" s="17" t="s">
        <v>28</v>
      </c>
      <c r="E22" s="6">
        <v>50</v>
      </c>
      <c r="F22" s="11">
        <v>25</v>
      </c>
      <c r="G22" s="49">
        <f t="shared" si="0"/>
        <v>0.5</v>
      </c>
      <c r="H22" s="10">
        <v>500</v>
      </c>
      <c r="I22" s="11">
        <v>27</v>
      </c>
      <c r="J22" s="50">
        <f t="shared" si="2"/>
        <v>5.3999999999999999E-2</v>
      </c>
      <c r="K22" s="11">
        <f t="shared" si="5"/>
        <v>473</v>
      </c>
      <c r="L22" s="13" t="e">
        <f t="shared" si="11"/>
        <v>#DIV/0!</v>
      </c>
      <c r="M22" s="51">
        <f t="shared" si="12"/>
        <v>1.08</v>
      </c>
      <c r="N22" s="13">
        <v>1</v>
      </c>
      <c r="O22" s="27"/>
    </row>
    <row r="23" spans="1:15" ht="17" hidden="1" thickBot="1" x14ac:dyDescent="0.5">
      <c r="A23" s="28" t="s">
        <v>17</v>
      </c>
      <c r="B23" s="18" t="s">
        <v>23</v>
      </c>
      <c r="C23" s="18" t="s">
        <v>24</v>
      </c>
      <c r="D23" s="44" t="s">
        <v>37</v>
      </c>
      <c r="E23" s="6">
        <v>50</v>
      </c>
      <c r="F23" s="30">
        <v>14</v>
      </c>
      <c r="G23" s="52">
        <f t="shared" si="0"/>
        <v>0.28000000000000003</v>
      </c>
      <c r="H23" s="53">
        <v>500</v>
      </c>
      <c r="I23" s="54">
        <v>16</v>
      </c>
      <c r="J23" s="55">
        <f t="shared" si="2"/>
        <v>3.2000000000000001E-2</v>
      </c>
      <c r="K23" s="54">
        <f t="shared" si="5"/>
        <v>484</v>
      </c>
      <c r="L23" s="56" t="e">
        <f t="shared" si="11"/>
        <v>#DIV/0!</v>
      </c>
      <c r="M23" s="57">
        <f t="shared" si="12"/>
        <v>1.1428571428571428</v>
      </c>
      <c r="N23" s="32">
        <v>1</v>
      </c>
      <c r="O23" s="27"/>
    </row>
    <row r="24" spans="1:15" ht="15" hidden="1" thickBot="1" x14ac:dyDescent="0.4">
      <c r="A24" s="28" t="s">
        <v>17</v>
      </c>
      <c r="B24" s="108" t="s">
        <v>16</v>
      </c>
      <c r="C24" s="109"/>
      <c r="D24" s="110"/>
      <c r="E24" s="33">
        <f>SUM(E19:E23)</f>
        <v>250</v>
      </c>
      <c r="F24" s="34">
        <f t="shared" ref="F24:I24" si="13">SUM(F19:F23)</f>
        <v>118</v>
      </c>
      <c r="G24" s="58">
        <f t="shared" si="0"/>
        <v>0.47199999999999998</v>
      </c>
      <c r="H24" s="59">
        <f t="shared" si="13"/>
        <v>2500</v>
      </c>
      <c r="I24" s="60">
        <f t="shared" si="13"/>
        <v>147</v>
      </c>
      <c r="J24" s="61">
        <f>I24/H24</f>
        <v>5.8799999999999998E-2</v>
      </c>
      <c r="K24" s="60">
        <f t="shared" si="5"/>
        <v>2353</v>
      </c>
      <c r="L24" s="62" t="e">
        <f t="shared" si="11"/>
        <v>#DIV/0!</v>
      </c>
      <c r="M24" s="63">
        <f>I24/F24</f>
        <v>1.2457627118644068</v>
      </c>
      <c r="N24" s="36">
        <f>AVERAGE(N19:N23)</f>
        <v>1</v>
      </c>
      <c r="O24" s="37"/>
    </row>
    <row r="25" spans="1:15" ht="16.5" hidden="1" x14ac:dyDescent="0.45">
      <c r="A25" s="28" t="s">
        <v>17</v>
      </c>
      <c r="B25" s="14" t="s">
        <v>29</v>
      </c>
      <c r="C25" s="14" t="s">
        <v>30</v>
      </c>
      <c r="D25" s="43" t="s">
        <v>38</v>
      </c>
      <c r="E25" s="6">
        <v>50</v>
      </c>
      <c r="F25" s="7">
        <v>24</v>
      </c>
      <c r="G25" s="64">
        <f t="shared" si="0"/>
        <v>0.48</v>
      </c>
      <c r="H25" s="6">
        <v>650</v>
      </c>
      <c r="I25" s="7">
        <v>34</v>
      </c>
      <c r="J25" s="66">
        <f t="shared" si="2"/>
        <v>5.2307692307692305E-2</v>
      </c>
      <c r="K25" s="7">
        <f t="shared" si="5"/>
        <v>616</v>
      </c>
      <c r="L25" s="9" t="e">
        <f t="shared" si="11"/>
        <v>#DIV/0!</v>
      </c>
      <c r="M25" s="65">
        <f t="shared" ref="M25:M28" si="14">I25/F25</f>
        <v>1.4166666666666667</v>
      </c>
      <c r="N25" s="9">
        <v>1</v>
      </c>
      <c r="O25" s="27"/>
    </row>
    <row r="26" spans="1:15" ht="16.5" hidden="1" x14ac:dyDescent="0.45">
      <c r="A26" s="28" t="s">
        <v>17</v>
      </c>
      <c r="B26" s="15" t="s">
        <v>29</v>
      </c>
      <c r="C26" s="15" t="s">
        <v>30</v>
      </c>
      <c r="D26" s="17" t="s">
        <v>39</v>
      </c>
      <c r="E26" s="10">
        <v>50</v>
      </c>
      <c r="F26" s="11">
        <v>19</v>
      </c>
      <c r="G26" s="49">
        <f t="shared" si="0"/>
        <v>0.38</v>
      </c>
      <c r="H26" s="10">
        <v>600</v>
      </c>
      <c r="I26" s="11">
        <v>34</v>
      </c>
      <c r="J26" s="50">
        <f t="shared" si="2"/>
        <v>5.6666666666666664E-2</v>
      </c>
      <c r="K26" s="11">
        <f t="shared" si="5"/>
        <v>566</v>
      </c>
      <c r="L26" s="13" t="e">
        <f t="shared" si="11"/>
        <v>#DIV/0!</v>
      </c>
      <c r="M26" s="51">
        <f t="shared" si="14"/>
        <v>1.7894736842105263</v>
      </c>
      <c r="N26" s="13">
        <v>1</v>
      </c>
      <c r="O26" s="27"/>
    </row>
    <row r="27" spans="1:15" ht="16.5" hidden="1" x14ac:dyDescent="0.45">
      <c r="A27" s="28" t="s">
        <v>17</v>
      </c>
      <c r="B27" s="15" t="s">
        <v>29</v>
      </c>
      <c r="C27" s="15" t="s">
        <v>30</v>
      </c>
      <c r="D27" s="17" t="s">
        <v>40</v>
      </c>
      <c r="E27" s="10">
        <v>50</v>
      </c>
      <c r="F27" s="11">
        <v>23</v>
      </c>
      <c r="G27" s="49">
        <f t="shared" si="0"/>
        <v>0.46</v>
      </c>
      <c r="H27" s="10">
        <v>600</v>
      </c>
      <c r="I27" s="11">
        <v>26</v>
      </c>
      <c r="J27" s="50">
        <f t="shared" si="2"/>
        <v>4.3333333333333335E-2</v>
      </c>
      <c r="K27" s="11">
        <f t="shared" si="5"/>
        <v>574</v>
      </c>
      <c r="L27" s="13" t="e">
        <f t="shared" si="11"/>
        <v>#DIV/0!</v>
      </c>
      <c r="M27" s="51">
        <f t="shared" si="14"/>
        <v>1.1304347826086956</v>
      </c>
      <c r="N27" s="13">
        <v>1</v>
      </c>
      <c r="O27" s="27"/>
    </row>
    <row r="28" spans="1:15" ht="17" hidden="1" thickBot="1" x14ac:dyDescent="0.5">
      <c r="A28" s="28" t="s">
        <v>17</v>
      </c>
      <c r="B28" s="18" t="s">
        <v>29</v>
      </c>
      <c r="C28" s="18" t="s">
        <v>30</v>
      </c>
      <c r="D28" s="44" t="s">
        <v>21</v>
      </c>
      <c r="E28" s="29">
        <v>50</v>
      </c>
      <c r="F28" s="30">
        <v>17</v>
      </c>
      <c r="G28" s="52">
        <f t="shared" si="0"/>
        <v>0.34</v>
      </c>
      <c r="H28" s="53">
        <v>650</v>
      </c>
      <c r="I28" s="54">
        <v>38</v>
      </c>
      <c r="J28" s="55">
        <f t="shared" si="2"/>
        <v>5.8461538461538461E-2</v>
      </c>
      <c r="K28" s="54">
        <f t="shared" si="5"/>
        <v>612</v>
      </c>
      <c r="L28" s="56" t="e">
        <f t="shared" si="11"/>
        <v>#DIV/0!</v>
      </c>
      <c r="M28" s="57">
        <f t="shared" si="14"/>
        <v>2.2352941176470589</v>
      </c>
      <c r="N28" s="32">
        <v>1</v>
      </c>
      <c r="O28" s="27"/>
    </row>
    <row r="29" spans="1:15" ht="15" hidden="1" thickBot="1" x14ac:dyDescent="0.4">
      <c r="A29" s="28" t="s">
        <v>17</v>
      </c>
      <c r="B29" s="108" t="s">
        <v>16</v>
      </c>
      <c r="C29" s="109"/>
      <c r="D29" s="110"/>
      <c r="E29" s="33">
        <f>SUM(E25:E28)</f>
        <v>200</v>
      </c>
      <c r="F29" s="34">
        <f t="shared" ref="F29:I29" si="15">SUM(F25:F28)</f>
        <v>83</v>
      </c>
      <c r="G29" s="58">
        <f t="shared" si="0"/>
        <v>0.41499999999999998</v>
      </c>
      <c r="H29" s="59">
        <f t="shared" si="15"/>
        <v>2500</v>
      </c>
      <c r="I29" s="60">
        <f t="shared" si="15"/>
        <v>132</v>
      </c>
      <c r="J29" s="61">
        <f>I29/H29</f>
        <v>5.28E-2</v>
      </c>
      <c r="K29" s="60">
        <f t="shared" si="5"/>
        <v>2368</v>
      </c>
      <c r="L29" s="62" t="e">
        <f t="shared" si="11"/>
        <v>#DIV/0!</v>
      </c>
      <c r="M29" s="63">
        <f>I29/F29</f>
        <v>1.5903614457831325</v>
      </c>
      <c r="N29" s="36">
        <f>AVERAGE(N25:N28)</f>
        <v>1</v>
      </c>
      <c r="O29" s="37"/>
    </row>
    <row r="30" spans="1:15" ht="15" hidden="1" thickBot="1" x14ac:dyDescent="0.4">
      <c r="A30" s="38" t="s">
        <v>17</v>
      </c>
      <c r="B30" s="45"/>
      <c r="C30" s="45"/>
      <c r="D30" s="45"/>
      <c r="E30" s="19">
        <f>+E29+E24+E18</f>
        <v>6050</v>
      </c>
      <c r="F30" s="20">
        <f t="shared" ref="F30:I30" si="16">+F29+F24+F18</f>
        <v>1530</v>
      </c>
      <c r="G30" s="67">
        <f t="shared" si="0"/>
        <v>0.2528925619834711</v>
      </c>
      <c r="H30" s="68">
        <f t="shared" si="16"/>
        <v>12825</v>
      </c>
      <c r="I30" s="69">
        <f t="shared" si="16"/>
        <v>2942</v>
      </c>
      <c r="J30" s="70">
        <f>I30/H30</f>
        <v>0.22939571150097465</v>
      </c>
      <c r="K30" s="69">
        <f t="shared" si="5"/>
        <v>9883</v>
      </c>
      <c r="L30" s="71" t="e">
        <f t="shared" si="11"/>
        <v>#DIV/0!</v>
      </c>
      <c r="M30" s="72">
        <f>I30/F30</f>
        <v>1.9228758169934641</v>
      </c>
      <c r="N30" s="22" t="e">
        <f>AVERAGE(N29,N18,N24)</f>
        <v>#DIV/0!</v>
      </c>
      <c r="O30" s="27"/>
    </row>
  </sheetData>
  <mergeCells count="6">
    <mergeCell ref="B18:D18"/>
    <mergeCell ref="B24:D24"/>
    <mergeCell ref="B29:D29"/>
    <mergeCell ref="M3:N3"/>
    <mergeCell ref="E3:G3"/>
    <mergeCell ref="H3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Today Performance</vt:lpstr>
      <vt:lpstr>Till To date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786</cp:lastModifiedBy>
  <dcterms:created xsi:type="dcterms:W3CDTF">2015-06-05T18:17:20Z</dcterms:created>
  <dcterms:modified xsi:type="dcterms:W3CDTF">2026-09-22T06:24:04Z</dcterms:modified>
</cp:coreProperties>
</file>