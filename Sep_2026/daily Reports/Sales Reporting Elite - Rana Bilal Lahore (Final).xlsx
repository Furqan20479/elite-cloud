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CD7BE8E-6E5B-4EA4-B21F-3D92AA2A857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<sst xmlns="http://schemas.openxmlformats.org/spreadsheetml/2006/main" count="369" uniqueCount="78">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</sst>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F5" sqref="F5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7</v>
      </c>
      <c r="C2" s="63">
        <f>+B2/A2</f>
        <v>0.26923076923076922</v>
      </c>
      <c r="D2" s="62">
        <f>+A2-B2</f>
        <v>19</v>
      </c>
      <c r="F2" s="94">
        <v>46273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5+36+19+15+11</f>
        <v>86</v>
      </c>
      <c r="I4" s="68">
        <f t="shared" ref="I4:I31" si="0">H4/G4</f>
        <v>0.14333333333333334</v>
      </c>
      <c r="J4" s="30">
        <v>550</v>
      </c>
      <c r="K4" s="8">
        <v>75</v>
      </c>
      <c r="L4" s="87">
        <f t="shared" ref="L4:L29" si="1">K4/J4</f>
        <v>0.13636363636363635</v>
      </c>
      <c r="M4" s="8">
        <f t="shared" ref="M4:M6" si="2">J4-K4</f>
        <v>475</v>
      </c>
      <c r="N4" s="10">
        <f t="shared" ref="N4:N6" si="3">M4/$D$2</f>
        <v>25</v>
      </c>
      <c r="O4" s="69">
        <f t="shared" ref="O4:P12" si="4">K4/H4</f>
        <v>0.87209302325581395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23+33+16+19+14</f>
        <v>105</v>
      </c>
      <c r="I5" s="70">
        <f t="shared" si="0"/>
        <v>0.17499999999999999</v>
      </c>
      <c r="J5" s="11">
        <v>450</v>
      </c>
      <c r="K5" s="12">
        <v>60</v>
      </c>
      <c r="L5" s="71">
        <f t="shared" si="1"/>
        <v>0.13333333333333333</v>
      </c>
      <c r="M5" s="12">
        <f t="shared" si="2"/>
        <v>390</v>
      </c>
      <c r="N5" s="14">
        <f t="shared" si="3"/>
        <v>20.526315789473685</v>
      </c>
      <c r="O5" s="98">
        <f t="shared" si="4"/>
        <v>0.5714285714285714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6+16+5+3+11</f>
        <v>41</v>
      </c>
      <c r="I6" s="70">
        <f t="shared" si="0"/>
        <v>6.8333333333333329E-2</v>
      </c>
      <c r="J6" s="11">
        <v>550</v>
      </c>
      <c r="K6" s="12">
        <v>48</v>
      </c>
      <c r="L6" s="71">
        <f t="shared" si="1"/>
        <v>8.727272727272728E-2</v>
      </c>
      <c r="M6" s="12">
        <f t="shared" si="2"/>
        <v>502</v>
      </c>
      <c r="N6" s="14">
        <f t="shared" si="3"/>
        <v>26.421052631578949</v>
      </c>
      <c r="O6" s="72">
        <f t="shared" si="4"/>
        <v>1.1707317073170731</v>
      </c>
      <c r="P6" s="14">
        <f t="shared" si="4"/>
        <v>1.2771618625277164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2+9+17+9+5</f>
        <v>42</v>
      </c>
      <c r="I7" s="70">
        <f t="shared" si="0"/>
        <v>7.0000000000000007E-2</v>
      </c>
      <c r="J7" s="11">
        <v>400</v>
      </c>
      <c r="K7" s="12">
        <v>47</v>
      </c>
      <c r="L7" s="71">
        <f t="shared" si="1"/>
        <v>0.11749999999999999</v>
      </c>
      <c r="M7" s="12">
        <f t="shared" ref="M7:M31" si="5">J7-K7</f>
        <v>353</v>
      </c>
      <c r="N7" s="14">
        <f t="shared" ref="N7:N31" si="6">M7/$D$2</f>
        <v>18.578947368421051</v>
      </c>
      <c r="O7" s="72">
        <f t="shared" si="4"/>
        <v>1.1190476190476191</v>
      </c>
      <c r="P7" s="14">
        <f t="shared" si="4"/>
        <v>1.6785714285714284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4+7+6+6+11</f>
        <v>34</v>
      </c>
      <c r="I8" s="70">
        <f t="shared" si="0"/>
        <v>5.6666666666666664E-2</v>
      </c>
      <c r="J8" s="11">
        <v>575</v>
      </c>
      <c r="K8" s="12">
        <v>37</v>
      </c>
      <c r="L8" s="71">
        <f t="shared" si="1"/>
        <v>6.4347826086956522E-2</v>
      </c>
      <c r="M8" s="12">
        <f t="shared" si="5"/>
        <v>538</v>
      </c>
      <c r="N8" s="14">
        <f t="shared" si="6"/>
        <v>28.315789473684209</v>
      </c>
      <c r="O8" s="72">
        <f t="shared" si="4"/>
        <v>1.088235294117647</v>
      </c>
      <c r="P8" s="14">
        <f t="shared" si="4"/>
        <v>1.1355498721227621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28.94736842105263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2+7+1+6+5</f>
        <v>21</v>
      </c>
      <c r="I10" s="70">
        <f t="shared" si="0"/>
        <v>0.105</v>
      </c>
      <c r="J10" s="11">
        <v>3000</v>
      </c>
      <c r="K10" s="12">
        <v>334</v>
      </c>
      <c r="L10" s="71">
        <f t="shared" si="1"/>
        <v>0.11133333333333334</v>
      </c>
      <c r="M10" s="12">
        <f t="shared" si="5"/>
        <v>2666</v>
      </c>
      <c r="N10" s="14">
        <f t="shared" si="6"/>
        <v>140.31578947368422</v>
      </c>
      <c r="O10" s="72">
        <f t="shared" si="4"/>
        <v>15.904761904761905</v>
      </c>
      <c r="P10" s="14">
        <f t="shared" si="4"/>
        <v>1.0603174603174603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34.210526315789473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28.94736842105263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23.684210526315791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330</v>
      </c>
      <c r="I19" s="79">
        <f t="shared" si="0"/>
        <v>5.8928571428571427E-2</v>
      </c>
      <c r="J19" s="80">
        <f>SUM(J4:J18)</f>
        <v>7825</v>
      </c>
      <c r="K19" s="80">
        <f>SUM(K4:K18)</f>
        <v>701</v>
      </c>
      <c r="L19" s="82">
        <f>K19/J19</f>
        <v>8.9584664536741215E-2</v>
      </c>
      <c r="M19" s="81">
        <f t="shared" si="5"/>
        <v>7124</v>
      </c>
      <c r="N19" s="83">
        <f t="shared" si="6"/>
        <v>374.94736842105266</v>
      </c>
      <c r="O19" s="84">
        <f>K19/H19</f>
        <v>2.124242424242424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24.473684210526315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24.578947368421051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24.421052631578949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24.894736842105264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25.473684210526315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123.84210526315789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32.421052631578945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29.789473684210527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30.210526315789473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32.210526315789473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124.63157894736842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531</v>
      </c>
      <c r="I31" s="88">
        <f t="shared" si="0"/>
        <v>8.7768595041322311E-2</v>
      </c>
      <c r="J31" s="89">
        <f t="shared" si="17"/>
        <v>12825</v>
      </c>
      <c r="K31" s="90">
        <f t="shared" si="17"/>
        <v>980</v>
      </c>
      <c r="L31" s="91">
        <f>K31/J31</f>
        <v>7.641325536062378E-2</v>
      </c>
      <c r="M31" s="90">
        <f t="shared" si="5"/>
        <v>11845</v>
      </c>
      <c r="N31" s="92">
        <f t="shared" si="6"/>
        <v>623.42105263157896</v>
      </c>
      <c r="O31" s="93">
        <f>K31/H31</f>
        <v>1.8455743879472692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2026-09-09T04:57:54Z</dcterms:modified>
</cp:coreProperties>
</file>