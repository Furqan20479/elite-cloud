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2D524797-ECE1-4139-BDD4-6466C5EE86D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" i="1" l="1"/>
  <c r="F11" i="2" l="1"/>
  <c r="F9" i="2"/>
  <c r="M9" i="2" s="1"/>
  <c r="F8" i="2"/>
  <c r="M8" i="2" s="1"/>
  <c r="F7" i="2"/>
  <c r="M7" i="2" s="1"/>
  <c r="F6" i="2"/>
  <c r="F5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4" i="2" l="1"/>
  <c r="L15" i="2"/>
  <c r="H18" i="2" l="1"/>
  <c r="E18" i="2"/>
  <c r="K13" i="2"/>
  <c r="L13" i="2" s="1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<sst xmlns="http://schemas.openxmlformats.org/spreadsheetml/2006/main" count="235" uniqueCount="69">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</sst>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85" zoomScaleNormal="85" workbookViewId="0"/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46281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4</v>
      </c>
      <c r="G4" s="50">
        <f t="shared" ref="G4:G28" si="0">F4/E4</f>
        <v>0.08</v>
      </c>
      <c r="H4" s="11">
        <v>40</v>
      </c>
      <c r="I4" s="11">
        <v>4</v>
      </c>
      <c r="J4" s="50">
        <f t="shared" ref="J4:J11" si="1">I4/H4</f>
        <v>0.1</v>
      </c>
      <c r="K4" s="11">
        <f t="shared" ref="K4:L11" si="2">I4/F4</f>
        <v>1</v>
      </c>
      <c r="L4" s="11">
        <f t="shared" si="2"/>
        <v>1.25</v>
      </c>
      <c r="M4" s="11">
        <v>23</v>
      </c>
      <c r="N4" s="74">
        <v>21</v>
      </c>
      <c r="O4" s="50">
        <f t="shared" ref="O4:O11" si="3">N4/M4</f>
        <v>0.91304347826086951</v>
      </c>
      <c r="P4" s="11">
        <v>15</v>
      </c>
      <c r="Q4" s="74">
        <v>12</v>
      </c>
      <c r="R4" s="50">
        <f t="shared" ref="R4:R11" si="4">Q4/P4</f>
        <v>0.8</v>
      </c>
      <c r="S4" s="11">
        <f t="shared" ref="S4:T11" si="5">Q4/N4</f>
        <v>0.5714285714285714</v>
      </c>
      <c r="T4" s="11">
        <f t="shared" si="5"/>
        <v>0.8761904761904763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12</v>
      </c>
      <c r="G5" s="50">
        <f t="shared" si="0"/>
        <v>0.24</v>
      </c>
      <c r="H5" s="11">
        <v>30</v>
      </c>
      <c r="I5" s="11">
        <v>7</v>
      </c>
      <c r="J5" s="50">
        <f t="shared" si="1"/>
        <v>0.23333333333333334</v>
      </c>
      <c r="K5" s="11">
        <f t="shared" si="2"/>
        <v>0.58333333333333337</v>
      </c>
      <c r="L5" s="11">
        <f t="shared" si="2"/>
        <v>0.97222222222222232</v>
      </c>
      <c r="M5" s="11">
        <v>22</v>
      </c>
      <c r="N5" s="74">
        <v>21</v>
      </c>
      <c r="O5" s="50">
        <f t="shared" si="3"/>
        <v>0.95454545454545459</v>
      </c>
      <c r="P5" s="11">
        <v>17</v>
      </c>
      <c r="Q5" s="74">
        <v>14</v>
      </c>
      <c r="R5" s="50">
        <f t="shared" si="4"/>
        <v>0.82352941176470584</v>
      </c>
      <c r="S5" s="11">
        <f t="shared" si="5"/>
        <v>0.66666666666666663</v>
      </c>
      <c r="T5" s="11">
        <f t="shared" si="5"/>
        <v>0.86274509803921562</v>
      </c>
      <c r="U5" s="92"/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7</v>
      </c>
      <c r="G6" s="50">
        <f t="shared" si="0"/>
        <v>0.14000000000000001</v>
      </c>
      <c r="H6" s="11">
        <v>25</v>
      </c>
      <c r="I6" s="11">
        <v>8</v>
      </c>
      <c r="J6" s="50">
        <f t="shared" si="1"/>
        <v>0.32</v>
      </c>
      <c r="K6" s="11">
        <f t="shared" si="2"/>
        <v>1.1428571428571428</v>
      </c>
      <c r="L6" s="11">
        <f t="shared" si="2"/>
        <v>2.2857142857142856</v>
      </c>
      <c r="M6" s="11">
        <v>7</v>
      </c>
      <c r="N6" s="74">
        <v>6</v>
      </c>
      <c r="O6" s="50">
        <f t="shared" si="3"/>
        <v>0.8571428571428571</v>
      </c>
      <c r="P6" s="11">
        <v>8</v>
      </c>
      <c r="Q6" s="74">
        <v>6</v>
      </c>
      <c r="R6" s="50">
        <f t="shared" si="4"/>
        <v>0.75</v>
      </c>
      <c r="S6" s="11">
        <f t="shared" si="5"/>
        <v>1</v>
      </c>
      <c r="T6" s="11">
        <f t="shared" si="5"/>
        <v>0.875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11</v>
      </c>
      <c r="G7" s="50">
        <f t="shared" si="0"/>
        <v>0.22</v>
      </c>
      <c r="H7" s="11">
        <v>30</v>
      </c>
      <c r="I7" s="11">
        <v>13</v>
      </c>
      <c r="J7" s="50">
        <f t="shared" si="1"/>
        <v>0.43333333333333335</v>
      </c>
      <c r="K7" s="11">
        <f t="shared" si="2"/>
        <v>1.1818181818181819</v>
      </c>
      <c r="L7" s="11">
        <f t="shared" si="2"/>
        <v>1.9696969696969697</v>
      </c>
      <c r="M7" s="11">
        <v>4</v>
      </c>
      <c r="N7" s="74">
        <v>4</v>
      </c>
      <c r="O7" s="50">
        <f t="shared" si="3"/>
        <v>1</v>
      </c>
      <c r="P7" s="11">
        <v>7</v>
      </c>
      <c r="Q7" s="74">
        <v>3</v>
      </c>
      <c r="R7" s="50">
        <f t="shared" si="4"/>
        <v>0.42857142857142855</v>
      </c>
      <c r="S7" s="11">
        <f t="shared" si="5"/>
        <v>0.75</v>
      </c>
      <c r="T7" s="11">
        <f t="shared" si="5"/>
        <v>0.42857142857142855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8</v>
      </c>
      <c r="G8" s="50">
        <f t="shared" si="0"/>
        <v>0.16</v>
      </c>
      <c r="H8" s="11">
        <v>20</v>
      </c>
      <c r="I8" s="11">
        <v>9</v>
      </c>
      <c r="J8" s="50">
        <f t="shared" si="1"/>
        <v>0.45</v>
      </c>
      <c r="K8" s="11">
        <f t="shared" si="2"/>
        <v>1.125</v>
      </c>
      <c r="L8" s="11">
        <f t="shared" si="2"/>
        <v>2.8125</v>
      </c>
      <c r="M8" s="11">
        <v>12</v>
      </c>
      <c r="N8" s="74">
        <v>1</v>
      </c>
      <c r="O8" s="50">
        <f t="shared" si="3"/>
        <v>8.3333333333333329E-2</v>
      </c>
      <c r="P8" s="11">
        <v>7</v>
      </c>
      <c r="Q8" s="74">
        <v>4</v>
      </c>
      <c r="R8" s="50">
        <f t="shared" si="4"/>
        <v>0.5714285714285714</v>
      </c>
      <c r="S8" s="11">
        <f t="shared" si="5"/>
        <v>4</v>
      </c>
      <c r="T8" s="11">
        <f t="shared" si="5"/>
        <v>6.8571428571428568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3</v>
      </c>
      <c r="G9" s="50">
        <f t="shared" si="0"/>
        <v>0.12</v>
      </c>
      <c r="H9" s="11">
        <v>0</v>
      </c>
      <c r="I9" s="11">
        <v>20</v>
      </c>
      <c r="J9" s="50" t="e">
        <f t="shared" si="1"/>
        <v>#DIV/0!</v>
      </c>
      <c r="K9" s="11">
        <f t="shared" si="2"/>
        <v>6.666666666666667</v>
      </c>
      <c r="L9" s="11" t="e">
        <f t="shared" si="2"/>
        <v>#DIV/0!</v>
      </c>
      <c r="M9" s="11">
        <v>5</v>
      </c>
      <c r="N9" s="74">
        <v>93</v>
      </c>
      <c r="O9" s="50">
        <f t="shared" si="3"/>
        <v>18.600000000000001</v>
      </c>
      <c r="P9" s="11">
        <v>3</v>
      </c>
      <c r="Q9" s="74">
        <v>4</v>
      </c>
      <c r="R9" s="50">
        <f t="shared" si="4"/>
        <v>1.3333333333333333</v>
      </c>
      <c r="S9" s="11">
        <f t="shared" si="5"/>
        <v>4.3010752688172046E-2</v>
      </c>
      <c r="T9" s="11">
        <f t="shared" si="5"/>
        <v>7.1684587813620068E-2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45</v>
      </c>
      <c r="G16" s="89">
        <f t="shared" si="0"/>
        <v>0.12</v>
      </c>
      <c r="H16" s="59">
        <f>SUM(H4:H15)</f>
        <v>365</v>
      </c>
      <c r="I16" s="60">
        <f>SUM(I4:I15)</f>
        <v>61</v>
      </c>
      <c r="J16" s="89">
        <f t="shared" ref="J16" si="6">I16/H16</f>
        <v>0.16712328767123288</v>
      </c>
      <c r="K16" s="59">
        <f>I16/F16</f>
        <v>1.3555555555555556</v>
      </c>
      <c r="L16" s="62" t="e">
        <f>AVERAGE(L4:L15)</f>
        <v>#DIV/0!</v>
      </c>
      <c r="M16" s="59">
        <f>SUM(M4:M15)</f>
        <v>73</v>
      </c>
      <c r="N16" s="60">
        <f>SUM(N4:N15)</f>
        <v>146</v>
      </c>
      <c r="O16" s="89">
        <f t="shared" ref="O16" si="7">N16/M16</f>
        <v>2</v>
      </c>
      <c r="P16" s="59">
        <f>SUM(P4:P15)</f>
        <v>57</v>
      </c>
      <c r="Q16" s="60">
        <f>SUM(Q4:Q15)</f>
        <v>43</v>
      </c>
      <c r="R16" s="89">
        <f t="shared" ref="R16" si="8">Q16/P16</f>
        <v>0.75438596491228072</v>
      </c>
      <c r="S16" s="59">
        <f>Q16/N16</f>
        <v>0.29452054794520549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183</v>
      </c>
      <c r="G28" s="21">
        <f t="shared" si="0"/>
        <v>6.0495867768595044E-2</v>
      </c>
      <c r="H28" s="19">
        <f>+H27+H22+H16</f>
        <v>2565</v>
      </c>
      <c r="I28" s="20">
        <f t="shared" ref="I28" si="25">+I27+I22+I16</f>
        <v>228</v>
      </c>
      <c r="J28" s="21">
        <f t="shared" si="9"/>
        <v>8.8888888888888892E-2</v>
      </c>
      <c r="K28" s="19">
        <f>I28/F28</f>
        <v>1.2459016393442623</v>
      </c>
      <c r="L28" s="22" t="e">
        <f>AVERAGE(L27,L16,L22)</f>
        <v>#DIV/0!</v>
      </c>
      <c r="M28" s="19">
        <f>+M27+M22+M16</f>
        <v>222</v>
      </c>
      <c r="N28" s="20">
        <f t="shared" ref="N28" si="26">+N27+N22+N16</f>
        <v>259</v>
      </c>
      <c r="O28" s="21">
        <f t="shared" si="11"/>
        <v>1.1666666666666667</v>
      </c>
      <c r="P28" s="19">
        <f>+P27+P22+P16</f>
        <v>296</v>
      </c>
      <c r="Q28" s="20">
        <f t="shared" ref="Q28" si="27">+Q27+Q22+Q16</f>
        <v>173</v>
      </c>
      <c r="R28" s="21">
        <f t="shared" si="12"/>
        <v>0.58445945945945943</v>
      </c>
      <c r="S28" s="19">
        <f>Q28/N28</f>
        <v>0.66795366795366795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/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14</v>
      </c>
      <c r="G2" s="80">
        <f>+F2/E2</f>
        <v>0.53846153846153844</v>
      </c>
      <c r="H2" s="81">
        <f>+E2-F2</f>
        <v>12</v>
      </c>
    </row>
    <row r="3" spans="1:20" ht="30.5" customHeight="1" thickBot="1" x14ac:dyDescent="0.4">
      <c r="A3" s="47"/>
      <c r="B3" s="47"/>
      <c r="D3" s="82">
        <v>46281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</f>
        <v>202</v>
      </c>
      <c r="G5" s="66">
        <f t="shared" ref="G5:G30" si="0">F5/E5</f>
        <v>0.33666666666666667</v>
      </c>
      <c r="H5" s="7">
        <v>550</v>
      </c>
      <c r="I5" s="7">
        <v>201</v>
      </c>
      <c r="J5" s="66">
        <f>I5/H5</f>
        <v>0.36545454545454548</v>
      </c>
      <c r="K5" s="7">
        <f t="shared" ref="K5:K7" si="1">H5-I5</f>
        <v>349</v>
      </c>
      <c r="L5" s="96">
        <f>K5/H2</f>
        <v>29.083333333333332</v>
      </c>
      <c r="M5" s="106">
        <f>I5/F5</f>
        <v>0.99504950495049505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</f>
        <v>205</v>
      </c>
      <c r="G6" s="50">
        <f t="shared" si="0"/>
        <v>0.34166666666666667</v>
      </c>
      <c r="H6" s="11">
        <v>450</v>
      </c>
      <c r="I6" s="11">
        <v>132</v>
      </c>
      <c r="J6" s="50">
        <f t="shared" ref="J6:J28" si="2">I6/H6</f>
        <v>0.29333333333333333</v>
      </c>
      <c r="K6" s="11">
        <f t="shared" si="1"/>
        <v>318</v>
      </c>
      <c r="L6" s="93">
        <f>K6/H2</f>
        <v>26.5</v>
      </c>
      <c r="M6" s="107">
        <f t="shared" ref="M6:M17" si="3">I6/F6</f>
        <v>0.64390243902439026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</f>
        <v>87</v>
      </c>
      <c r="G7" s="50">
        <f t="shared" si="0"/>
        <v>0.14499999999999999</v>
      </c>
      <c r="H7" s="11">
        <v>550</v>
      </c>
      <c r="I7" s="11">
        <v>128</v>
      </c>
      <c r="J7" s="50">
        <f t="shared" si="2"/>
        <v>0.23272727272727273</v>
      </c>
      <c r="K7" s="11">
        <f t="shared" si="1"/>
        <v>422</v>
      </c>
      <c r="L7" s="93">
        <f>K7/H2</f>
        <v>35.166666666666664</v>
      </c>
      <c r="M7" s="107">
        <f t="shared" si="3"/>
        <v>1.4712643678160919</v>
      </c>
      <c r="N7" s="13">
        <f t="shared" ref="N7:N13" si="4">J7/G7</f>
        <v>1.6050156739811914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</f>
        <v>92</v>
      </c>
      <c r="G8" s="50">
        <f t="shared" si="0"/>
        <v>0.15333333333333332</v>
      </c>
      <c r="H8" s="11">
        <v>400</v>
      </c>
      <c r="I8" s="11">
        <v>111</v>
      </c>
      <c r="J8" s="50">
        <f t="shared" si="2"/>
        <v>0.27750000000000002</v>
      </c>
      <c r="K8" s="11">
        <f t="shared" ref="K8:K30" si="5">H8-I8</f>
        <v>289</v>
      </c>
      <c r="L8" s="93">
        <f>K8/H2</f>
        <v>24.083333333333332</v>
      </c>
      <c r="M8" s="107">
        <f t="shared" si="3"/>
        <v>1.2065217391304348</v>
      </c>
      <c r="N8" s="13">
        <f t="shared" si="4"/>
        <v>1.8097826086956526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</f>
        <v>69</v>
      </c>
      <c r="G9" s="50">
        <f t="shared" si="0"/>
        <v>0.115</v>
      </c>
      <c r="H9" s="11">
        <v>575</v>
      </c>
      <c r="I9" s="11">
        <v>72</v>
      </c>
      <c r="J9" s="50">
        <f t="shared" si="2"/>
        <v>0.12521739130434784</v>
      </c>
      <c r="K9" s="11">
        <f t="shared" si="5"/>
        <v>503</v>
      </c>
      <c r="L9" s="93">
        <f>K9/H2</f>
        <v>41.916666666666664</v>
      </c>
      <c r="M9" s="107">
        <f t="shared" si="3"/>
        <v>1.0434782608695652</v>
      </c>
      <c r="N9" s="13">
        <f t="shared" si="4"/>
        <v>1.0888468809073724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45.833333333333336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</f>
        <v>40</v>
      </c>
      <c r="G11" s="50">
        <f t="shared" si="0"/>
        <v>0.2</v>
      </c>
      <c r="H11" s="11">
        <v>3000</v>
      </c>
      <c r="I11" s="11">
        <v>736</v>
      </c>
      <c r="J11" s="50">
        <f t="shared" si="2"/>
        <v>0.24533333333333332</v>
      </c>
      <c r="K11" s="11">
        <f t="shared" si="5"/>
        <v>2264</v>
      </c>
      <c r="L11" s="93">
        <f>K11/H2</f>
        <v>188.66666666666666</v>
      </c>
      <c r="M11" s="107">
        <f t="shared" si="3"/>
        <v>18.399999999999999</v>
      </c>
      <c r="N11" s="13">
        <f t="shared" si="4"/>
        <v>1.2266666666666666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v>244</v>
      </c>
      <c r="J12" s="50">
        <f t="shared" si="2"/>
        <v>0.37538461538461537</v>
      </c>
      <c r="K12" s="11">
        <f t="shared" si="5"/>
        <v>406</v>
      </c>
      <c r="L12" s="93">
        <f>K12/H2</f>
        <v>33.833333333333336</v>
      </c>
      <c r="M12" s="10">
        <f t="shared" si="3"/>
        <v>1.4352941176470588</v>
      </c>
      <c r="N12" s="13">
        <f t="shared" si="4"/>
        <v>1.3248868778280543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v>123</v>
      </c>
      <c r="J13" s="50">
        <f t="shared" si="2"/>
        <v>0.22363636363636363</v>
      </c>
      <c r="K13" s="11">
        <f t="shared" si="5"/>
        <v>427</v>
      </c>
      <c r="L13" s="93">
        <f>K13/H2</f>
        <v>35.583333333333336</v>
      </c>
      <c r="M13" s="10">
        <f t="shared" si="3"/>
        <v>1.0884955752212389</v>
      </c>
      <c r="N13" s="13">
        <f t="shared" si="4"/>
        <v>1.1874497184231698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37.5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979</v>
      </c>
      <c r="G18" s="58">
        <f t="shared" si="0"/>
        <v>0.17482142857142857</v>
      </c>
      <c r="H18" s="33">
        <f>SUM(H5:H17)</f>
        <v>7825</v>
      </c>
      <c r="I18" s="33">
        <f>SUM(I5:I17)</f>
        <v>1847</v>
      </c>
      <c r="J18" s="102">
        <f>I18/H18</f>
        <v>0.23603833865814697</v>
      </c>
      <c r="K18" s="34">
        <f t="shared" si="5"/>
        <v>5978</v>
      </c>
      <c r="L18" s="36">
        <f>K18/H2</f>
        <v>498.16666666666669</v>
      </c>
      <c r="M18" s="63">
        <f>I18/F18</f>
        <v>1.8866189989785496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1180</v>
      </c>
      <c r="G30" s="67">
        <f t="shared" si="0"/>
        <v>0.19504132231404958</v>
      </c>
      <c r="H30" s="68">
        <f t="shared" si="16"/>
        <v>12825</v>
      </c>
      <c r="I30" s="69">
        <f t="shared" si="16"/>
        <v>2126</v>
      </c>
      <c r="J30" s="70">
        <f>I30/H30</f>
        <v>0.16576998050682262</v>
      </c>
      <c r="K30" s="69">
        <f t="shared" si="5"/>
        <v>10699</v>
      </c>
      <c r="L30" s="71" t="e">
        <f t="shared" si="11"/>
        <v>#DIV/0!</v>
      </c>
      <c r="M30" s="72">
        <f>I30/F30</f>
        <v>1.8016949152542372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2026-09-17T05:14:58Z</dcterms:modified>
</cp:coreProperties>
</file>