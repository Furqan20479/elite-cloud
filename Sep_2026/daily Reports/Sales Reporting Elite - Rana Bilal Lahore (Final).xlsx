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C9F3BF8-66A5-400F-B3E0-737A38DF9C67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8" i="2"/>
  <c r="H7" i="2"/>
  <c r="H6" i="2"/>
  <c r="H5" i="2"/>
  <c r="H4" i="2"/>
  <c r="O5" i="2"/>
  <c r="J19" i="2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O14" i="2"/>
  <c r="I15" i="2"/>
  <c r="L15" i="2"/>
  <c r="O15" i="2"/>
  <c r="P14" i="2" l="1"/>
  <c r="H19" i="2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<sst xmlns="http://schemas.openxmlformats.org/spreadsheetml/2006/main" count="369" uniqueCount="78">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</sst>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65" fontId="0" fillId="0" borderId="30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2" t="s">
        <v>0</v>
      </c>
      <c r="H1" s="103"/>
      <c r="I1" s="103"/>
      <c r="J1" s="103"/>
      <c r="K1" s="103"/>
      <c r="L1" s="103"/>
      <c r="M1" s="103"/>
      <c r="N1" s="104"/>
      <c r="O1" s="105" t="s">
        <v>1</v>
      </c>
      <c r="P1" s="106"/>
      <c r="Q1" s="106"/>
      <c r="R1" s="106"/>
      <c r="S1" s="106"/>
      <c r="T1" s="106"/>
      <c r="U1" s="106"/>
      <c r="V1" s="107"/>
    </row>
    <row r="2" spans="1:28" ht="15" thickBot="1" x14ac:dyDescent="0.4">
      <c r="F2" s="94">
        <v>46253</v>
      </c>
      <c r="G2" s="108" t="s">
        <v>2</v>
      </c>
      <c r="H2" s="109"/>
      <c r="I2" s="110"/>
      <c r="J2" s="109" t="s">
        <v>3</v>
      </c>
      <c r="K2" s="109"/>
      <c r="L2" s="110"/>
      <c r="M2" s="1"/>
      <c r="N2" s="2"/>
      <c r="O2" s="108" t="s">
        <v>2</v>
      </c>
      <c r="P2" s="109"/>
      <c r="Q2" s="110"/>
      <c r="R2" s="109" t="s">
        <v>3</v>
      </c>
      <c r="S2" s="109"/>
      <c r="T2" s="110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75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74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76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F12" sqref="F12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9.54296875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4</v>
      </c>
      <c r="C2" s="63">
        <f>+B2/A2</f>
        <v>0.15384615384615385</v>
      </c>
      <c r="D2" s="62">
        <f>+A2-B2</f>
        <v>22</v>
      </c>
      <c r="F2" s="94">
        <v>46269</v>
      </c>
      <c r="G2" s="108" t="s">
        <v>38</v>
      </c>
      <c r="H2" s="109"/>
      <c r="I2" s="109"/>
      <c r="J2" s="105" t="s">
        <v>59</v>
      </c>
      <c r="K2" s="106"/>
      <c r="L2" s="106"/>
      <c r="M2" s="106"/>
      <c r="N2" s="107"/>
      <c r="O2" s="111" t="s">
        <v>39</v>
      </c>
      <c r="P2" s="112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5+36</f>
        <v>41</v>
      </c>
      <c r="I4" s="68">
        <f t="shared" ref="I4:I31" si="0">H4/G4</f>
        <v>6.8333333333333329E-2</v>
      </c>
      <c r="J4" s="30">
        <v>550</v>
      </c>
      <c r="K4" s="8">
        <v>50</v>
      </c>
      <c r="L4" s="87">
        <f t="shared" ref="L4:L29" si="1">K4/J4</f>
        <v>9.0909090909090912E-2</v>
      </c>
      <c r="M4" s="8">
        <f t="shared" ref="M4:M6" si="2">J4-K4</f>
        <v>500</v>
      </c>
      <c r="N4" s="10">
        <f t="shared" ref="N4:N6" si="3">M4/$D$2</f>
        <v>22.727272727272727</v>
      </c>
      <c r="O4" s="69">
        <f t="shared" ref="O4:P12" si="4">K4/H4</f>
        <v>1.2195121951219512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23+33</f>
        <v>56</v>
      </c>
      <c r="I5" s="70">
        <f t="shared" si="0"/>
        <v>9.3333333333333338E-2</v>
      </c>
      <c r="J5" s="11">
        <v>450</v>
      </c>
      <c r="K5" s="12">
        <v>30</v>
      </c>
      <c r="L5" s="71">
        <f t="shared" si="1"/>
        <v>6.6666666666666666E-2</v>
      </c>
      <c r="M5" s="12">
        <f t="shared" si="2"/>
        <v>420</v>
      </c>
      <c r="N5" s="14">
        <f t="shared" si="3"/>
        <v>19.09090909090909</v>
      </c>
      <c r="O5" s="98">
        <f t="shared" si="4"/>
        <v>0.5357142857142857</v>
      </c>
      <c r="P5" s="33">
        <v>3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6+16</f>
        <v>22</v>
      </c>
      <c r="I6" s="70">
        <f t="shared" si="0"/>
        <v>3.6666666666666667E-2</v>
      </c>
      <c r="J6" s="11">
        <v>550</v>
      </c>
      <c r="K6" s="12">
        <v>28</v>
      </c>
      <c r="L6" s="71">
        <f t="shared" si="1"/>
        <v>5.0909090909090911E-2</v>
      </c>
      <c r="M6" s="12">
        <f t="shared" si="2"/>
        <v>522</v>
      </c>
      <c r="N6" s="14">
        <f t="shared" si="3"/>
        <v>23.727272727272727</v>
      </c>
      <c r="O6" s="72">
        <f t="shared" si="4"/>
        <v>1.2727272727272727</v>
      </c>
      <c r="P6" s="14">
        <f t="shared" si="4"/>
        <v>1.3884297520661157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2+9</f>
        <v>11</v>
      </c>
      <c r="I7" s="70">
        <f t="shared" si="0"/>
        <v>1.8333333333333333E-2</v>
      </c>
      <c r="J7" s="11">
        <v>400</v>
      </c>
      <c r="K7" s="12">
        <v>17</v>
      </c>
      <c r="L7" s="71">
        <f t="shared" si="1"/>
        <v>4.2500000000000003E-2</v>
      </c>
      <c r="M7" s="12">
        <f t="shared" ref="M7:M31" si="5">J7-K7</f>
        <v>383</v>
      </c>
      <c r="N7" s="14">
        <f t="shared" ref="N7:N31" si="6">M7/$D$2</f>
        <v>17.40909090909091</v>
      </c>
      <c r="O7" s="72">
        <f t="shared" si="4"/>
        <v>1.5454545454545454</v>
      </c>
      <c r="P7" s="14">
        <f t="shared" si="4"/>
        <v>2.3181818181818183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4+7</f>
        <v>11</v>
      </c>
      <c r="I8" s="70">
        <f t="shared" si="0"/>
        <v>1.8333333333333333E-2</v>
      </c>
      <c r="J8" s="11">
        <v>575</v>
      </c>
      <c r="K8" s="12">
        <v>12.5</v>
      </c>
      <c r="L8" s="71">
        <f t="shared" si="1"/>
        <v>2.1739130434782608E-2</v>
      </c>
      <c r="M8" s="12">
        <f t="shared" si="5"/>
        <v>562.5</v>
      </c>
      <c r="N8" s="14">
        <f t="shared" si="6"/>
        <v>25.568181818181817</v>
      </c>
      <c r="O8" s="72">
        <f t="shared" si="4"/>
        <v>1.1363636363636365</v>
      </c>
      <c r="P8" s="14">
        <f t="shared" si="4"/>
        <v>1.1857707509881423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26</v>
      </c>
      <c r="G9" s="30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25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2+7</f>
        <v>9</v>
      </c>
      <c r="I10" s="70">
        <f t="shared" si="0"/>
        <v>4.4999999999999998E-2</v>
      </c>
      <c r="J10" s="11">
        <v>3000</v>
      </c>
      <c r="K10" s="12">
        <v>205</v>
      </c>
      <c r="L10" s="71">
        <f t="shared" si="1"/>
        <v>6.8333333333333329E-2</v>
      </c>
      <c r="M10" s="12">
        <f t="shared" si="5"/>
        <v>2795</v>
      </c>
      <c r="N10" s="14">
        <f t="shared" si="6"/>
        <v>127.04545454545455</v>
      </c>
      <c r="O10" s="72">
        <f t="shared" si="4"/>
        <v>22.777777777777779</v>
      </c>
      <c r="P10" s="14">
        <f t="shared" si="4"/>
        <v>1.5185185185185184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29.545454545454547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25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77</v>
      </c>
      <c r="G13" s="11">
        <v>600</v>
      </c>
      <c r="H13" s="12"/>
      <c r="I13" s="70">
        <f t="shared" ref="I13:I15" si="7">H13/G13</f>
        <v>0</v>
      </c>
      <c r="J13" s="11">
        <v>450</v>
      </c>
      <c r="K13" s="12"/>
      <c r="L13" s="71">
        <f t="shared" ref="L13:L16" si="8">K13/J13</f>
        <v>0</v>
      </c>
      <c r="M13" s="12">
        <f t="shared" si="5"/>
        <v>450</v>
      </c>
      <c r="N13" s="14">
        <f t="shared" ref="N13:N15" si="9">M13/$D$2</f>
        <v>20.454545454545453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70" t="e">
        <f t="shared" si="7"/>
        <v>#DIV/0!</v>
      </c>
      <c r="J14" s="11"/>
      <c r="K14" s="12"/>
      <c r="L14" s="71" t="e">
        <f t="shared" si="8"/>
        <v>#DIV/0!</v>
      </c>
      <c r="M14" s="12">
        <f t="shared" si="5"/>
        <v>0</v>
      </c>
      <c r="N14" s="14">
        <f t="shared" si="9"/>
        <v>0</v>
      </c>
      <c r="O14" s="72" t="e">
        <f t="shared" si="10"/>
        <v>#DIV/0!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/>
      <c r="I16" s="70" t="e">
        <f t="shared" ref="I16" si="12">H16/G16</f>
        <v>#DIV/0!</v>
      </c>
      <c r="J16" s="11"/>
      <c r="K16" s="12"/>
      <c r="L16" s="71" t="e">
        <f t="shared" si="8"/>
        <v>#DIV/0!</v>
      </c>
      <c r="M16" s="12">
        <f t="shared" si="5"/>
        <v>0</v>
      </c>
      <c r="N16" s="14">
        <f t="shared" si="6"/>
        <v>0</v>
      </c>
      <c r="O16" s="72" t="e">
        <f t="shared" si="10"/>
        <v>#DIV/0!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9" t="s">
        <v>18</v>
      </c>
      <c r="E19" s="100"/>
      <c r="F19" s="101"/>
      <c r="G19" s="40">
        <f>SUM(G4:G18)</f>
        <v>5600</v>
      </c>
      <c r="H19" s="40">
        <f>SUM(H4:H18)</f>
        <v>150</v>
      </c>
      <c r="I19" s="79">
        <f t="shared" si="0"/>
        <v>2.6785714285714284E-2</v>
      </c>
      <c r="J19" s="80">
        <f>SUM(J4:J18)</f>
        <v>7725</v>
      </c>
      <c r="K19" s="80">
        <f>SUM(K4:K18)</f>
        <v>342.5</v>
      </c>
      <c r="L19" s="82">
        <f>K19/J19</f>
        <v>4.4336569579288027E-2</v>
      </c>
      <c r="M19" s="81">
        <f t="shared" si="5"/>
        <v>7382.5</v>
      </c>
      <c r="N19" s="83">
        <f t="shared" si="6"/>
        <v>335.56818181818181</v>
      </c>
      <c r="O19" s="84">
        <f>K19/H19</f>
        <v>2.2833333333333332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21.136363636363637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21.227272727272727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21.09090909090909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21.5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22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9" t="s">
        <v>18</v>
      </c>
      <c r="E25" s="100"/>
      <c r="F25" s="101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106.95454545454545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28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25.727272727272727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26.09090909090909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27.818181818181817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9" t="s">
        <v>18</v>
      </c>
      <c r="E30" s="100"/>
      <c r="F30" s="101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107.63636363636364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351</v>
      </c>
      <c r="I31" s="88">
        <f t="shared" si="0"/>
        <v>5.8016528925619835E-2</v>
      </c>
      <c r="J31" s="89">
        <f t="shared" si="17"/>
        <v>12725</v>
      </c>
      <c r="K31" s="90">
        <f t="shared" si="17"/>
        <v>621.5</v>
      </c>
      <c r="L31" s="91">
        <f>K31/J31</f>
        <v>4.8840864440078582E-2</v>
      </c>
      <c r="M31" s="90">
        <f t="shared" si="5"/>
        <v>12103.5</v>
      </c>
      <c r="N31" s="92">
        <f t="shared" si="6"/>
        <v>550.15909090909088</v>
      </c>
      <c r="O31" s="93">
        <f>K31/H31</f>
        <v>1.7706552706552707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2026-09-05T05:00:43Z</dcterms:modified>
</cp:coreProperties>
</file>