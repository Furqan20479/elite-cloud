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12E72F06-F1F9-4E3F-AE2B-6B1134A1D4F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Chart1" sheetId="3" r:id="rId1"/>
    <sheet name="Today Performance" sheetId="1" r:id="rId2"/>
    <sheet name="Till Todate Performance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" l="1"/>
  <c r="K20" i="1"/>
  <c r="M4" i="1" l="1"/>
  <c r="N4" i="1"/>
  <c r="L16" i="2"/>
  <c r="G16" i="2"/>
  <c r="K16" i="2"/>
  <c r="H31" i="1" l="1"/>
  <c r="H26" i="1"/>
  <c r="H20" i="1"/>
  <c r="H32" i="1" l="1"/>
  <c r="H16" i="2" l="1"/>
  <c r="H22" i="2"/>
  <c r="H28" i="2" s="1"/>
  <c r="Q16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6" i="2"/>
  <c r="J25" i="2"/>
  <c r="J24" i="2"/>
  <c r="J23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W32" i="1" l="1"/>
  <c r="Q27" i="2"/>
  <c r="N27" i="2"/>
  <c r="I27" i="2"/>
  <c r="G27" i="2"/>
  <c r="P26" i="2"/>
  <c r="N26" i="2"/>
  <c r="P25" i="2"/>
  <c r="N25" i="2"/>
  <c r="P24" i="2"/>
  <c r="N24" i="2"/>
  <c r="P23" i="2"/>
  <c r="N23" i="2"/>
  <c r="Q22" i="2"/>
  <c r="N22" i="2"/>
  <c r="I22" i="2"/>
  <c r="G22" i="2"/>
  <c r="P21" i="2"/>
  <c r="N21" i="2"/>
  <c r="P20" i="2"/>
  <c r="N20" i="2"/>
  <c r="P19" i="2"/>
  <c r="N19" i="2"/>
  <c r="P18" i="2"/>
  <c r="N18" i="2"/>
  <c r="P17" i="2"/>
  <c r="N17" i="2"/>
  <c r="I16" i="2"/>
  <c r="N15" i="2"/>
  <c r="N14" i="2"/>
  <c r="N13" i="2"/>
  <c r="P12" i="2"/>
  <c r="N12" i="2"/>
  <c r="P11" i="2"/>
  <c r="N11" i="2"/>
  <c r="P10" i="2"/>
  <c r="N10" i="2"/>
  <c r="P9" i="2"/>
  <c r="N9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3" i="2"/>
  <c r="O25" i="2"/>
  <c r="U31" i="1"/>
  <c r="V31" i="1"/>
  <c r="J16" i="2"/>
  <c r="J22" i="2"/>
  <c r="J27" i="2"/>
  <c r="G28" i="2"/>
  <c r="V26" i="1"/>
  <c r="U26" i="1"/>
  <c r="O27" i="2"/>
  <c r="J26" i="1"/>
  <c r="N26" i="1"/>
  <c r="N31" i="1"/>
  <c r="J31" i="1"/>
  <c r="J20" i="1"/>
  <c r="N20" i="1"/>
  <c r="R20" i="1"/>
  <c r="U20" i="1"/>
  <c r="V20" i="1"/>
  <c r="P27" i="2"/>
  <c r="N16" i="2"/>
  <c r="O16" i="2" s="1"/>
  <c r="O13" i="2"/>
  <c r="O4" i="2"/>
  <c r="O6" i="2"/>
  <c r="O8" i="2"/>
  <c r="O9" i="2"/>
  <c r="O11" i="2"/>
  <c r="O14" i="2"/>
  <c r="O20" i="2"/>
  <c r="O7" i="2"/>
  <c r="P16" i="2"/>
  <c r="O22" i="2"/>
  <c r="P22" i="2"/>
  <c r="O24" i="2"/>
  <c r="O26" i="2"/>
  <c r="O18" i="2"/>
  <c r="O10" i="2"/>
  <c r="O17" i="2"/>
  <c r="O19" i="2"/>
  <c r="I28" i="2"/>
  <c r="O5" i="2"/>
  <c r="O12" i="2"/>
  <c r="O15" i="2"/>
  <c r="O21" i="2"/>
  <c r="S32" i="1"/>
  <c r="P32" i="1"/>
  <c r="G32" i="1"/>
  <c r="T32" i="1"/>
  <c r="I32" i="1"/>
  <c r="Q32" i="1"/>
  <c r="J28" i="2" l="1"/>
  <c r="R32" i="1"/>
  <c r="J32" i="1"/>
  <c r="N32" i="1"/>
  <c r="V32" i="1"/>
  <c r="U32" i="1"/>
  <c r="N28" i="2"/>
  <c r="O28" i="2" s="1"/>
  <c r="Q28" i="2"/>
  <c r="P28" i="2"/>
  <c r="O32" i="1"/>
</calcChain>
</file>

<file path=xl/sharedStrings.xml><?xml version="1.0" encoding="utf-8"?>
<sst xmlns="http://schemas.openxmlformats.org/spreadsheetml/2006/main" count="354" uniqueCount="69">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</sst>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  <font>
      <b/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1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8" fillId="0" borderId="19" xfId="0" applyFont="1" applyBorder="1" applyAlignment="1">
      <alignment horizontal="center" vertical="center"/>
    </xf>
    <xf numFmtId="0" fontId="0" fillId="0" borderId="16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'Today Performance'!$G$1</c:f>
              <c:strCache>
                <c:ptCount val="1"/>
                <c:pt idx="0">
                  <c:v>Booking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Performance'!$G$2:$G$20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 formatCode="0">
                  <c:v>50</c:v>
                </c:pt>
                <c:pt idx="3" formatCode="0">
                  <c:v>50</c:v>
                </c:pt>
                <c:pt idx="4" formatCode="0">
                  <c:v>50</c:v>
                </c:pt>
                <c:pt idx="5" formatCode="0">
                  <c:v>50</c:v>
                </c:pt>
                <c:pt idx="6" formatCode="0">
                  <c:v>50</c:v>
                </c:pt>
                <c:pt idx="7" formatCode="0">
                  <c:v>50</c:v>
                </c:pt>
                <c:pt idx="8" formatCode="0">
                  <c:v>50</c:v>
                </c:pt>
                <c:pt idx="9" formatCode="0">
                  <c:v>50</c:v>
                </c:pt>
                <c:pt idx="10" formatCode="0">
                  <c:v>50</c:v>
                </c:pt>
                <c:pt idx="13" formatCode="0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64-413F-B3BD-6EAA516A62AF}"/>
            </c:ext>
          </c:extLst>
        </c:ser>
        <c:ser>
          <c:idx val="1"/>
          <c:order val="1"/>
          <c:tx>
            <c:strRef>
              <c:f>'Today Performance'!$H$1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Performance'!$H$2:$H$20</c:f>
              <c:numCache>
                <c:formatCode>General</c:formatCode>
                <c:ptCount val="14"/>
                <c:pt idx="1">
                  <c:v>0</c:v>
                </c:pt>
                <c:pt idx="2" formatCode="0">
                  <c:v>40</c:v>
                </c:pt>
                <c:pt idx="3" formatCode="0">
                  <c:v>45</c:v>
                </c:pt>
                <c:pt idx="4" formatCode="0">
                  <c:v>40</c:v>
                </c:pt>
                <c:pt idx="5" formatCode="0">
                  <c:v>45</c:v>
                </c:pt>
                <c:pt idx="6" formatCode="0">
                  <c:v>40</c:v>
                </c:pt>
                <c:pt idx="7" formatCode="0">
                  <c:v>10</c:v>
                </c:pt>
                <c:pt idx="8" formatCode="0">
                  <c:v>45</c:v>
                </c:pt>
                <c:pt idx="9" formatCode="0">
                  <c:v>40</c:v>
                </c:pt>
                <c:pt idx="10" formatCode="0">
                  <c:v>40</c:v>
                </c:pt>
                <c:pt idx="13" formatCode="0">
                  <c:v>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64-413F-B3BD-6EAA516A62AF}"/>
            </c:ext>
          </c:extLst>
        </c:ser>
        <c:ser>
          <c:idx val="2"/>
          <c:order val="2"/>
          <c:tx>
            <c:strRef>
              <c:f>'Today Performance'!$I$1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Performance'!$I$2:$I$20</c:f>
              <c:numCache>
                <c:formatCode>General</c:formatCode>
                <c:ptCount val="14"/>
                <c:pt idx="1">
                  <c:v>0</c:v>
                </c:pt>
                <c:pt idx="2" formatCode="0">
                  <c:v>6</c:v>
                </c:pt>
                <c:pt idx="3" formatCode="0">
                  <c:v>5</c:v>
                </c:pt>
                <c:pt idx="4" formatCode="0">
                  <c:v>5</c:v>
                </c:pt>
                <c:pt idx="5" formatCode="0">
                  <c:v>4</c:v>
                </c:pt>
                <c:pt idx="6" formatCode="0">
                  <c:v>6</c:v>
                </c:pt>
                <c:pt idx="7" formatCode="0">
                  <c:v>11</c:v>
                </c:pt>
                <c:pt idx="8" formatCode="0">
                  <c:v>20</c:v>
                </c:pt>
                <c:pt idx="9" formatCode="0">
                  <c:v>7</c:v>
                </c:pt>
                <c:pt idx="10" formatCode="0">
                  <c:v>18</c:v>
                </c:pt>
                <c:pt idx="13" formatCode="0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64-413F-B3BD-6EAA516A62AF}"/>
            </c:ext>
          </c:extLst>
        </c:ser>
        <c:ser>
          <c:idx val="3"/>
          <c:order val="3"/>
          <c:tx>
            <c:strRef>
              <c:f>'Today Performance'!$J$1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Performance'!$J$2:$J$20</c:f>
              <c:numCache>
                <c:formatCode>General</c:formatCode>
                <c:ptCount val="14"/>
                <c:pt idx="1">
                  <c:v>0</c:v>
                </c:pt>
                <c:pt idx="2" formatCode="0%">
                  <c:v>0.12</c:v>
                </c:pt>
                <c:pt idx="3" formatCode="0%">
                  <c:v>0.1</c:v>
                </c:pt>
                <c:pt idx="4" formatCode="0%">
                  <c:v>0.1</c:v>
                </c:pt>
                <c:pt idx="5" formatCode="0%">
                  <c:v>0.08</c:v>
                </c:pt>
                <c:pt idx="6" formatCode="0%">
                  <c:v>0.12</c:v>
                </c:pt>
                <c:pt idx="7" formatCode="0%">
                  <c:v>0.22</c:v>
                </c:pt>
                <c:pt idx="8" formatCode="0%">
                  <c:v>0.4</c:v>
                </c:pt>
                <c:pt idx="9" formatCode="0%">
                  <c:v>0.14000000000000001</c:v>
                </c:pt>
                <c:pt idx="10" formatCode="0%">
                  <c:v>0.36</c:v>
                </c:pt>
                <c:pt idx="11" formatCode="0%">
                  <c:v>0</c:v>
                </c:pt>
                <c:pt idx="12" formatCode="0%">
                  <c:v>0</c:v>
                </c:pt>
                <c:pt idx="13" formatCode="0%">
                  <c:v>0.18222222222222223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64-413F-B3BD-6EAA516A62AF}"/>
            </c:ext>
          </c:extLst>
        </c:ser>
        <c:ser>
          <c:idx val="4"/>
          <c:order val="4"/>
          <c:tx>
            <c:strRef>
              <c:f>'Today Performance'!$K$1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Performance'!$K$2:$K$20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 formatCode="0">
                  <c:v>40</c:v>
                </c:pt>
                <c:pt idx="3" formatCode="0">
                  <c:v>30</c:v>
                </c:pt>
                <c:pt idx="4" formatCode="0">
                  <c:v>25</c:v>
                </c:pt>
                <c:pt idx="5" formatCode="0">
                  <c:v>30</c:v>
                </c:pt>
                <c:pt idx="6" formatCode="0">
                  <c:v>20</c:v>
                </c:pt>
                <c:pt idx="7" formatCode="0">
                  <c:v>80</c:v>
                </c:pt>
                <c:pt idx="8" formatCode="0">
                  <c:v>20</c:v>
                </c:pt>
                <c:pt idx="9" formatCode="0">
                  <c:v>20</c:v>
                </c:pt>
                <c:pt idx="10" formatCode="0">
                  <c:v>30</c:v>
                </c:pt>
                <c:pt idx="13" formatCode="0">
                  <c:v>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64-413F-B3BD-6EAA516A62AF}"/>
            </c:ext>
          </c:extLst>
        </c:ser>
        <c:ser>
          <c:idx val="5"/>
          <c:order val="5"/>
          <c:tx>
            <c:strRef>
              <c:f>'Today Performance'!$L$1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Performance'!$L$2:$L$20</c:f>
              <c:numCache>
                <c:formatCode>General</c:formatCode>
                <c:ptCount val="14"/>
                <c:pt idx="1">
                  <c:v>0</c:v>
                </c:pt>
                <c:pt idx="2" formatCode="0">
                  <c:v>9.375</c:v>
                </c:pt>
                <c:pt idx="3" formatCode="0">
                  <c:v>11</c:v>
                </c:pt>
                <c:pt idx="4" formatCode="0">
                  <c:v>6.5</c:v>
                </c:pt>
                <c:pt idx="5" formatCode="0">
                  <c:v>6.3</c:v>
                </c:pt>
                <c:pt idx="6" formatCode="0">
                  <c:v>5.7750000000000004</c:v>
                </c:pt>
                <c:pt idx="7" formatCode="0">
                  <c:v>67.5</c:v>
                </c:pt>
                <c:pt idx="8" formatCode="0">
                  <c:v>15</c:v>
                </c:pt>
                <c:pt idx="9" formatCode="0">
                  <c:v>10</c:v>
                </c:pt>
                <c:pt idx="10" formatCode="0">
                  <c:v>9</c:v>
                </c:pt>
                <c:pt idx="13" formatCode="0">
                  <c:v>140.44999999999999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64-413F-B3BD-6EAA516A62AF}"/>
            </c:ext>
          </c:extLst>
        </c:ser>
        <c:ser>
          <c:idx val="6"/>
          <c:order val="6"/>
          <c:tx>
            <c:strRef>
              <c:f>'Today Performance'!$M$1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Performance'!$M$2:$M$20</c:f>
              <c:numCache>
                <c:formatCode>General</c:formatCode>
                <c:ptCount val="14"/>
                <c:pt idx="1">
                  <c:v>0</c:v>
                </c:pt>
                <c:pt idx="2" formatCode="0%">
                  <c:v>0.234375</c:v>
                </c:pt>
                <c:pt idx="3" formatCode="0%">
                  <c:v>0.36666666666666664</c:v>
                </c:pt>
                <c:pt idx="4" formatCode="0%">
                  <c:v>0.26</c:v>
                </c:pt>
                <c:pt idx="5" formatCode="0%">
                  <c:v>0.21</c:v>
                </c:pt>
                <c:pt idx="6" formatCode="0%">
                  <c:v>0.28875000000000001</c:v>
                </c:pt>
                <c:pt idx="7" formatCode="0%">
                  <c:v>0.84375</c:v>
                </c:pt>
                <c:pt idx="8" formatCode="0%">
                  <c:v>0.75</c:v>
                </c:pt>
                <c:pt idx="9" formatCode="0%">
                  <c:v>0.5</c:v>
                </c:pt>
                <c:pt idx="10" formatCode="0%">
                  <c:v>0.3</c:v>
                </c:pt>
                <c:pt idx="11" formatCode="0%">
                  <c:v>0</c:v>
                </c:pt>
                <c:pt idx="12" formatCode="0%">
                  <c:v>0</c:v>
                </c:pt>
                <c:pt idx="13" formatCode="0%">
                  <c:v>0.47610169491525423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64-413F-B3BD-6EAA516A62AF}"/>
            </c:ext>
          </c:extLst>
        </c:ser>
        <c:ser>
          <c:idx val="7"/>
          <c:order val="7"/>
          <c:tx>
            <c:strRef>
              <c:f>'Today Performance'!$N$1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Performance'!$N$2:$N$20</c:f>
              <c:numCache>
                <c:formatCode>General</c:formatCode>
                <c:ptCount val="14"/>
                <c:pt idx="1">
                  <c:v>0</c:v>
                </c:pt>
                <c:pt idx="2" formatCode="0">
                  <c:v>1.5625</c:v>
                </c:pt>
                <c:pt idx="3" formatCode="0">
                  <c:v>2.2000000000000002</c:v>
                </c:pt>
                <c:pt idx="4" formatCode="0">
                  <c:v>1.3</c:v>
                </c:pt>
                <c:pt idx="5" formatCode="0">
                  <c:v>1.575</c:v>
                </c:pt>
                <c:pt idx="6" formatCode="0">
                  <c:v>0.96250000000000002</c:v>
                </c:pt>
                <c:pt idx="7" formatCode="0">
                  <c:v>6.1363636363636367</c:v>
                </c:pt>
                <c:pt idx="8" formatCode="0">
                  <c:v>0.75</c:v>
                </c:pt>
                <c:pt idx="9" formatCode="0">
                  <c:v>1.4285714285714286</c:v>
                </c:pt>
                <c:pt idx="10" formatCode="0">
                  <c:v>0.5</c:v>
                </c:pt>
                <c:pt idx="11" formatCode="0">
                  <c:v>0</c:v>
                </c:pt>
                <c:pt idx="12" formatCode="0">
                  <c:v>0</c:v>
                </c:pt>
                <c:pt idx="13" formatCode="0">
                  <c:v>1.7128048780487803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64-413F-B3BD-6EAA516A62AF}"/>
            </c:ext>
          </c:extLst>
        </c:ser>
        <c:ser>
          <c:idx val="8"/>
          <c:order val="8"/>
          <c:tx>
            <c:strRef>
              <c:f>'Today Performance'!$O$1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Performance'!$O$2:$O$20</c:f>
              <c:numCache>
                <c:formatCode>General</c:formatCode>
                <c:ptCount val="14"/>
                <c:pt idx="1">
                  <c:v>0</c:v>
                </c:pt>
                <c:pt idx="13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64-413F-B3BD-6EAA516A62AF}"/>
            </c:ext>
          </c:extLst>
        </c:ser>
        <c:ser>
          <c:idx val="9"/>
          <c:order val="9"/>
          <c:tx>
            <c:strRef>
              <c:f>'Today Performance'!$P$1</c:f>
              <c:strCache>
                <c:ptCount val="1"/>
                <c:pt idx="0">
                  <c:v>Execution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Performance'!$P$2:$P$20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9</c:v>
                </c:pt>
                <c:pt idx="3">
                  <c:v>3</c:v>
                </c:pt>
                <c:pt idx="4">
                  <c:v>7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 formatCode="0">
                  <c:v>10</c:v>
                </c:pt>
                <c:pt idx="9" formatCode="0">
                  <c:v>0</c:v>
                </c:pt>
                <c:pt idx="10" formatCode="0">
                  <c:v>0</c:v>
                </c:pt>
                <c:pt idx="13" formatCode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64-413F-B3BD-6EAA516A62AF}"/>
            </c:ext>
          </c:extLst>
        </c:ser>
        <c:ser>
          <c:idx val="10"/>
          <c:order val="10"/>
          <c:tx>
            <c:strRef>
              <c:f>'Today Performance'!$Q$1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Performance'!$Q$2:$Q$20</c:f>
              <c:numCache>
                <c:formatCode>General</c:formatCode>
                <c:ptCount val="14"/>
                <c:pt idx="1">
                  <c:v>0</c:v>
                </c:pt>
                <c:pt idx="2">
                  <c:v>8</c:v>
                </c:pt>
                <c:pt idx="3">
                  <c:v>2</c:v>
                </c:pt>
                <c:pt idx="4">
                  <c:v>7</c:v>
                </c:pt>
                <c:pt idx="5">
                  <c:v>3</c:v>
                </c:pt>
                <c:pt idx="6">
                  <c:v>4</c:v>
                </c:pt>
                <c:pt idx="8" formatCode="0">
                  <c:v>7</c:v>
                </c:pt>
                <c:pt idx="9" formatCode="0">
                  <c:v>0</c:v>
                </c:pt>
                <c:pt idx="10" formatCode="0">
                  <c:v>0</c:v>
                </c:pt>
                <c:pt idx="13" formatCode="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64-413F-B3BD-6EAA516A62AF}"/>
            </c:ext>
          </c:extLst>
        </c:ser>
        <c:ser>
          <c:idx val="11"/>
          <c:order val="11"/>
          <c:tx>
            <c:strRef>
              <c:f>'Today Performance'!$R$1</c:f>
              <c:strCache>
                <c:ptCount val="1"/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Performance'!$R$2:$R$20</c:f>
              <c:numCache>
                <c:formatCode>General</c:formatCode>
                <c:ptCount val="14"/>
                <c:pt idx="1">
                  <c:v>0</c:v>
                </c:pt>
                <c:pt idx="2" formatCode="0%">
                  <c:v>0.88888888888888884</c:v>
                </c:pt>
                <c:pt idx="3" formatCode="0%">
                  <c:v>0.66666666666666663</c:v>
                </c:pt>
                <c:pt idx="4" formatCode="0%">
                  <c:v>1</c:v>
                </c:pt>
                <c:pt idx="5" formatCode="0%">
                  <c:v>1</c:v>
                </c:pt>
                <c:pt idx="6" formatCode="0%">
                  <c:v>1</c:v>
                </c:pt>
                <c:pt idx="7" formatCode="0%">
                  <c:v>0</c:v>
                </c:pt>
                <c:pt idx="8" formatCode="0%">
                  <c:v>0.7</c:v>
                </c:pt>
                <c:pt idx="9" formatCode="0%">
                  <c:v>0</c:v>
                </c:pt>
                <c:pt idx="10" formatCode="0%">
                  <c:v>0</c:v>
                </c:pt>
                <c:pt idx="11" formatCode="0%">
                  <c:v>0</c:v>
                </c:pt>
                <c:pt idx="12" formatCode="0%">
                  <c:v>0</c:v>
                </c:pt>
                <c:pt idx="13" formatCode="0%">
                  <c:v>0.83783783783783783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264-413F-B3BD-6EAA516A62AF}"/>
            </c:ext>
          </c:extLst>
        </c:ser>
        <c:ser>
          <c:idx val="12"/>
          <c:order val="12"/>
          <c:tx>
            <c:strRef>
              <c:f>'Today Performance'!$S$1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Performance'!$S$2:$S$20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8.5</c:v>
                </c:pt>
                <c:pt idx="3">
                  <c:v>7</c:v>
                </c:pt>
                <c:pt idx="4">
                  <c:v>4.6500000000000004</c:v>
                </c:pt>
                <c:pt idx="5">
                  <c:v>4.9000000000000004</c:v>
                </c:pt>
                <c:pt idx="6">
                  <c:v>2.1749999999999998</c:v>
                </c:pt>
                <c:pt idx="7">
                  <c:v>86.5</c:v>
                </c:pt>
                <c:pt idx="8" formatCode="0">
                  <c:v>6</c:v>
                </c:pt>
                <c:pt idx="9" formatCode="0">
                  <c:v>0</c:v>
                </c:pt>
                <c:pt idx="10" formatCode="0">
                  <c:v>0</c:v>
                </c:pt>
                <c:pt idx="13" formatCode="0">
                  <c:v>119.72499999999999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264-413F-B3BD-6EAA516A62AF}"/>
            </c:ext>
          </c:extLst>
        </c:ser>
        <c:ser>
          <c:idx val="13"/>
          <c:order val="13"/>
          <c:tx>
            <c:strRef>
              <c:f>'Today Performance'!$T$1</c:f>
              <c:strCache>
                <c:ptCount val="1"/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Performance'!$T$2:$T$20</c:f>
              <c:numCache>
                <c:formatCode>General</c:formatCode>
                <c:ptCount val="14"/>
                <c:pt idx="1">
                  <c:v>0</c:v>
                </c:pt>
                <c:pt idx="2" formatCode="0">
                  <c:v>7.5</c:v>
                </c:pt>
                <c:pt idx="3" formatCode="0">
                  <c:v>6</c:v>
                </c:pt>
                <c:pt idx="4" formatCode="0">
                  <c:v>4.6500000000000004</c:v>
                </c:pt>
                <c:pt idx="5" formatCode="0">
                  <c:v>4.9000000000000004</c:v>
                </c:pt>
                <c:pt idx="6" formatCode="0">
                  <c:v>2.1749999999999998</c:v>
                </c:pt>
                <c:pt idx="7" formatCode="0">
                  <c:v>61.325000000000003</c:v>
                </c:pt>
                <c:pt idx="8" formatCode="0">
                  <c:v>4</c:v>
                </c:pt>
                <c:pt idx="9" formatCode="0">
                  <c:v>0</c:v>
                </c:pt>
                <c:pt idx="10" formatCode="0">
                  <c:v>0</c:v>
                </c:pt>
                <c:pt idx="13" formatCode="0">
                  <c:v>90.55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264-413F-B3BD-6EAA516A62AF}"/>
            </c:ext>
          </c:extLst>
        </c:ser>
        <c:ser>
          <c:idx val="14"/>
          <c:order val="14"/>
          <c:tx>
            <c:strRef>
              <c:f>'Today Performance'!$U$1</c:f>
              <c:strCache>
                <c:ptCount val="1"/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Performance'!$U$2:$U$20</c:f>
              <c:numCache>
                <c:formatCode>General</c:formatCode>
                <c:ptCount val="14"/>
                <c:pt idx="1">
                  <c:v>0</c:v>
                </c:pt>
                <c:pt idx="2" formatCode="0%">
                  <c:v>0.88235294117647056</c:v>
                </c:pt>
                <c:pt idx="3" formatCode="0%">
                  <c:v>0.8571428571428571</c:v>
                </c:pt>
                <c:pt idx="4" formatCode="0%">
                  <c:v>1</c:v>
                </c:pt>
                <c:pt idx="5" formatCode="0%">
                  <c:v>1</c:v>
                </c:pt>
                <c:pt idx="6" formatCode="0%">
                  <c:v>1</c:v>
                </c:pt>
                <c:pt idx="7" formatCode="0%">
                  <c:v>0.70895953757225438</c:v>
                </c:pt>
                <c:pt idx="8" formatCode="0%">
                  <c:v>0.66666666666666663</c:v>
                </c:pt>
                <c:pt idx="9" formatCode="0%">
                  <c:v>0</c:v>
                </c:pt>
                <c:pt idx="10" formatCode="0%">
                  <c:v>0</c:v>
                </c:pt>
                <c:pt idx="11" formatCode="0%">
                  <c:v>0</c:v>
                </c:pt>
                <c:pt idx="12" formatCode="0%">
                  <c:v>0</c:v>
                </c:pt>
                <c:pt idx="13" formatCode="0%">
                  <c:v>0.75631655878053872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264-413F-B3BD-6EAA516A62AF}"/>
            </c:ext>
          </c:extLst>
        </c:ser>
        <c:ser>
          <c:idx val="15"/>
          <c:order val="15"/>
          <c:tx>
            <c:strRef>
              <c:f>'Today Performance'!$V$1</c:f>
              <c:strCache>
                <c:ptCount val="1"/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Performance'!$V$2:$V$20</c:f>
              <c:numCache>
                <c:formatCode>General</c:formatCode>
                <c:ptCount val="14"/>
                <c:pt idx="1">
                  <c:v>0</c:v>
                </c:pt>
                <c:pt idx="2" formatCode="0">
                  <c:v>0.9375</c:v>
                </c:pt>
                <c:pt idx="3" formatCode="0">
                  <c:v>3</c:v>
                </c:pt>
                <c:pt idx="4" formatCode="0">
                  <c:v>0.66428571428571437</c:v>
                </c:pt>
                <c:pt idx="5" formatCode="0">
                  <c:v>1.6333333333333335</c:v>
                </c:pt>
                <c:pt idx="6" formatCode="0">
                  <c:v>0.54374999999999996</c:v>
                </c:pt>
                <c:pt idx="7" formatCode="0">
                  <c:v>0</c:v>
                </c:pt>
                <c:pt idx="8" formatCode="0">
                  <c:v>0.5714285714285714</c:v>
                </c:pt>
                <c:pt idx="9" formatCode="0">
                  <c:v>0</c:v>
                </c:pt>
                <c:pt idx="10" formatCode="0">
                  <c:v>0</c:v>
                </c:pt>
                <c:pt idx="11" formatCode="0">
                  <c:v>0</c:v>
                </c:pt>
                <c:pt idx="12" formatCode="0">
                  <c:v>0</c:v>
                </c:pt>
                <c:pt idx="13" formatCode="0">
                  <c:v>2.9209677419354838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264-413F-B3BD-6EAA516A62AF}"/>
            </c:ext>
          </c:extLst>
        </c:ser>
        <c:ser>
          <c:idx val="16"/>
          <c:order val="16"/>
          <c:tx>
            <c:strRef>
              <c:f>'Today Performance'!$W$1</c:f>
              <c:strCache>
                <c:ptCount val="1"/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Performance'!$W$2:$W$20</c:f>
              <c:numCache>
                <c:formatCode>General</c:formatCode>
                <c:ptCount val="14"/>
                <c:pt idx="1">
                  <c:v>0</c:v>
                </c:pt>
                <c:pt idx="13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264-413F-B3BD-6EAA516A62AF}"/>
            </c:ext>
          </c:extLst>
        </c:ser>
        <c:ser>
          <c:idx val="17"/>
          <c:order val="17"/>
          <c:tx>
            <c:strRef>
              <c:f>'Today Performance'!$X$1</c:f>
              <c:strCache>
                <c:ptCount val="1"/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'Today Performance'!$A$2:$F$20</c:f>
              <c:multiLvlStrCache>
                <c:ptCount val="14"/>
                <c:lvl>
                  <c:pt idx="0">
                    <c:v>Thursday, October 1, 2026</c:v>
                  </c:pt>
                  <c:pt idx="1">
                    <c:v>OB Name</c:v>
                  </c:pt>
                  <c:pt idx="2">
                    <c:v>Zeeshan Maharban</c:v>
                  </c:pt>
                  <c:pt idx="3">
                    <c:v>Salman Butt</c:v>
                  </c:pt>
                  <c:pt idx="4">
                    <c:v>Umair </c:v>
                  </c:pt>
                  <c:pt idx="5">
                    <c:v>Jabbar</c:v>
                  </c:pt>
                  <c:pt idx="6">
                    <c:v>Furqan</c:v>
                  </c:pt>
                  <c:pt idx="7">
                    <c:v>Shakoor LMT</c:v>
                  </c:pt>
                  <c:pt idx="8">
                    <c:v>Aqeel Malik (SD)</c:v>
                  </c:pt>
                  <c:pt idx="9">
                    <c:v>Qasim Khan </c:v>
                  </c:pt>
                  <c:pt idx="10">
                    <c:v>Yasir</c:v>
                  </c:pt>
                  <c:pt idx="11">
                    <c:v>Kasoor</c:v>
                  </c:pt>
                  <c:pt idx="12">
                    <c:v>Nabeel Traders </c:v>
                  </c:pt>
                </c:lvl>
                <c:lvl>
                  <c:pt idx="1">
                    <c:v>Distribution Name</c:v>
                  </c:pt>
                  <c:pt idx="2">
                    <c:v>Elite Marketing</c:v>
                  </c:pt>
                  <c:pt idx="3">
                    <c:v>Elite Marketing</c:v>
                  </c:pt>
                  <c:pt idx="4">
                    <c:v>Elite Marketing</c:v>
                  </c:pt>
                  <c:pt idx="5">
                    <c:v>Elite Marketing</c:v>
                  </c:pt>
                  <c:pt idx="6">
                    <c:v>Elite Marketing</c:v>
                  </c:pt>
                  <c:pt idx="7">
                    <c:v>Elite Marketing</c:v>
                  </c:pt>
                  <c:pt idx="8">
                    <c:v>Elite Marketing</c:v>
                  </c:pt>
                  <c:pt idx="9">
                    <c:v>Elite Marketing</c:v>
                  </c:pt>
                  <c:pt idx="10">
                    <c:v>Elite Marketing</c:v>
                  </c:pt>
                  <c:pt idx="11">
                    <c:v>Elite Marketing</c:v>
                  </c:pt>
                  <c:pt idx="12">
                    <c:v>Elite Marketing</c:v>
                  </c:pt>
                </c:lvl>
                <c:lvl>
                  <c:pt idx="1">
                    <c:v>TSO Name</c:v>
                  </c:pt>
                  <c:pt idx="2">
                    <c:v>VACANT </c:v>
                  </c:pt>
                  <c:pt idx="3">
                    <c:v>VACANT </c:v>
                  </c:pt>
                  <c:pt idx="4">
                    <c:v>VACANT </c:v>
                  </c:pt>
                  <c:pt idx="5">
                    <c:v>VACANT </c:v>
                  </c:pt>
                  <c:pt idx="6">
                    <c:v>VACANT </c:v>
                  </c:pt>
                  <c:pt idx="7">
                    <c:v>VACANT </c:v>
                  </c:pt>
                  <c:pt idx="8">
                    <c:v>VACANT </c:v>
                  </c:pt>
                  <c:pt idx="9">
                    <c:v>VACANT </c:v>
                  </c:pt>
                  <c:pt idx="10">
                    <c:v>VACANT </c:v>
                  </c:pt>
                  <c:pt idx="11">
                    <c:v>VACANT </c:v>
                  </c:pt>
                  <c:pt idx="12">
                    <c:v>VACANT </c:v>
                  </c:pt>
                  <c:pt idx="13">
                    <c:v>Total</c:v>
                  </c:pt>
                </c:lvl>
                <c:lvl>
                  <c:pt idx="1">
                    <c:v>ASM Name</c:v>
                  </c:pt>
                  <c:pt idx="2">
                    <c:v>Rana Bilal</c:v>
                  </c:pt>
                  <c:pt idx="3">
                    <c:v>Rana Bilal</c:v>
                  </c:pt>
                  <c:pt idx="4">
                    <c:v>Rana Bilal</c:v>
                  </c:pt>
                  <c:pt idx="5">
                    <c:v>Rana Bilal</c:v>
                  </c:pt>
                  <c:pt idx="6">
                    <c:v>Rana Bilal</c:v>
                  </c:pt>
                  <c:pt idx="7">
                    <c:v>Rana Bilal</c:v>
                  </c:pt>
                  <c:pt idx="8">
                    <c:v>Rana Bilal</c:v>
                  </c:pt>
                  <c:pt idx="9">
                    <c:v>Rana Bilal</c:v>
                  </c:pt>
                  <c:pt idx="10">
                    <c:v>Rana Bilal</c:v>
                  </c:pt>
                  <c:pt idx="11">
                    <c:v>Rana Bilal</c:v>
                  </c:pt>
                  <c:pt idx="12">
                    <c:v>Rana Bilal</c:v>
                  </c:pt>
                  <c:pt idx="13">
                    <c:v>Rana Bilal</c:v>
                  </c:pt>
                </c:lvl>
                <c:lvl>
                  <c:pt idx="1">
                    <c:v>Area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  <c:lvl>
                  <c:pt idx="1">
                    <c:v>Region</c:v>
                  </c:pt>
                  <c:pt idx="2">
                    <c:v>Lahore</c:v>
                  </c:pt>
                  <c:pt idx="3">
                    <c:v>Lahore</c:v>
                  </c:pt>
                  <c:pt idx="4">
                    <c:v>Lahore</c:v>
                  </c:pt>
                  <c:pt idx="5">
                    <c:v>Lahore</c:v>
                  </c:pt>
                  <c:pt idx="6">
                    <c:v>Lahore</c:v>
                  </c:pt>
                  <c:pt idx="7">
                    <c:v>Lahore</c:v>
                  </c:pt>
                  <c:pt idx="8">
                    <c:v>Lahore</c:v>
                  </c:pt>
                  <c:pt idx="9">
                    <c:v>Lahore</c:v>
                  </c:pt>
                  <c:pt idx="10">
                    <c:v>Lahore</c:v>
                  </c:pt>
                  <c:pt idx="11">
                    <c:v>Lahore</c:v>
                  </c:pt>
                  <c:pt idx="12">
                    <c:v>Lahore</c:v>
                  </c:pt>
                  <c:pt idx="13">
                    <c:v>Lahore</c:v>
                  </c:pt>
                </c:lvl>
              </c:multiLvlStrCache>
            </c:multiLvlStrRef>
          </c:cat>
          <c:val>
            <c:numRef>
              <c:f>'Today Performance'!$X$2:$X$20</c:f>
              <c:numCache>
                <c:formatCode>General</c:formatCode>
                <c:ptCount val="14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264-413F-B3BD-6EAA516A6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1380767"/>
        <c:axId val="811393247"/>
      </c:barChart>
      <c:catAx>
        <c:axId val="81138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393247"/>
        <c:crosses val="autoZero"/>
        <c:auto val="1"/>
        <c:lblAlgn val="ctr"/>
        <c:lblOffset val="100"/>
        <c:noMultiLvlLbl val="0"/>
      </c:catAx>
      <c:valAx>
        <c:axId val="81139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380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A2E9A3D-8F3B-4118-8699-A5013BC97B79}">
  <sheetPr/>
  <sheetViews>
    <sheetView zoomScale="6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167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868091-6CFA-4ADA-57D5-E5D38B78984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workbookViewId="0">
      <selection activeCell="I10" sqref="I1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46296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>
        <v>40</v>
      </c>
      <c r="I4" s="12">
        <v>6</v>
      </c>
      <c r="J4" s="32">
        <f>IFERROR(I4/G4,0)</f>
        <v>0.12</v>
      </c>
      <c r="K4" s="30">
        <v>40</v>
      </c>
      <c r="L4" s="12">
        <v>9.375</v>
      </c>
      <c r="M4" s="32">
        <f>IFERROR(L4/K4,0)</f>
        <v>0.234375</v>
      </c>
      <c r="N4" s="90">
        <f>IFERROR(L4/I4,0)</f>
        <v>1.5625</v>
      </c>
      <c r="O4" s="33"/>
      <c r="P4" s="119">
        <v>9</v>
      </c>
      <c r="Q4" s="119">
        <v>8</v>
      </c>
      <c r="R4" s="32">
        <f>IFERROR(Q4/P4,0)</f>
        <v>0.88888888888888884</v>
      </c>
      <c r="S4" s="120">
        <v>8.5</v>
      </c>
      <c r="T4" s="31">
        <v>7.5</v>
      </c>
      <c r="U4" s="32">
        <f>IFERROR(T4/S4,0)</f>
        <v>0.88235294117647056</v>
      </c>
      <c r="V4" s="90">
        <f>IFERROR(T4/Q4,0)</f>
        <v>0.9375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5</v>
      </c>
      <c r="J5" s="13">
        <f t="shared" ref="J5:J32" si="0">IFERROR(I5/G5,0)</f>
        <v>0.1</v>
      </c>
      <c r="K5" s="11">
        <v>30</v>
      </c>
      <c r="L5" s="12">
        <v>11</v>
      </c>
      <c r="M5" s="13">
        <f t="shared" ref="M5:M32" si="1">IFERROR(L5/K5,0)</f>
        <v>0.36666666666666664</v>
      </c>
      <c r="N5" s="11">
        <f t="shared" ref="N5:N32" si="2">IFERROR(L5/I5,0)</f>
        <v>2.2000000000000002</v>
      </c>
      <c r="O5" s="14"/>
      <c r="P5" s="119">
        <v>3</v>
      </c>
      <c r="Q5" s="119">
        <v>2</v>
      </c>
      <c r="R5" s="13">
        <f t="shared" ref="R5:R32" si="3">IFERROR(Q5/P5,0)</f>
        <v>0.66666666666666663</v>
      </c>
      <c r="S5" s="120">
        <v>7</v>
      </c>
      <c r="T5" s="12">
        <v>6</v>
      </c>
      <c r="U5" s="13">
        <f t="shared" ref="U5:U32" si="4">IFERROR(T5/S5,0)</f>
        <v>0.8571428571428571</v>
      </c>
      <c r="V5" s="11">
        <f t="shared" ref="V5:V32" si="5">IFERROR(T5/Q5,0)</f>
        <v>3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>
        <v>40</v>
      </c>
      <c r="I6" s="12">
        <v>5</v>
      </c>
      <c r="J6" s="13">
        <f t="shared" si="0"/>
        <v>0.1</v>
      </c>
      <c r="K6" s="11">
        <v>25</v>
      </c>
      <c r="L6" s="12">
        <v>6.5</v>
      </c>
      <c r="M6" s="13">
        <f t="shared" si="1"/>
        <v>0.26</v>
      </c>
      <c r="N6" s="11">
        <f t="shared" si="2"/>
        <v>1.3</v>
      </c>
      <c r="O6" s="14"/>
      <c r="P6" s="119">
        <v>7</v>
      </c>
      <c r="Q6" s="119">
        <v>7</v>
      </c>
      <c r="R6" s="13">
        <f t="shared" si="3"/>
        <v>1</v>
      </c>
      <c r="S6" s="120">
        <v>4.6500000000000004</v>
      </c>
      <c r="T6" s="12">
        <v>4.6500000000000004</v>
      </c>
      <c r="U6" s="13">
        <f t="shared" si="4"/>
        <v>1</v>
      </c>
      <c r="V6" s="11">
        <f t="shared" si="5"/>
        <v>0.66428571428571437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>
        <v>45</v>
      </c>
      <c r="I7" s="12">
        <v>4</v>
      </c>
      <c r="J7" s="13">
        <f t="shared" si="0"/>
        <v>0.08</v>
      </c>
      <c r="K7" s="11">
        <v>30</v>
      </c>
      <c r="L7" s="12">
        <v>6.3</v>
      </c>
      <c r="M7" s="13">
        <f t="shared" si="1"/>
        <v>0.21</v>
      </c>
      <c r="N7" s="11">
        <f t="shared" si="2"/>
        <v>1.575</v>
      </c>
      <c r="O7" s="14"/>
      <c r="P7" s="119">
        <v>3</v>
      </c>
      <c r="Q7" s="119">
        <v>3</v>
      </c>
      <c r="R7" s="13">
        <f t="shared" si="3"/>
        <v>1</v>
      </c>
      <c r="S7" s="120">
        <v>4.9000000000000004</v>
      </c>
      <c r="T7" s="12">
        <v>4.9000000000000004</v>
      </c>
      <c r="U7" s="13">
        <f t="shared" si="4"/>
        <v>1</v>
      </c>
      <c r="V7" s="11">
        <f t="shared" si="5"/>
        <v>1.6333333333333335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5.7750000000000004</v>
      </c>
      <c r="M8" s="13">
        <f t="shared" si="1"/>
        <v>0.28875000000000001</v>
      </c>
      <c r="N8" s="11">
        <f t="shared" si="2"/>
        <v>0.96250000000000002</v>
      </c>
      <c r="O8" s="14"/>
      <c r="P8" s="119">
        <v>4</v>
      </c>
      <c r="Q8" s="119">
        <v>4</v>
      </c>
      <c r="R8" s="13">
        <f t="shared" si="3"/>
        <v>1</v>
      </c>
      <c r="S8" s="120">
        <v>2.1749999999999998</v>
      </c>
      <c r="T8" s="12">
        <v>2.1749999999999998</v>
      </c>
      <c r="U8" s="13">
        <f t="shared" si="4"/>
        <v>1</v>
      </c>
      <c r="V8" s="11">
        <f t="shared" si="5"/>
        <v>0.54374999999999996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>
        <v>10</v>
      </c>
      <c r="I9" s="12">
        <v>11</v>
      </c>
      <c r="J9" s="13">
        <f t="shared" si="0"/>
        <v>0.22</v>
      </c>
      <c r="K9" s="11">
        <v>80</v>
      </c>
      <c r="L9" s="12">
        <v>67.5</v>
      </c>
      <c r="M9" s="13">
        <f t="shared" si="1"/>
        <v>0.84375</v>
      </c>
      <c r="N9" s="11">
        <f t="shared" si="2"/>
        <v>6.1363636363636367</v>
      </c>
      <c r="O9" s="14"/>
      <c r="P9" s="119">
        <v>1</v>
      </c>
      <c r="Q9" s="119"/>
      <c r="R9" s="13">
        <f t="shared" si="3"/>
        <v>0</v>
      </c>
      <c r="S9" s="120">
        <v>86.5</v>
      </c>
      <c r="T9" s="12">
        <v>61.325000000000003</v>
      </c>
      <c r="U9" s="13">
        <f t="shared" si="4"/>
        <v>0.70895953757225438</v>
      </c>
      <c r="V9" s="11">
        <f t="shared" si="5"/>
        <v>0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>
        <v>45</v>
      </c>
      <c r="I10" s="12">
        <v>20</v>
      </c>
      <c r="J10" s="13">
        <f t="shared" si="0"/>
        <v>0.4</v>
      </c>
      <c r="K10" s="11">
        <v>20</v>
      </c>
      <c r="L10" s="12">
        <v>15</v>
      </c>
      <c r="M10" s="13">
        <f t="shared" si="1"/>
        <v>0.75</v>
      </c>
      <c r="N10" s="11">
        <f t="shared" si="2"/>
        <v>0.75</v>
      </c>
      <c r="O10" s="14"/>
      <c r="P10" s="11">
        <v>10</v>
      </c>
      <c r="Q10" s="12">
        <v>7</v>
      </c>
      <c r="R10" s="13">
        <f t="shared" si="3"/>
        <v>0.7</v>
      </c>
      <c r="S10" s="11">
        <v>6</v>
      </c>
      <c r="T10" s="12">
        <v>4</v>
      </c>
      <c r="U10" s="13">
        <f t="shared" si="4"/>
        <v>0.66666666666666663</v>
      </c>
      <c r="V10" s="11">
        <f t="shared" si="5"/>
        <v>0.5714285714285714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>
        <v>40</v>
      </c>
      <c r="I11" s="12">
        <v>7</v>
      </c>
      <c r="J11" s="13">
        <f t="shared" si="0"/>
        <v>0.14000000000000001</v>
      </c>
      <c r="K11" s="11">
        <v>20</v>
      </c>
      <c r="L11" s="12">
        <v>10</v>
      </c>
      <c r="M11" s="13">
        <f t="shared" si="1"/>
        <v>0.5</v>
      </c>
      <c r="N11" s="11">
        <f t="shared" si="2"/>
        <v>1.4285714285714286</v>
      </c>
      <c r="O11" s="14"/>
      <c r="P11" s="11">
        <v>0</v>
      </c>
      <c r="Q11" s="12">
        <v>0</v>
      </c>
      <c r="R11" s="13">
        <f t="shared" si="3"/>
        <v>0</v>
      </c>
      <c r="S11" s="11">
        <v>0</v>
      </c>
      <c r="T11" s="12">
        <v>0</v>
      </c>
      <c r="U11" s="13">
        <f t="shared" si="4"/>
        <v>0</v>
      </c>
      <c r="V11" s="11">
        <f t="shared" si="5"/>
        <v>0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>
        <v>40</v>
      </c>
      <c r="I12" s="12">
        <v>18</v>
      </c>
      <c r="J12" s="13">
        <f t="shared" si="0"/>
        <v>0.36</v>
      </c>
      <c r="K12" s="11">
        <v>30</v>
      </c>
      <c r="L12" s="12">
        <v>9</v>
      </c>
      <c r="M12" s="13">
        <f t="shared" si="1"/>
        <v>0.3</v>
      </c>
      <c r="N12" s="11">
        <f t="shared" si="2"/>
        <v>0.5</v>
      </c>
      <c r="O12" s="14"/>
      <c r="P12" s="11">
        <v>0</v>
      </c>
      <c r="Q12" s="12">
        <v>0</v>
      </c>
      <c r="R12" s="13">
        <f t="shared" si="3"/>
        <v>0</v>
      </c>
      <c r="S12" s="11">
        <v>0</v>
      </c>
      <c r="T12" s="12">
        <v>0</v>
      </c>
      <c r="U12" s="13">
        <f t="shared" si="4"/>
        <v>0</v>
      </c>
      <c r="V12" s="11">
        <f t="shared" si="5"/>
        <v>0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450</v>
      </c>
      <c r="H20" s="41">
        <f>SUM(H4:H19)</f>
        <v>345</v>
      </c>
      <c r="I20" s="41">
        <f>SUM(I4:I19)</f>
        <v>82</v>
      </c>
      <c r="J20" s="42">
        <f t="shared" si="0"/>
        <v>0.18222222222222223</v>
      </c>
      <c r="K20" s="40">
        <f>SUM(K4:K12)</f>
        <v>295</v>
      </c>
      <c r="L20" s="40">
        <f>SUM(L4:L12)</f>
        <v>140.44999999999999</v>
      </c>
      <c r="M20" s="42">
        <f t="shared" si="1"/>
        <v>0.47610169491525423</v>
      </c>
      <c r="N20" s="40">
        <f t="shared" si="2"/>
        <v>1.7128048780487803</v>
      </c>
      <c r="O20" s="43">
        <f>AVERAGE(O4:O19)</f>
        <v>1</v>
      </c>
      <c r="P20" s="40">
        <f>SUM(P4:P19)</f>
        <v>37</v>
      </c>
      <c r="Q20" s="41">
        <f>SUM(Q4:Q19)</f>
        <v>31</v>
      </c>
      <c r="R20" s="42">
        <f t="shared" si="3"/>
        <v>0.83783783783783783</v>
      </c>
      <c r="S20" s="40">
        <f>SUM(S4:S19)</f>
        <v>119.72499999999999</v>
      </c>
      <c r="T20" s="41">
        <f>SUM(T4:T19)</f>
        <v>90.55</v>
      </c>
      <c r="U20" s="42">
        <f t="shared" si="4"/>
        <v>0.75631655878053872</v>
      </c>
      <c r="V20" s="40">
        <f t="shared" si="5"/>
        <v>2.9209677419354838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345</v>
      </c>
      <c r="I32" s="21">
        <f t="shared" si="12"/>
        <v>82</v>
      </c>
      <c r="J32" s="22">
        <f t="shared" si="0"/>
        <v>0.1786492374727669</v>
      </c>
      <c r="K32" s="20">
        <v>1</v>
      </c>
      <c r="L32" s="21">
        <v>1</v>
      </c>
      <c r="M32" s="22">
        <f t="shared" si="1"/>
        <v>1</v>
      </c>
      <c r="N32" s="20">
        <f t="shared" si="2"/>
        <v>1.2195121951219513E-2</v>
      </c>
      <c r="O32" s="23">
        <f>AVERAGE(O31,O20,O26)</f>
        <v>1</v>
      </c>
      <c r="P32" s="20">
        <f>+P31+P26+P20</f>
        <v>46</v>
      </c>
      <c r="Q32" s="21">
        <f t="shared" ref="Q32" si="13">+Q31+Q26+Q20</f>
        <v>40</v>
      </c>
      <c r="R32" s="22">
        <f t="shared" si="3"/>
        <v>0.86956521739130432</v>
      </c>
      <c r="S32" s="20">
        <f>+S31+S26+S20</f>
        <v>128.72499999999999</v>
      </c>
      <c r="T32" s="21">
        <f t="shared" ref="T32" si="14">+T31+T26+T20</f>
        <v>99.55</v>
      </c>
      <c r="U32" s="22">
        <f t="shared" si="4"/>
        <v>0.77335404932996699</v>
      </c>
      <c r="V32" s="20">
        <f t="shared" si="5"/>
        <v>2.48875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8"/>
  <sheetViews>
    <sheetView tabSelected="1" topLeftCell="D1" workbookViewId="0">
      <selection activeCell="I5" sqref="I5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26</v>
      </c>
      <c r="B2" s="24">
        <v>26</v>
      </c>
      <c r="C2" s="62">
        <f>+B2/A2</f>
        <v>1</v>
      </c>
      <c r="D2" s="91">
        <f>+A2-B2</f>
        <v>0</v>
      </c>
      <c r="F2" s="89">
        <v>46295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99" t="s">
        <v>23</v>
      </c>
      <c r="G4" s="30">
        <v>600</v>
      </c>
      <c r="H4" s="68"/>
      <c r="I4" s="31">
        <v>333</v>
      </c>
      <c r="J4" s="67">
        <f>IFERROR(I4/G4,0)</f>
        <v>0.55500000000000005</v>
      </c>
      <c r="K4" s="7">
        <v>550</v>
      </c>
      <c r="L4" s="8">
        <v>354</v>
      </c>
      <c r="M4" s="82">
        <f>IFERROR(L4/K4,0)</f>
        <v>0.64363636363636367</v>
      </c>
      <c r="N4" s="8">
        <f t="shared" ref="N4:N7" si="0">K4-L4</f>
        <v>196</v>
      </c>
      <c r="O4" s="10" t="e">
        <f t="shared" ref="O4:O7" si="1">N4/$D$2</f>
        <v>#DIV/0!</v>
      </c>
      <c r="P4" s="68">
        <f t="shared" ref="P4:P12" si="2">L4/I4</f>
        <v>1.0630630630630631</v>
      </c>
      <c r="Q4" s="33"/>
      <c r="R4" s="34"/>
    </row>
    <row r="5" spans="1:18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71"/>
      <c r="I5" s="12">
        <v>362</v>
      </c>
      <c r="J5" s="69">
        <f t="shared" ref="J5:J28" si="3">IFERROR(I5/G5,0)</f>
        <v>0.60333333333333339</v>
      </c>
      <c r="K5" s="11">
        <v>450</v>
      </c>
      <c r="L5" s="12">
        <v>267</v>
      </c>
      <c r="M5" s="70">
        <f t="shared" ref="M5:M28" si="4">IFERROR(L5/K5,0)</f>
        <v>0.59333333333333338</v>
      </c>
      <c r="N5" s="12">
        <f t="shared" si="0"/>
        <v>183</v>
      </c>
      <c r="O5" s="14" t="e">
        <f t="shared" si="1"/>
        <v>#DIV/0!</v>
      </c>
      <c r="P5" s="71">
        <f t="shared" si="2"/>
        <v>0.73756906077348061</v>
      </c>
      <c r="Q5" s="14"/>
      <c r="R5" s="34"/>
    </row>
    <row r="6" spans="1:18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600</v>
      </c>
      <c r="H6" s="71"/>
      <c r="I6" s="12">
        <v>150</v>
      </c>
      <c r="J6" s="69">
        <f t="shared" si="3"/>
        <v>0.25</v>
      </c>
      <c r="K6" s="11">
        <v>550</v>
      </c>
      <c r="L6" s="12">
        <v>212</v>
      </c>
      <c r="M6" s="70">
        <f t="shared" si="4"/>
        <v>0.38545454545454544</v>
      </c>
      <c r="N6" s="12">
        <f t="shared" si="0"/>
        <v>338</v>
      </c>
      <c r="O6" s="14" t="e">
        <f t="shared" si="1"/>
        <v>#DIV/0!</v>
      </c>
      <c r="P6" s="71">
        <f t="shared" si="2"/>
        <v>1.4133333333333333</v>
      </c>
      <c r="Q6" s="14"/>
      <c r="R6" s="34"/>
    </row>
    <row r="7" spans="1:18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600</v>
      </c>
      <c r="H7" s="71"/>
      <c r="I7" s="12">
        <v>145</v>
      </c>
      <c r="J7" s="69">
        <f t="shared" si="3"/>
        <v>0.24166666666666667</v>
      </c>
      <c r="K7" s="11">
        <v>400</v>
      </c>
      <c r="L7" s="12">
        <v>180</v>
      </c>
      <c r="M7" s="70">
        <f t="shared" si="4"/>
        <v>0.45</v>
      </c>
      <c r="N7" s="12">
        <f t="shared" si="0"/>
        <v>220</v>
      </c>
      <c r="O7" s="14" t="e">
        <f t="shared" si="1"/>
        <v>#DIV/0!</v>
      </c>
      <c r="P7" s="71">
        <f t="shared" si="2"/>
        <v>1.2413793103448276</v>
      </c>
      <c r="Q7" s="14"/>
      <c r="R7" s="34"/>
    </row>
    <row r="8" spans="1:18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600</v>
      </c>
      <c r="H8" s="71"/>
      <c r="I8" s="12">
        <v>119</v>
      </c>
      <c r="J8" s="69">
        <f t="shared" si="3"/>
        <v>0.19833333333333333</v>
      </c>
      <c r="K8" s="11">
        <v>575</v>
      </c>
      <c r="L8" s="12">
        <v>133</v>
      </c>
      <c r="M8" s="70">
        <f t="shared" si="4"/>
        <v>0.23130434782608697</v>
      </c>
      <c r="N8" s="12">
        <f t="shared" ref="N8:N28" si="5">K8-L8</f>
        <v>442</v>
      </c>
      <c r="O8" s="14" t="e">
        <f t="shared" ref="O8:O28" si="6">N8/$D$2</f>
        <v>#DIV/0!</v>
      </c>
      <c r="P8" s="71">
        <f t="shared" si="2"/>
        <v>1.1176470588235294</v>
      </c>
      <c r="Q8" s="14"/>
      <c r="R8" s="34"/>
    </row>
    <row r="9" spans="1:18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200</v>
      </c>
      <c r="H9" s="71"/>
      <c r="I9" s="12">
        <v>115</v>
      </c>
      <c r="J9" s="69">
        <f t="shared" si="3"/>
        <v>0.57499999999999996</v>
      </c>
      <c r="K9" s="11">
        <v>3000</v>
      </c>
      <c r="L9" s="12">
        <v>1921</v>
      </c>
      <c r="M9" s="70">
        <f t="shared" si="4"/>
        <v>0.64033333333333331</v>
      </c>
      <c r="N9" s="12">
        <f t="shared" si="5"/>
        <v>1079</v>
      </c>
      <c r="O9" s="14" t="e">
        <f t="shared" si="6"/>
        <v>#DIV/0!</v>
      </c>
      <c r="P9" s="71">
        <f t="shared" si="2"/>
        <v>16.704347826086956</v>
      </c>
      <c r="Q9" s="14"/>
      <c r="R9" s="34"/>
    </row>
    <row r="10" spans="1:18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600</v>
      </c>
      <c r="H10" s="71"/>
      <c r="I10" s="12"/>
      <c r="J10" s="69">
        <f t="shared" si="3"/>
        <v>0</v>
      </c>
      <c r="K10" s="11">
        <v>650</v>
      </c>
      <c r="L10" s="12"/>
      <c r="M10" s="70">
        <f t="shared" si="4"/>
        <v>0</v>
      </c>
      <c r="N10" s="12">
        <f t="shared" si="5"/>
        <v>650</v>
      </c>
      <c r="O10" s="14" t="e">
        <f t="shared" si="6"/>
        <v>#DIV/0!</v>
      </c>
      <c r="P10" s="71" t="e">
        <f t="shared" si="2"/>
        <v>#DIV/0!</v>
      </c>
      <c r="Q10" s="14"/>
      <c r="R10" s="34"/>
    </row>
    <row r="11" spans="1:18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71"/>
      <c r="I11" s="12"/>
      <c r="J11" s="69">
        <f t="shared" si="3"/>
        <v>0</v>
      </c>
      <c r="K11" s="11">
        <v>550</v>
      </c>
      <c r="L11" s="12"/>
      <c r="M11" s="70">
        <f t="shared" si="4"/>
        <v>0</v>
      </c>
      <c r="N11" s="12">
        <f t="shared" si="5"/>
        <v>550</v>
      </c>
      <c r="O11" s="14" t="e">
        <f t="shared" si="6"/>
        <v>#DIV/0!</v>
      </c>
      <c r="P11" s="71" t="e">
        <f t="shared" si="2"/>
        <v>#DIV/0!</v>
      </c>
      <c r="Q11" s="14"/>
      <c r="R11" s="34"/>
    </row>
    <row r="12" spans="1:1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71"/>
      <c r="I12" s="12"/>
      <c r="J12" s="69">
        <f t="shared" si="3"/>
        <v>0</v>
      </c>
      <c r="K12" s="11">
        <v>450</v>
      </c>
      <c r="L12" s="12"/>
      <c r="M12" s="70">
        <f t="shared" si="4"/>
        <v>0</v>
      </c>
      <c r="N12" s="12">
        <f t="shared" si="5"/>
        <v>450</v>
      </c>
      <c r="O12" s="14" t="e">
        <f t="shared" si="6"/>
        <v>#DIV/0!</v>
      </c>
      <c r="P12" s="71" t="e">
        <f t="shared" si="2"/>
        <v>#DIV/0!</v>
      </c>
      <c r="Q12" s="14"/>
      <c r="R12" s="34"/>
    </row>
    <row r="13" spans="1:1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00" t="s">
        <v>66</v>
      </c>
      <c r="G13" s="11">
        <v>0</v>
      </c>
      <c r="H13" s="71"/>
      <c r="I13" s="12">
        <v>1</v>
      </c>
      <c r="J13" s="69">
        <f t="shared" si="3"/>
        <v>0</v>
      </c>
      <c r="K13" s="11">
        <v>100</v>
      </c>
      <c r="L13" s="12">
        <v>100</v>
      </c>
      <c r="M13" s="70">
        <f t="shared" si="4"/>
        <v>1</v>
      </c>
      <c r="N13" s="12">
        <f t="shared" si="5"/>
        <v>0</v>
      </c>
      <c r="O13" s="14" t="e">
        <f t="shared" si="6"/>
        <v>#DIV/0!</v>
      </c>
      <c r="P13" s="71"/>
      <c r="Q13" s="14"/>
      <c r="R13" s="34"/>
    </row>
    <row r="14" spans="1:1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100" t="s">
        <v>67</v>
      </c>
      <c r="G14" s="11"/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 t="e">
        <f t="shared" si="6"/>
        <v>#DIV/0!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101" t="s">
        <v>68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 t="e">
        <f t="shared" si="6"/>
        <v>#DIV/0!</v>
      </c>
      <c r="P15" s="71"/>
      <c r="Q15" s="14"/>
      <c r="R15" s="34"/>
    </row>
    <row r="16" spans="1:18" ht="15" thickBot="1" x14ac:dyDescent="0.4">
      <c r="A16" s="35" t="s">
        <v>20</v>
      </c>
      <c r="B16" s="26" t="s">
        <v>20</v>
      </c>
      <c r="C16" s="51" t="s">
        <v>21</v>
      </c>
      <c r="D16" s="105" t="s">
        <v>18</v>
      </c>
      <c r="E16" s="106"/>
      <c r="F16" s="107"/>
      <c r="G16" s="40">
        <f>SUM(G4:G13)</f>
        <v>5000</v>
      </c>
      <c r="H16" s="41">
        <f>SUM(H4:H12)</f>
        <v>0</v>
      </c>
      <c r="I16" s="41">
        <f>SUM(I4:I12)</f>
        <v>1224</v>
      </c>
      <c r="J16" s="75">
        <f t="shared" si="3"/>
        <v>0.24479999999999999</v>
      </c>
      <c r="K16" s="76">
        <f>SUM(K4:K15)</f>
        <v>7275</v>
      </c>
      <c r="L16" s="77">
        <f>SUM(L4:L15)</f>
        <v>3167</v>
      </c>
      <c r="M16" s="78">
        <f t="shared" si="4"/>
        <v>0.43532646048109963</v>
      </c>
      <c r="N16" s="77">
        <f t="shared" si="5"/>
        <v>4108</v>
      </c>
      <c r="O16" s="79" t="e">
        <f t="shared" si="6"/>
        <v>#DIV/0!</v>
      </c>
      <c r="P16" s="80">
        <f>L16/I16</f>
        <v>2.5874183006535949</v>
      </c>
      <c r="Q16" s="43" t="e">
        <f>AVERAGE(Q4:Q15)</f>
        <v>#DIV/0!</v>
      </c>
      <c r="R16" s="44"/>
    </row>
    <row r="17" spans="1:18" x14ac:dyDescent="0.35">
      <c r="A17" s="35" t="s">
        <v>20</v>
      </c>
      <c r="B17" s="26" t="s">
        <v>20</v>
      </c>
      <c r="C17" s="16" t="s">
        <v>21</v>
      </c>
      <c r="D17" s="15" t="s">
        <v>26</v>
      </c>
      <c r="E17" s="15" t="s">
        <v>27</v>
      </c>
      <c r="F17" s="95" t="s">
        <v>56</v>
      </c>
      <c r="G17" s="7">
        <v>1</v>
      </c>
      <c r="H17" s="96"/>
      <c r="I17" s="8">
        <v>1</v>
      </c>
      <c r="J17" s="81">
        <f t="shared" si="3"/>
        <v>1</v>
      </c>
      <c r="K17" s="7">
        <v>600</v>
      </c>
      <c r="L17" s="8">
        <v>174.3</v>
      </c>
      <c r="M17" s="82">
        <f t="shared" si="4"/>
        <v>0.29050000000000004</v>
      </c>
      <c r="N17" s="8">
        <f t="shared" si="5"/>
        <v>425.7</v>
      </c>
      <c r="O17" s="10" t="e">
        <f t="shared" si="6"/>
        <v>#DIV/0!</v>
      </c>
      <c r="P17" s="96">
        <f t="shared" ref="P17:P21" si="7">L17/I17</f>
        <v>174.3</v>
      </c>
      <c r="Q17" s="10"/>
      <c r="R17" s="34"/>
    </row>
    <row r="18" spans="1:18" x14ac:dyDescent="0.35">
      <c r="A18" s="35" t="s">
        <v>20</v>
      </c>
      <c r="B18" s="26" t="s">
        <v>20</v>
      </c>
      <c r="C18" s="16" t="s">
        <v>21</v>
      </c>
      <c r="D18" s="16" t="s">
        <v>26</v>
      </c>
      <c r="E18" s="16" t="s">
        <v>27</v>
      </c>
      <c r="F18" s="97" t="s">
        <v>28</v>
      </c>
      <c r="G18" s="11">
        <v>1</v>
      </c>
      <c r="H18" s="71"/>
      <c r="I18" s="12">
        <v>1</v>
      </c>
      <c r="J18" s="69">
        <f t="shared" si="3"/>
        <v>1</v>
      </c>
      <c r="K18" s="11">
        <v>600</v>
      </c>
      <c r="L18" s="12">
        <v>174.3</v>
      </c>
      <c r="M18" s="70">
        <f t="shared" si="4"/>
        <v>0.29050000000000004</v>
      </c>
      <c r="N18" s="12">
        <f t="shared" si="5"/>
        <v>425.7</v>
      </c>
      <c r="O18" s="14" t="e">
        <f t="shared" si="6"/>
        <v>#DIV/0!</v>
      </c>
      <c r="P18" s="71">
        <f t="shared" si="7"/>
        <v>174.3</v>
      </c>
      <c r="Q18" s="14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29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 t="e">
        <f t="shared" si="6"/>
        <v>#DIV/0!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30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 t="e">
        <f t="shared" si="6"/>
        <v>#DIV/0!</v>
      </c>
      <c r="P20" s="71">
        <f t="shared" si="7"/>
        <v>174.3</v>
      </c>
      <c r="Q20" s="14"/>
      <c r="R20" s="34"/>
    </row>
    <row r="21" spans="1:18" ht="15" thickBot="1" x14ac:dyDescent="0.4">
      <c r="A21" s="35" t="s">
        <v>20</v>
      </c>
      <c r="B21" s="26" t="s">
        <v>20</v>
      </c>
      <c r="C21" s="16" t="s">
        <v>21</v>
      </c>
      <c r="D21" s="19" t="s">
        <v>26</v>
      </c>
      <c r="E21" s="19" t="s">
        <v>27</v>
      </c>
      <c r="F21" s="98" t="s">
        <v>38</v>
      </c>
      <c r="G21" s="36">
        <v>1</v>
      </c>
      <c r="H21" s="74"/>
      <c r="I21" s="37">
        <v>1</v>
      </c>
      <c r="J21" s="72">
        <f t="shared" si="3"/>
        <v>1</v>
      </c>
      <c r="K21" s="92">
        <v>600</v>
      </c>
      <c r="L21" s="93">
        <v>174.3</v>
      </c>
      <c r="M21" s="73">
        <f t="shared" si="4"/>
        <v>0.29050000000000004</v>
      </c>
      <c r="N21" s="93">
        <f t="shared" si="5"/>
        <v>425.7</v>
      </c>
      <c r="O21" s="94" t="e">
        <f t="shared" si="6"/>
        <v>#DIV/0!</v>
      </c>
      <c r="P21" s="74">
        <f t="shared" si="7"/>
        <v>174.3</v>
      </c>
      <c r="Q21" s="39">
        <v>1</v>
      </c>
      <c r="R21" s="34"/>
    </row>
    <row r="22" spans="1:18" ht="15" thickBot="1" x14ac:dyDescent="0.4">
      <c r="A22" s="35" t="s">
        <v>20</v>
      </c>
      <c r="B22" s="26" t="s">
        <v>20</v>
      </c>
      <c r="C22" s="51" t="s">
        <v>21</v>
      </c>
      <c r="D22" s="105" t="s">
        <v>18</v>
      </c>
      <c r="E22" s="106"/>
      <c r="F22" s="107"/>
      <c r="G22" s="40">
        <f>SUM(G17:G21)</f>
        <v>5</v>
      </c>
      <c r="H22" s="41">
        <f t="shared" ref="H22:I22" si="8">SUM(H17:H21)</f>
        <v>0</v>
      </c>
      <c r="I22" s="41">
        <f t="shared" si="8"/>
        <v>5</v>
      </c>
      <c r="J22" s="75">
        <f t="shared" si="3"/>
        <v>1</v>
      </c>
      <c r="K22" s="76">
        <v>600</v>
      </c>
      <c r="L22" s="77">
        <v>174.3</v>
      </c>
      <c r="M22" s="78">
        <f t="shared" si="4"/>
        <v>0.29050000000000004</v>
      </c>
      <c r="N22" s="77">
        <f t="shared" si="5"/>
        <v>425.7</v>
      </c>
      <c r="O22" s="79" t="e">
        <f t="shared" si="6"/>
        <v>#DIV/0!</v>
      </c>
      <c r="P22" s="80">
        <f>L22/I22</f>
        <v>34.86</v>
      </c>
      <c r="Q22" s="43">
        <f>AVERAGE(Q17:Q21)</f>
        <v>1</v>
      </c>
      <c r="R22" s="44"/>
    </row>
    <row r="23" spans="1:18" x14ac:dyDescent="0.35">
      <c r="A23" s="35" t="s">
        <v>20</v>
      </c>
      <c r="B23" s="26" t="s">
        <v>20</v>
      </c>
      <c r="C23" s="16" t="s">
        <v>21</v>
      </c>
      <c r="D23" s="15" t="s">
        <v>31</v>
      </c>
      <c r="E23" s="15" t="s">
        <v>32</v>
      </c>
      <c r="F23" s="95" t="s">
        <v>39</v>
      </c>
      <c r="G23" s="7">
        <v>1</v>
      </c>
      <c r="H23" s="96"/>
      <c r="I23" s="8">
        <v>1</v>
      </c>
      <c r="J23" s="81">
        <f t="shared" si="3"/>
        <v>1</v>
      </c>
      <c r="K23" s="7">
        <v>600</v>
      </c>
      <c r="L23" s="8">
        <v>174.3</v>
      </c>
      <c r="M23" s="82">
        <f t="shared" si="4"/>
        <v>0.29050000000000004</v>
      </c>
      <c r="N23" s="8">
        <f t="shared" si="5"/>
        <v>425.7</v>
      </c>
      <c r="O23" s="10" t="e">
        <f t="shared" si="6"/>
        <v>#DIV/0!</v>
      </c>
      <c r="P23" s="96">
        <f t="shared" ref="P23:P26" si="9">L23/I23</f>
        <v>174.3</v>
      </c>
      <c r="Q23" s="10"/>
      <c r="R23" s="34"/>
    </row>
    <row r="24" spans="1:18" x14ac:dyDescent="0.35">
      <c r="A24" s="35" t="s">
        <v>20</v>
      </c>
      <c r="B24" s="26" t="s">
        <v>20</v>
      </c>
      <c r="C24" s="16" t="s">
        <v>21</v>
      </c>
      <c r="D24" s="16" t="s">
        <v>31</v>
      </c>
      <c r="E24" s="16" t="s">
        <v>32</v>
      </c>
      <c r="F24" s="97" t="s">
        <v>57</v>
      </c>
      <c r="G24" s="11">
        <v>1</v>
      </c>
      <c r="H24" s="71"/>
      <c r="I24" s="12">
        <v>1</v>
      </c>
      <c r="J24" s="69">
        <f t="shared" si="3"/>
        <v>1</v>
      </c>
      <c r="K24" s="11">
        <v>600</v>
      </c>
      <c r="L24" s="12">
        <v>174.3</v>
      </c>
      <c r="M24" s="70">
        <f t="shared" si="4"/>
        <v>0.29050000000000004</v>
      </c>
      <c r="N24" s="12">
        <f t="shared" si="5"/>
        <v>425.7</v>
      </c>
      <c r="O24" s="14" t="e">
        <f t="shared" si="6"/>
        <v>#DIV/0!</v>
      </c>
      <c r="P24" s="71">
        <f t="shared" si="9"/>
        <v>174.3</v>
      </c>
      <c r="Q24" s="14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40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 t="e">
        <f t="shared" si="6"/>
        <v>#DIV/0!</v>
      </c>
      <c r="P25" s="71">
        <f t="shared" si="9"/>
        <v>174.3</v>
      </c>
      <c r="Q25" s="14"/>
      <c r="R25" s="34"/>
    </row>
    <row r="26" spans="1:18" ht="15" thickBot="1" x14ac:dyDescent="0.4">
      <c r="A26" s="35" t="s">
        <v>20</v>
      </c>
      <c r="B26" s="26" t="s">
        <v>20</v>
      </c>
      <c r="C26" s="16" t="s">
        <v>21</v>
      </c>
      <c r="D26" s="19" t="s">
        <v>31</v>
      </c>
      <c r="E26" s="19" t="s">
        <v>32</v>
      </c>
      <c r="F26" s="98" t="s">
        <v>58</v>
      </c>
      <c r="G26" s="36">
        <v>1</v>
      </c>
      <c r="H26" s="74"/>
      <c r="I26" s="37">
        <v>1</v>
      </c>
      <c r="J26" s="72">
        <f t="shared" si="3"/>
        <v>1</v>
      </c>
      <c r="K26" s="92">
        <v>600</v>
      </c>
      <c r="L26" s="93">
        <v>174.3</v>
      </c>
      <c r="M26" s="73">
        <f t="shared" si="4"/>
        <v>0.29050000000000004</v>
      </c>
      <c r="N26" s="93">
        <f t="shared" si="5"/>
        <v>425.7</v>
      </c>
      <c r="O26" s="94" t="e">
        <f t="shared" si="6"/>
        <v>#DIV/0!</v>
      </c>
      <c r="P26" s="74">
        <f t="shared" si="9"/>
        <v>174.3</v>
      </c>
      <c r="Q26" s="39">
        <v>1</v>
      </c>
      <c r="R26" s="34"/>
    </row>
    <row r="27" spans="1:18" ht="15" thickBot="1" x14ac:dyDescent="0.4">
      <c r="A27" s="35" t="s">
        <v>20</v>
      </c>
      <c r="B27" s="54" t="s">
        <v>20</v>
      </c>
      <c r="C27" s="55" t="s">
        <v>21</v>
      </c>
      <c r="D27" s="105" t="s">
        <v>18</v>
      </c>
      <c r="E27" s="106"/>
      <c r="F27" s="107"/>
      <c r="G27" s="40">
        <f>SUM(G23:G26)</f>
        <v>4</v>
      </c>
      <c r="H27" s="80"/>
      <c r="I27" s="41">
        <f t="shared" ref="I27" si="10">SUM(I23:I26)</f>
        <v>4</v>
      </c>
      <c r="J27" s="75">
        <f t="shared" si="3"/>
        <v>1</v>
      </c>
      <c r="K27" s="76">
        <v>600</v>
      </c>
      <c r="L27" s="77">
        <v>174.3</v>
      </c>
      <c r="M27" s="78">
        <f t="shared" si="4"/>
        <v>0.29050000000000004</v>
      </c>
      <c r="N27" s="77">
        <f t="shared" si="5"/>
        <v>425.7</v>
      </c>
      <c r="O27" s="79" t="e">
        <f t="shared" si="6"/>
        <v>#DIV/0!</v>
      </c>
      <c r="P27" s="80">
        <f>L27/I27</f>
        <v>43.575000000000003</v>
      </c>
      <c r="Q27" s="43">
        <f>AVERAGE(Q23:Q26)</f>
        <v>1</v>
      </c>
      <c r="R27" s="44"/>
    </row>
    <row r="28" spans="1:18" ht="15" thickBot="1" x14ac:dyDescent="0.4">
      <c r="A28" s="45" t="s">
        <v>20</v>
      </c>
      <c r="B28" s="56" t="s">
        <v>33</v>
      </c>
      <c r="C28" s="57"/>
      <c r="D28" s="57"/>
      <c r="E28" s="57"/>
      <c r="F28" s="57"/>
      <c r="G28" s="20">
        <f>+G27+G22+G16</f>
        <v>5009</v>
      </c>
      <c r="H28" s="21">
        <f t="shared" ref="H28:I28" si="11">+H27+H22+H16</f>
        <v>0</v>
      </c>
      <c r="I28" s="21">
        <f t="shared" si="11"/>
        <v>1233</v>
      </c>
      <c r="J28" s="83">
        <f t="shared" si="3"/>
        <v>0.24615691754841285</v>
      </c>
      <c r="K28" s="84">
        <v>600</v>
      </c>
      <c r="L28" s="85">
        <v>174.3</v>
      </c>
      <c r="M28" s="86">
        <f t="shared" si="4"/>
        <v>0.29050000000000004</v>
      </c>
      <c r="N28" s="85">
        <f t="shared" si="5"/>
        <v>425.7</v>
      </c>
      <c r="O28" s="87" t="e">
        <f t="shared" si="6"/>
        <v>#DIV/0!</v>
      </c>
      <c r="P28" s="88">
        <f>L28/I28</f>
        <v>0.14136253041362531</v>
      </c>
      <c r="Q28" s="23" t="e">
        <f>AVERAGE(Q27,Q16,Q22)</f>
        <v>#DIV/0!</v>
      </c>
      <c r="R28" s="34"/>
    </row>
  </sheetData>
  <mergeCells count="6">
    <mergeCell ref="D16:F16"/>
    <mergeCell ref="D22:F22"/>
    <mergeCell ref="D27:F27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Today Performance</vt:lpstr>
      <vt:lpstr>Till Todate Performance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2026-10-02T12:22:47Z</dcterms:modified>
</cp:coreProperties>
</file>