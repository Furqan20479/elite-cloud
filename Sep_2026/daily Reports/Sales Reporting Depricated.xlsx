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5B840CC2-5C5B-4B00-B0EB-09E0CB0A90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day Performance" sheetId="1" r:id="rId1"/>
    <sheet name="Till To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2" l="1"/>
  <c r="L20" i="1"/>
  <c r="K20" i="1"/>
  <c r="L12" i="2"/>
  <c r="L11" i="2"/>
  <c r="I12" i="2"/>
  <c r="I11" i="2"/>
  <c r="I10" i="2"/>
  <c r="I9" i="2"/>
  <c r="I8" i="2"/>
  <c r="I7" i="2"/>
  <c r="I6" i="2"/>
  <c r="I4" i="2"/>
  <c r="I5" i="2" l="1"/>
  <c r="M4" i="1" l="1"/>
  <c r="N4" i="1"/>
  <c r="L16" i="2"/>
  <c r="G16" i="2"/>
  <c r="K16" i="2"/>
  <c r="H31" i="1" l="1"/>
  <c r="H26" i="1"/>
  <c r="H20" i="1"/>
  <c r="H32" i="1" l="1"/>
  <c r="H16" i="2" l="1"/>
  <c r="H22" i="2"/>
  <c r="H28" i="2" s="1"/>
  <c r="Q16" i="2"/>
  <c r="W31" i="1"/>
  <c r="W32" i="1" s="1"/>
  <c r="W26" i="1"/>
  <c r="W20" i="1"/>
  <c r="O20" i="1"/>
  <c r="V30" i="1"/>
  <c r="V29" i="1"/>
  <c r="V28" i="1"/>
  <c r="V27" i="1"/>
  <c r="V25" i="1"/>
  <c r="V24" i="1"/>
  <c r="V23" i="1"/>
  <c r="V22" i="1"/>
  <c r="V21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N30" i="1"/>
  <c r="N29" i="1"/>
  <c r="N28" i="1"/>
  <c r="N27" i="1"/>
  <c r="N25" i="1"/>
  <c r="N24" i="1"/>
  <c r="N23" i="1"/>
  <c r="N22" i="1"/>
  <c r="N21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J26" i="2"/>
  <c r="J25" i="2"/>
  <c r="J24" i="2"/>
  <c r="J23" i="2"/>
  <c r="J21" i="2"/>
  <c r="J20" i="2"/>
  <c r="J19" i="2"/>
  <c r="J18" i="2"/>
  <c r="J17" i="2"/>
  <c r="J15" i="2"/>
  <c r="J14" i="2"/>
  <c r="J13" i="2"/>
  <c r="J12" i="2"/>
  <c r="J11" i="2"/>
  <c r="J10" i="2"/>
  <c r="J9" i="2"/>
  <c r="J8" i="2"/>
  <c r="J7" i="2"/>
  <c r="J6" i="2"/>
  <c r="J5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J4" i="2"/>
  <c r="U30" i="1"/>
  <c r="U29" i="1"/>
  <c r="U28" i="1"/>
  <c r="U27" i="1"/>
  <c r="U25" i="1"/>
  <c r="U24" i="1"/>
  <c r="U23" i="1"/>
  <c r="U22" i="1"/>
  <c r="U21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R30" i="1"/>
  <c r="R29" i="1"/>
  <c r="R28" i="1"/>
  <c r="R27" i="1"/>
  <c r="R25" i="1"/>
  <c r="R24" i="1"/>
  <c r="R23" i="1"/>
  <c r="R22" i="1"/>
  <c r="R21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M32" i="1"/>
  <c r="M31" i="1"/>
  <c r="M30" i="1"/>
  <c r="J30" i="1"/>
  <c r="M29" i="1"/>
  <c r="J29" i="1"/>
  <c r="M28" i="1"/>
  <c r="J28" i="1"/>
  <c r="M27" i="1"/>
  <c r="J27" i="1"/>
  <c r="M26" i="1"/>
  <c r="M25" i="1"/>
  <c r="J25" i="1"/>
  <c r="M24" i="1"/>
  <c r="J24" i="1"/>
  <c r="M23" i="1"/>
  <c r="J23" i="1"/>
  <c r="M22" i="1"/>
  <c r="J22" i="1"/>
  <c r="M21" i="1"/>
  <c r="J21" i="1"/>
  <c r="M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J4" i="1"/>
  <c r="Q27" i="2" l="1"/>
  <c r="N27" i="2"/>
  <c r="I27" i="2"/>
  <c r="G27" i="2"/>
  <c r="P26" i="2"/>
  <c r="N26" i="2"/>
  <c r="P25" i="2"/>
  <c r="N25" i="2"/>
  <c r="P24" i="2"/>
  <c r="N24" i="2"/>
  <c r="P23" i="2"/>
  <c r="N23" i="2"/>
  <c r="Q22" i="2"/>
  <c r="N22" i="2"/>
  <c r="I22" i="2"/>
  <c r="G22" i="2"/>
  <c r="P21" i="2"/>
  <c r="N21" i="2"/>
  <c r="P20" i="2"/>
  <c r="N20" i="2"/>
  <c r="P19" i="2"/>
  <c r="N19" i="2"/>
  <c r="P18" i="2"/>
  <c r="N18" i="2"/>
  <c r="P17" i="2"/>
  <c r="N17" i="2"/>
  <c r="I16" i="2"/>
  <c r="N15" i="2"/>
  <c r="N14" i="2"/>
  <c r="N13" i="2"/>
  <c r="P12" i="2"/>
  <c r="N12" i="2"/>
  <c r="P11" i="2"/>
  <c r="N11" i="2"/>
  <c r="P10" i="2"/>
  <c r="N10" i="2"/>
  <c r="P9" i="2"/>
  <c r="N9" i="2"/>
  <c r="P8" i="2"/>
  <c r="N8" i="2"/>
  <c r="P7" i="2"/>
  <c r="N7" i="2"/>
  <c r="P6" i="2"/>
  <c r="N6" i="2"/>
  <c r="P5" i="2"/>
  <c r="N5" i="2"/>
  <c r="P4" i="2"/>
  <c r="N4" i="2"/>
  <c r="D2" i="2"/>
  <c r="C2" i="2"/>
  <c r="T20" i="1"/>
  <c r="S20" i="1"/>
  <c r="Q20" i="1"/>
  <c r="P20" i="1"/>
  <c r="I20" i="1"/>
  <c r="G20" i="1"/>
  <c r="T31" i="1"/>
  <c r="S31" i="1"/>
  <c r="Q31" i="1"/>
  <c r="R31" i="1" s="1"/>
  <c r="P31" i="1"/>
  <c r="O31" i="1"/>
  <c r="I31" i="1"/>
  <c r="G31" i="1"/>
  <c r="T26" i="1"/>
  <c r="S26" i="1"/>
  <c r="Q26" i="1"/>
  <c r="R26" i="1" s="1"/>
  <c r="P26" i="1"/>
  <c r="O26" i="1"/>
  <c r="I26" i="1"/>
  <c r="G26" i="1"/>
  <c r="O23" i="2" l="1"/>
  <c r="O25" i="2"/>
  <c r="U31" i="1"/>
  <c r="V31" i="1"/>
  <c r="J16" i="2"/>
  <c r="J22" i="2"/>
  <c r="J27" i="2"/>
  <c r="G28" i="2"/>
  <c r="V26" i="1"/>
  <c r="U26" i="1"/>
  <c r="O27" i="2"/>
  <c r="J26" i="1"/>
  <c r="N26" i="1"/>
  <c r="N31" i="1"/>
  <c r="J31" i="1"/>
  <c r="J20" i="1"/>
  <c r="N20" i="1"/>
  <c r="R20" i="1"/>
  <c r="U20" i="1"/>
  <c r="V20" i="1"/>
  <c r="P27" i="2"/>
  <c r="N16" i="2"/>
  <c r="O16" i="2" s="1"/>
  <c r="O13" i="2"/>
  <c r="O4" i="2"/>
  <c r="O6" i="2"/>
  <c r="O8" i="2"/>
  <c r="O9" i="2"/>
  <c r="O11" i="2"/>
  <c r="O14" i="2"/>
  <c r="O20" i="2"/>
  <c r="O7" i="2"/>
  <c r="P16" i="2"/>
  <c r="O22" i="2"/>
  <c r="P22" i="2"/>
  <c r="O24" i="2"/>
  <c r="O26" i="2"/>
  <c r="O18" i="2"/>
  <c r="O10" i="2"/>
  <c r="O17" i="2"/>
  <c r="O19" i="2"/>
  <c r="I28" i="2"/>
  <c r="O5" i="2"/>
  <c r="O12" i="2"/>
  <c r="O15" i="2"/>
  <c r="O21" i="2"/>
  <c r="S32" i="1"/>
  <c r="P32" i="1"/>
  <c r="G32" i="1"/>
  <c r="T32" i="1"/>
  <c r="I32" i="1"/>
  <c r="Q32" i="1"/>
  <c r="J28" i="2" l="1"/>
  <c r="R32" i="1"/>
  <c r="J32" i="1"/>
  <c r="N32" i="1"/>
  <c r="V32" i="1"/>
  <c r="U32" i="1"/>
  <c r="N28" i="2"/>
  <c r="O28" i="2" s="1"/>
  <c r="Q28" i="2"/>
  <c r="P28" i="2"/>
  <c r="O32" i="1"/>
</calcChain>
</file>

<file path=xl/sharedStrings.xml><?xml version="1.0" encoding="utf-8"?>
<sst xmlns="http://schemas.openxmlformats.org/spreadsheetml/2006/main" count="354" uniqueCount="69">
  <si>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</si>
  <si>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</si>
  <si>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</si>
  <si>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</si>
  <si>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</si>
  <si>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</si>
  <si>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</si>
  <si>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</si>
  <si>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</si>
  <si>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</si>
  <si>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</si>
  <si>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</si>
  <si>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</si>
  <si>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</si>
  <si>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</si>
  <si>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</si>
  <si>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</si>
  <si>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</si>
  <si>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</si>
  <si>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</si>
  <si>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</si>
  <si>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</si>
  <si>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</si>
  <si>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</si>
  <si>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</si>
  <si>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Shakoor LMT</t>
  </si>
  <si>
    <t>AHMED</t>
  </si>
  <si>
    <t xml:space="preserve">WASEEM BROTHER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</si>
  <si>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</si>
  <si>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</si>
  <si>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</si>
  <si>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</si>
  <si>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</si>
  <si>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</si>
  <si>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</si>
  <si>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</si>
  <si>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Target</t>
  </si>
  <si>
    <t>Ach(CTN)</t>
  </si>
  <si>
    <t>Nouman</t>
  </si>
  <si>
    <t>Shahzad Nayyar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</si>
  <si>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</si>
  <si>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</si>
  <si>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</si>
  <si>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</si>
  <si>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</si>
  <si>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</si>
  <si>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</si>
  <si>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</si>
  <si>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</si>
  <si>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</si>
  <si>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</si>
  <si>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Visit Shop</t>
  </si>
  <si>
    <t>Productive Shop</t>
  </si>
  <si>
    <t>Yasir</t>
  </si>
  <si>
    <t>Jabbar</t>
  </si>
  <si>
    <t>Rana Maqbool /Jan Muhamamd</t>
  </si>
  <si>
    <t>Jan Muhamamd</t>
  </si>
  <si>
    <t>M Salah /Muhammad Awais</t>
  </si>
  <si>
    <t>Azeem Arshad</t>
  </si>
  <si>
    <t xml:space="preserve">Umair </t>
  </si>
  <si>
    <t>Furqan</t>
  </si>
  <si>
    <t>Aqeel Malik (SD)</t>
  </si>
  <si>
    <t xml:space="preserve">Qasim Khan </t>
  </si>
  <si>
    <t>Kasoor</t>
  </si>
  <si>
    <t xml:space="preserve">Nabeel Traders </t>
  </si>
  <si>
    <t xml:space="preserve">Yasir </t>
  </si>
  <si>
    <t>Kasur</t>
  </si>
  <si>
    <t xml:space="preserve">Riwand </t>
  </si>
  <si>
    <t>Nabeel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</si>
</sst>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</font>
    <font>
      <sz val="11"/>
      <color rgb="FF000000"/>
      <name val="Calibri"/>
      <family val="2"/>
      <scheme val="minor"/>
    </font>
    <font>
      <b/>
      <sz val="11"/>
      <color rgb="FFFF000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1" fontId="0" fillId="0" borderId="33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6" fillId="6" borderId="13" xfId="0" applyFont="1" applyFill="1" applyBorder="1"/>
    <xf numFmtId="1" fontId="0" fillId="0" borderId="42" xfId="0" applyNumberFormat="1" applyBorder="1" applyAlignment="1">
      <alignment horizontal="center"/>
    </xf>
    <xf numFmtId="0" fontId="6" fillId="6" borderId="17" xfId="0" applyFont="1" applyFill="1" applyBorder="1"/>
    <xf numFmtId="0" fontId="6" fillId="6" borderId="22" xfId="0" applyFont="1" applyFill="1" applyBorder="1"/>
    <xf numFmtId="0" fontId="3" fillId="6" borderId="13" xfId="0" applyFont="1" applyFill="1" applyBorder="1"/>
    <xf numFmtId="0" fontId="7" fillId="6" borderId="17" xfId="0" applyFont="1" applyFill="1" applyBorder="1"/>
    <xf numFmtId="0" fontId="7" fillId="6" borderId="22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abSelected="1" workbookViewId="0">
      <selection activeCell="A4" sqref="A4"/>
    </sheetView>
  </sheetViews>
  <sheetFormatPr defaultRowHeight="14.5" x14ac:dyDescent="0.35"/>
  <cols>
    <col min="1" max="1" width="13.54296875" bestFit="1" customWidth="1"/>
    <col min="2" max="2" width="14.7265625" bestFit="1" customWidth="1"/>
    <col min="3" max="3" width="15.26953125" bestFit="1" customWidth="1"/>
    <col min="4" max="4" width="18.26953125" bestFit="1" customWidth="1"/>
    <col min="5" max="5" width="23.7265625" bestFit="1" customWidth="1"/>
    <col min="6" max="6" width="28.6328125" bestFit="1" customWidth="1"/>
    <col min="7" max="7" width="5.453125" style="24" bestFit="1" customWidth="1"/>
    <col min="8" max="8" width="5.453125" style="24" customWidth="1"/>
    <col min="9" max="9" width="7.7265625" bestFit="1" customWidth="1"/>
    <col min="10" max="10" width="5.54296875" customWidth="1"/>
    <col min="11" max="11" width="8.1796875" bestFit="1" customWidth="1"/>
    <col min="12" max="12" width="8.81640625" bestFit="1" customWidth="1"/>
    <col min="13" max="13" width="5.54296875" bestFit="1" customWidth="1"/>
    <col min="14" max="14" width="5.26953125" customWidth="1"/>
    <col min="15" max="15" width="8.54296875" bestFit="1" customWidth="1"/>
    <col min="16" max="16" width="7.7265625" bestFit="1" customWidth="1"/>
    <col min="17" max="17" width="9.453125" customWidth="1"/>
    <col min="18" max="18" width="5.54296875" bestFit="1" customWidth="1"/>
    <col min="19" max="19" width="7.7265625" bestFit="1" customWidth="1"/>
    <col min="20" max="20" width="9.7265625" customWidth="1"/>
    <col min="21" max="21" width="5.54296875" bestFit="1" customWidth="1"/>
    <col min="22" max="22" width="5.7265625" customWidth="1"/>
    <col min="23" max="23" width="5.453125" bestFit="1" customWidth="1"/>
    <col min="24" max="24" width="20.453125" customWidth="1"/>
  </cols>
  <sheetData>
    <row r="1" spans="1:24" ht="15" thickBot="1" x14ac:dyDescent="0.4">
      <c r="G1" s="108" t="s">
        <v>0</v>
      </c>
      <c r="H1" s="109"/>
      <c r="I1" s="109"/>
      <c r="J1" s="109"/>
      <c r="K1" s="109"/>
      <c r="L1" s="109"/>
      <c r="M1" s="109"/>
      <c r="N1" s="109"/>
      <c r="O1" s="110"/>
      <c r="P1" s="111" t="s">
        <v>1</v>
      </c>
      <c r="Q1" s="112"/>
      <c r="R1" s="112"/>
      <c r="S1" s="112"/>
      <c r="T1" s="112"/>
      <c r="U1" s="112"/>
      <c r="V1" s="112"/>
      <c r="W1" s="113"/>
    </row>
    <row r="2" spans="1:24" ht="15" thickBot="1" x14ac:dyDescent="0.4">
      <c r="F2" s="89">
        <v>46291</v>
      </c>
      <c r="G2" s="114" t="s">
        <v>2</v>
      </c>
      <c r="H2" s="115"/>
      <c r="I2" s="115"/>
      <c r="J2" s="116"/>
      <c r="K2" s="115" t="s">
        <v>3</v>
      </c>
      <c r="L2" s="115"/>
      <c r="M2" s="116"/>
      <c r="N2" s="1"/>
      <c r="O2" s="2"/>
      <c r="P2" s="114" t="s">
        <v>2</v>
      </c>
      <c r="Q2" s="115"/>
      <c r="R2" s="116"/>
      <c r="S2" s="115" t="s">
        <v>3</v>
      </c>
      <c r="T2" s="115"/>
      <c r="U2" s="116"/>
      <c r="V2" s="1"/>
      <c r="W2" s="2"/>
    </row>
    <row r="3" spans="1:24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6" t="s">
        <v>51</v>
      </c>
      <c r="I3" s="4" t="s">
        <v>11</v>
      </c>
      <c r="J3" s="5" t="s">
        <v>12</v>
      </c>
      <c r="K3" s="6" t="s">
        <v>13</v>
      </c>
      <c r="L3" s="4" t="s">
        <v>14</v>
      </c>
      <c r="M3" s="5" t="s">
        <v>12</v>
      </c>
      <c r="N3" s="6" t="s">
        <v>15</v>
      </c>
      <c r="O3" s="5" t="s">
        <v>16</v>
      </c>
      <c r="P3" s="3" t="s">
        <v>11</v>
      </c>
      <c r="Q3" s="4" t="s">
        <v>41</v>
      </c>
      <c r="R3" s="5" t="s">
        <v>12</v>
      </c>
      <c r="S3" s="6" t="s">
        <v>42</v>
      </c>
      <c r="T3" s="4" t="s">
        <v>43</v>
      </c>
      <c r="U3" s="5" t="s">
        <v>12</v>
      </c>
      <c r="V3" s="6" t="s">
        <v>15</v>
      </c>
      <c r="W3" s="5" t="s">
        <v>16</v>
      </c>
      <c r="X3" s="28" t="s">
        <v>17</v>
      </c>
    </row>
    <row r="4" spans="1:24" ht="16.5" x14ac:dyDescent="0.4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48" t="s">
        <v>23</v>
      </c>
      <c r="G4" s="30">
        <v>50</v>
      </c>
      <c r="H4" s="68">
        <v>40</v>
      </c>
      <c r="I4" s="12">
        <v>9</v>
      </c>
      <c r="J4" s="32">
        <f>IFERROR(I4/G4,0)</f>
        <v>0.18</v>
      </c>
      <c r="K4" s="30">
        <v>40</v>
      </c>
      <c r="L4" s="12">
        <v>10.5</v>
      </c>
      <c r="M4" s="32">
        <f>IFERROR(L4/K4,0)</f>
        <v>0.26250000000000001</v>
      </c>
      <c r="N4" s="90">
        <f>IFERROR(L4/I4,0)</f>
        <v>1.1666666666666667</v>
      </c>
      <c r="O4" s="33"/>
      <c r="P4" s="30">
        <v>21</v>
      </c>
      <c r="Q4" s="31"/>
      <c r="R4" s="32">
        <f>IFERROR(Q4/P4,0)</f>
        <v>0</v>
      </c>
      <c r="S4" s="30">
        <v>11.9</v>
      </c>
      <c r="T4" s="31"/>
      <c r="U4" s="32">
        <f>IFERROR(T4/S4,0)</f>
        <v>0</v>
      </c>
      <c r="V4" s="90">
        <f>IFERROR(T4/Q4,0)</f>
        <v>0</v>
      </c>
      <c r="W4" s="33"/>
      <c r="X4" s="34"/>
    </row>
    <row r="5" spans="1:24" ht="16.5" x14ac:dyDescent="0.4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11">
        <v>50</v>
      </c>
      <c r="H5" s="71">
        <v>45</v>
      </c>
      <c r="I5" s="12">
        <v>27</v>
      </c>
      <c r="J5" s="13">
        <f t="shared" ref="J5:J32" si="0">IFERROR(I5/G5,0)</f>
        <v>0.54</v>
      </c>
      <c r="K5" s="11">
        <v>30</v>
      </c>
      <c r="L5" s="12">
        <v>10</v>
      </c>
      <c r="M5" s="13">
        <f t="shared" ref="M5:M32" si="1">IFERROR(L5/K5,0)</f>
        <v>0.33333333333333331</v>
      </c>
      <c r="N5" s="11">
        <f t="shared" ref="N5:N32" si="2">IFERROR(L5/I5,0)</f>
        <v>0.37037037037037035</v>
      </c>
      <c r="O5" s="14"/>
      <c r="P5" s="11"/>
      <c r="Q5" s="12"/>
      <c r="R5" s="13">
        <f t="shared" ref="R5:R32" si="3">IFERROR(Q5/P5,0)</f>
        <v>0</v>
      </c>
      <c r="S5" s="11">
        <v>0</v>
      </c>
      <c r="T5" s="12"/>
      <c r="U5" s="13">
        <f t="shared" ref="U5:U32" si="4">IFERROR(T5/S5,0)</f>
        <v>0</v>
      </c>
      <c r="V5" s="11">
        <f t="shared" ref="V5:V32" si="5">IFERROR(T5/Q5,0)</f>
        <v>0</v>
      </c>
      <c r="W5" s="14"/>
      <c r="X5" s="34"/>
    </row>
    <row r="6" spans="1:24" ht="16.5" x14ac:dyDescent="0.4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59</v>
      </c>
      <c r="G6" s="11">
        <v>50</v>
      </c>
      <c r="H6" s="71">
        <v>40</v>
      </c>
      <c r="I6" s="12">
        <v>7</v>
      </c>
      <c r="J6" s="13">
        <f t="shared" si="0"/>
        <v>0.14000000000000001</v>
      </c>
      <c r="K6" s="11">
        <v>25</v>
      </c>
      <c r="L6" s="12">
        <v>15.25</v>
      </c>
      <c r="M6" s="13">
        <f t="shared" si="1"/>
        <v>0.61</v>
      </c>
      <c r="N6" s="11">
        <f t="shared" si="2"/>
        <v>2.1785714285714284</v>
      </c>
      <c r="O6" s="14"/>
      <c r="P6" s="11">
        <v>8</v>
      </c>
      <c r="Q6" s="12"/>
      <c r="R6" s="13">
        <f t="shared" si="3"/>
        <v>0</v>
      </c>
      <c r="S6" s="11">
        <v>7.95</v>
      </c>
      <c r="T6" s="12"/>
      <c r="U6" s="13">
        <f t="shared" si="4"/>
        <v>0</v>
      </c>
      <c r="V6" s="11">
        <f t="shared" si="5"/>
        <v>0</v>
      </c>
      <c r="W6" s="14"/>
      <c r="X6" s="34"/>
    </row>
    <row r="7" spans="1:24" ht="16.5" x14ac:dyDescent="0.4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54</v>
      </c>
      <c r="G7" s="11">
        <v>50</v>
      </c>
      <c r="H7" s="71">
        <v>45</v>
      </c>
      <c r="I7" s="12">
        <v>9</v>
      </c>
      <c r="J7" s="13">
        <f t="shared" si="0"/>
        <v>0.18</v>
      </c>
      <c r="K7" s="11">
        <v>30</v>
      </c>
      <c r="L7" s="12">
        <v>10.1</v>
      </c>
      <c r="M7" s="13">
        <f t="shared" si="1"/>
        <v>0.33666666666666667</v>
      </c>
      <c r="N7" s="11">
        <f t="shared" si="2"/>
        <v>1.1222222222222222</v>
      </c>
      <c r="O7" s="14"/>
      <c r="P7" s="11">
        <v>7</v>
      </c>
      <c r="Q7" s="12"/>
      <c r="R7" s="13">
        <f t="shared" si="3"/>
        <v>0</v>
      </c>
      <c r="S7" s="11">
        <v>4.5999999999999996</v>
      </c>
      <c r="T7" s="12"/>
      <c r="U7" s="13">
        <f t="shared" si="4"/>
        <v>0</v>
      </c>
      <c r="V7" s="11">
        <f t="shared" si="5"/>
        <v>0</v>
      </c>
      <c r="W7" s="14"/>
      <c r="X7" s="34"/>
    </row>
    <row r="8" spans="1:24" ht="16.5" x14ac:dyDescent="0.4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60</v>
      </c>
      <c r="G8" s="11">
        <v>50</v>
      </c>
      <c r="H8" s="71">
        <v>40</v>
      </c>
      <c r="I8" s="12">
        <v>6</v>
      </c>
      <c r="J8" s="13">
        <f t="shared" si="0"/>
        <v>0.12</v>
      </c>
      <c r="K8" s="11">
        <v>20</v>
      </c>
      <c r="L8" s="12">
        <v>7.25</v>
      </c>
      <c r="M8" s="13">
        <f t="shared" si="1"/>
        <v>0.36249999999999999</v>
      </c>
      <c r="N8" s="11">
        <f t="shared" si="2"/>
        <v>1.2083333333333333</v>
      </c>
      <c r="O8" s="14"/>
      <c r="P8" s="11">
        <v>8</v>
      </c>
      <c r="Q8" s="12"/>
      <c r="R8" s="13">
        <f t="shared" si="3"/>
        <v>0</v>
      </c>
      <c r="S8" s="11">
        <v>8.15</v>
      </c>
      <c r="T8" s="12"/>
      <c r="U8" s="13">
        <f t="shared" si="4"/>
        <v>0</v>
      </c>
      <c r="V8" s="11">
        <f t="shared" si="5"/>
        <v>0</v>
      </c>
      <c r="W8" s="14"/>
      <c r="X8" s="34"/>
    </row>
    <row r="9" spans="1:24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25</v>
      </c>
      <c r="G9" s="11">
        <v>50</v>
      </c>
      <c r="H9" s="71">
        <v>10</v>
      </c>
      <c r="I9" s="12">
        <v>6</v>
      </c>
      <c r="J9" s="13">
        <f t="shared" si="0"/>
        <v>0.12</v>
      </c>
      <c r="K9" s="11">
        <v>80</v>
      </c>
      <c r="L9" s="12">
        <v>109</v>
      </c>
      <c r="M9" s="13">
        <f t="shared" si="1"/>
        <v>1.3625</v>
      </c>
      <c r="N9" s="11">
        <f t="shared" si="2"/>
        <v>18.166666666666668</v>
      </c>
      <c r="O9" s="14"/>
      <c r="P9" s="11">
        <v>1</v>
      </c>
      <c r="Q9" s="12"/>
      <c r="R9" s="13">
        <f t="shared" si="3"/>
        <v>0</v>
      </c>
      <c r="S9" s="11">
        <v>6</v>
      </c>
      <c r="T9" s="12"/>
      <c r="U9" s="13">
        <f t="shared" si="4"/>
        <v>0</v>
      </c>
      <c r="V9" s="11">
        <f t="shared" si="5"/>
        <v>0</v>
      </c>
      <c r="W9" s="14"/>
      <c r="X9" s="34"/>
    </row>
    <row r="10" spans="1:24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61</v>
      </c>
      <c r="G10" s="11">
        <v>50</v>
      </c>
      <c r="H10" s="71">
        <v>45</v>
      </c>
      <c r="I10" s="12"/>
      <c r="J10" s="13">
        <f t="shared" si="0"/>
        <v>0</v>
      </c>
      <c r="K10" s="11">
        <v>20</v>
      </c>
      <c r="L10" s="12"/>
      <c r="M10" s="13">
        <f t="shared" si="1"/>
        <v>0</v>
      </c>
      <c r="N10" s="11">
        <f t="shared" si="2"/>
        <v>0</v>
      </c>
      <c r="O10" s="14"/>
      <c r="P10" s="11">
        <v>20</v>
      </c>
      <c r="Q10" s="12"/>
      <c r="R10" s="13">
        <f t="shared" si="3"/>
        <v>0</v>
      </c>
      <c r="S10" s="11">
        <v>17</v>
      </c>
      <c r="T10" s="12"/>
      <c r="U10" s="13">
        <f t="shared" si="4"/>
        <v>0</v>
      </c>
      <c r="V10" s="11">
        <f t="shared" si="5"/>
        <v>0</v>
      </c>
      <c r="W10" s="14"/>
      <c r="X10" s="34"/>
    </row>
    <row r="11" spans="1:24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62</v>
      </c>
      <c r="G11" s="11">
        <v>50</v>
      </c>
      <c r="H11" s="71">
        <v>40</v>
      </c>
      <c r="I11" s="12"/>
      <c r="J11" s="13">
        <f t="shared" si="0"/>
        <v>0</v>
      </c>
      <c r="K11" s="11">
        <v>20</v>
      </c>
      <c r="L11" s="12"/>
      <c r="M11" s="13">
        <f t="shared" si="1"/>
        <v>0</v>
      </c>
      <c r="N11" s="11">
        <f t="shared" si="2"/>
        <v>0</v>
      </c>
      <c r="O11" s="14"/>
      <c r="P11" s="11">
        <v>17</v>
      </c>
      <c r="Q11" s="12"/>
      <c r="R11" s="13">
        <f t="shared" si="3"/>
        <v>0</v>
      </c>
      <c r="S11" s="11">
        <v>20</v>
      </c>
      <c r="T11" s="12"/>
      <c r="U11" s="13">
        <f t="shared" si="4"/>
        <v>0</v>
      </c>
      <c r="V11" s="11">
        <f t="shared" si="5"/>
        <v>0</v>
      </c>
      <c r="W11" s="14"/>
      <c r="X11" s="34"/>
    </row>
    <row r="12" spans="1:24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53</v>
      </c>
      <c r="G12" s="11">
        <v>50</v>
      </c>
      <c r="H12" s="71">
        <v>40</v>
      </c>
      <c r="I12" s="12"/>
      <c r="J12" s="13">
        <f t="shared" si="0"/>
        <v>0</v>
      </c>
      <c r="K12" s="11">
        <v>30</v>
      </c>
      <c r="L12" s="12"/>
      <c r="M12" s="13">
        <f t="shared" si="1"/>
        <v>0</v>
      </c>
      <c r="N12" s="11">
        <f t="shared" si="2"/>
        <v>0</v>
      </c>
      <c r="O12" s="14"/>
      <c r="P12" s="11">
        <v>2</v>
      </c>
      <c r="Q12" s="12"/>
      <c r="R12" s="13">
        <f t="shared" si="3"/>
        <v>0</v>
      </c>
      <c r="S12" s="11">
        <v>2</v>
      </c>
      <c r="T12" s="12"/>
      <c r="U12" s="13">
        <f t="shared" si="4"/>
        <v>0</v>
      </c>
      <c r="V12" s="11">
        <f t="shared" si="5"/>
        <v>0</v>
      </c>
      <c r="W12" s="14"/>
      <c r="X12" s="34"/>
    </row>
    <row r="13" spans="1:24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17" t="s">
        <v>63</v>
      </c>
      <c r="G13" s="11"/>
      <c r="H13" s="71"/>
      <c r="I13" s="12"/>
      <c r="J13" s="13">
        <f t="shared" si="0"/>
        <v>0</v>
      </c>
      <c r="K13" s="11"/>
      <c r="L13" s="12"/>
      <c r="M13" s="13">
        <f t="shared" si="1"/>
        <v>0</v>
      </c>
      <c r="N13" s="11">
        <f t="shared" si="2"/>
        <v>0</v>
      </c>
      <c r="O13" s="14"/>
      <c r="P13" s="11"/>
      <c r="Q13" s="12"/>
      <c r="R13" s="13">
        <f t="shared" si="3"/>
        <v>0</v>
      </c>
      <c r="S13" s="11"/>
      <c r="T13" s="12"/>
      <c r="U13" s="13">
        <f t="shared" si="4"/>
        <v>0</v>
      </c>
      <c r="V13" s="11">
        <f t="shared" si="5"/>
        <v>0</v>
      </c>
      <c r="W13" s="14"/>
      <c r="X13" s="34"/>
    </row>
    <row r="14" spans="1:24" ht="17" thickBot="1" x14ac:dyDescent="0.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49" t="s">
        <v>64</v>
      </c>
      <c r="G14" s="11"/>
      <c r="H14" s="71"/>
      <c r="I14" s="12"/>
      <c r="J14" s="13">
        <f t="shared" si="0"/>
        <v>0</v>
      </c>
      <c r="K14" s="11"/>
      <c r="L14" s="12"/>
      <c r="M14" s="13">
        <f t="shared" si="1"/>
        <v>0</v>
      </c>
      <c r="N14" s="11">
        <f t="shared" si="2"/>
        <v>0</v>
      </c>
      <c r="O14" s="14"/>
      <c r="P14" s="11"/>
      <c r="Q14" s="12"/>
      <c r="R14" s="13">
        <f t="shared" si="3"/>
        <v>0</v>
      </c>
      <c r="S14" s="11"/>
      <c r="T14" s="12"/>
      <c r="U14" s="13">
        <f t="shared" si="4"/>
        <v>0</v>
      </c>
      <c r="V14" s="11">
        <f t="shared" si="5"/>
        <v>0</v>
      </c>
      <c r="W14" s="14"/>
      <c r="X14" s="34"/>
    </row>
    <row r="15" spans="1:24" ht="16.5" hidden="1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/>
      <c r="G15" s="11"/>
      <c r="H15" s="71"/>
      <c r="I15" s="12"/>
      <c r="J15" s="13">
        <f t="shared" si="0"/>
        <v>0</v>
      </c>
      <c r="K15" s="11">
        <v>1</v>
      </c>
      <c r="L15" s="12">
        <v>1</v>
      </c>
      <c r="M15" s="13">
        <f t="shared" si="1"/>
        <v>1</v>
      </c>
      <c r="N15" s="11">
        <f t="shared" si="2"/>
        <v>0</v>
      </c>
      <c r="O15" s="14"/>
      <c r="P15" s="11"/>
      <c r="Q15" s="12"/>
      <c r="R15" s="13">
        <f t="shared" si="3"/>
        <v>0</v>
      </c>
      <c r="S15" s="11"/>
      <c r="T15" s="12"/>
      <c r="U15" s="13">
        <f t="shared" si="4"/>
        <v>0</v>
      </c>
      <c r="V15" s="11">
        <f t="shared" si="5"/>
        <v>0</v>
      </c>
      <c r="W15" s="14"/>
      <c r="X15" s="34"/>
    </row>
    <row r="16" spans="1:24" ht="16.5" hidden="1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71"/>
      <c r="I16" s="12"/>
      <c r="J16" s="13">
        <f t="shared" si="0"/>
        <v>0</v>
      </c>
      <c r="K16" s="11">
        <v>1</v>
      </c>
      <c r="L16" s="12">
        <v>1</v>
      </c>
      <c r="M16" s="13">
        <f t="shared" si="1"/>
        <v>1</v>
      </c>
      <c r="N16" s="11">
        <f t="shared" si="2"/>
        <v>0</v>
      </c>
      <c r="O16" s="14"/>
      <c r="P16" s="11"/>
      <c r="Q16" s="12"/>
      <c r="R16" s="13">
        <f t="shared" si="3"/>
        <v>0</v>
      </c>
      <c r="S16" s="11"/>
      <c r="T16" s="12"/>
      <c r="U16" s="13">
        <f t="shared" si="4"/>
        <v>0</v>
      </c>
      <c r="V16" s="11">
        <f t="shared" si="5"/>
        <v>0</v>
      </c>
      <c r="W16" s="14"/>
      <c r="X16" s="34"/>
    </row>
    <row r="17" spans="1:24" ht="16.5" hidden="1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/>
      <c r="G17" s="11"/>
      <c r="H17" s="71"/>
      <c r="I17" s="12"/>
      <c r="J17" s="13">
        <f t="shared" si="0"/>
        <v>0</v>
      </c>
      <c r="K17" s="11">
        <v>1</v>
      </c>
      <c r="L17" s="12">
        <v>1</v>
      </c>
      <c r="M17" s="13">
        <f t="shared" si="1"/>
        <v>1</v>
      </c>
      <c r="N17" s="11">
        <f t="shared" si="2"/>
        <v>0</v>
      </c>
      <c r="O17" s="14"/>
      <c r="P17" s="11"/>
      <c r="Q17" s="12"/>
      <c r="R17" s="13">
        <f t="shared" si="3"/>
        <v>0</v>
      </c>
      <c r="S17" s="11"/>
      <c r="T17" s="12"/>
      <c r="U17" s="13">
        <f t="shared" si="4"/>
        <v>0</v>
      </c>
      <c r="V17" s="11">
        <f t="shared" si="5"/>
        <v>0</v>
      </c>
      <c r="W17" s="14"/>
      <c r="X17" s="34"/>
    </row>
    <row r="18" spans="1:24" ht="16.5" hidden="1" x14ac:dyDescent="0.45">
      <c r="A18" s="35" t="s">
        <v>20</v>
      </c>
      <c r="B18" s="26" t="s">
        <v>20</v>
      </c>
      <c r="C18" s="16" t="s">
        <v>21</v>
      </c>
      <c r="D18" s="16" t="s">
        <v>19</v>
      </c>
      <c r="E18" s="16" t="s">
        <v>22</v>
      </c>
      <c r="F18" s="49"/>
      <c r="G18" s="11"/>
      <c r="H18" s="71"/>
      <c r="I18" s="12"/>
      <c r="J18" s="13">
        <f t="shared" si="0"/>
        <v>0</v>
      </c>
      <c r="K18" s="11">
        <v>1</v>
      </c>
      <c r="L18" s="12">
        <v>1</v>
      </c>
      <c r="M18" s="13">
        <f t="shared" si="1"/>
        <v>1</v>
      </c>
      <c r="N18" s="11">
        <f t="shared" si="2"/>
        <v>0</v>
      </c>
      <c r="O18" s="14"/>
      <c r="P18" s="11"/>
      <c r="Q18" s="12"/>
      <c r="R18" s="13">
        <f t="shared" si="3"/>
        <v>0</v>
      </c>
      <c r="S18" s="11"/>
      <c r="T18" s="12"/>
      <c r="U18" s="13">
        <f t="shared" si="4"/>
        <v>0</v>
      </c>
      <c r="V18" s="11">
        <f t="shared" si="5"/>
        <v>0</v>
      </c>
      <c r="W18" s="14"/>
      <c r="X18" s="34"/>
    </row>
    <row r="19" spans="1:24" ht="17" hidden="1" thickBot="1" x14ac:dyDescent="0.5">
      <c r="A19" s="35" t="s">
        <v>20</v>
      </c>
      <c r="B19" s="26" t="s">
        <v>20</v>
      </c>
      <c r="C19" s="16" t="s">
        <v>21</v>
      </c>
      <c r="D19" s="19" t="s">
        <v>19</v>
      </c>
      <c r="E19" s="19" t="s">
        <v>22</v>
      </c>
      <c r="F19" s="50"/>
      <c r="G19" s="36"/>
      <c r="H19" s="74"/>
      <c r="I19" s="37"/>
      <c r="J19" s="38">
        <f t="shared" si="0"/>
        <v>0</v>
      </c>
      <c r="K19" s="36">
        <v>1</v>
      </c>
      <c r="L19" s="37">
        <v>1</v>
      </c>
      <c r="M19" s="38">
        <f t="shared" si="1"/>
        <v>1</v>
      </c>
      <c r="N19" s="36">
        <f t="shared" si="2"/>
        <v>0</v>
      </c>
      <c r="O19" s="39">
        <v>1</v>
      </c>
      <c r="P19" s="36"/>
      <c r="Q19" s="37"/>
      <c r="R19" s="38">
        <f t="shared" si="3"/>
        <v>0</v>
      </c>
      <c r="S19" s="36"/>
      <c r="T19" s="37"/>
      <c r="U19" s="38">
        <f t="shared" si="4"/>
        <v>0</v>
      </c>
      <c r="V19" s="36">
        <f t="shared" si="5"/>
        <v>0</v>
      </c>
      <c r="W19" s="39">
        <v>1</v>
      </c>
      <c r="X19" s="34"/>
    </row>
    <row r="20" spans="1:24" ht="15" thickBot="1" x14ac:dyDescent="0.4">
      <c r="A20" s="35" t="s">
        <v>20</v>
      </c>
      <c r="B20" s="26" t="s">
        <v>20</v>
      </c>
      <c r="C20" s="51" t="s">
        <v>21</v>
      </c>
      <c r="D20" s="102" t="s">
        <v>18</v>
      </c>
      <c r="E20" s="103"/>
      <c r="F20" s="104"/>
      <c r="G20" s="40">
        <f>SUM(G4:G19)</f>
        <v>450</v>
      </c>
      <c r="H20" s="41">
        <f>SUM(H4:H19)</f>
        <v>345</v>
      </c>
      <c r="I20" s="41">
        <f>SUM(I4:I19)</f>
        <v>64</v>
      </c>
      <c r="J20" s="42">
        <f t="shared" si="0"/>
        <v>0.14222222222222222</v>
      </c>
      <c r="K20" s="40">
        <f>SUM(K4:K12)</f>
        <v>295</v>
      </c>
      <c r="L20" s="40">
        <f>SUM(L4:L12)</f>
        <v>162.1</v>
      </c>
      <c r="M20" s="42">
        <f t="shared" si="1"/>
        <v>0.54949152542372881</v>
      </c>
      <c r="N20" s="40">
        <f t="shared" si="2"/>
        <v>2.5328124999999999</v>
      </c>
      <c r="O20" s="43">
        <f>AVERAGE(O4:O19)</f>
        <v>1</v>
      </c>
      <c r="P20" s="40">
        <f>SUM(P4:P19)</f>
        <v>84</v>
      </c>
      <c r="Q20" s="41">
        <f>SUM(Q4:Q19)</f>
        <v>0</v>
      </c>
      <c r="R20" s="42">
        <f t="shared" si="3"/>
        <v>0</v>
      </c>
      <c r="S20" s="40">
        <f>SUM(S4:S19)</f>
        <v>77.599999999999994</v>
      </c>
      <c r="T20" s="41">
        <f>SUM(T4:T19)</f>
        <v>0</v>
      </c>
      <c r="U20" s="42">
        <f t="shared" si="4"/>
        <v>0</v>
      </c>
      <c r="V20" s="40">
        <f t="shared" si="5"/>
        <v>0</v>
      </c>
      <c r="W20" s="43">
        <f>AVERAGE(W4:W19)</f>
        <v>1</v>
      </c>
      <c r="X20" s="44"/>
    </row>
    <row r="21" spans="1:24" ht="16.5" x14ac:dyDescent="0.45">
      <c r="A21" s="35" t="s">
        <v>20</v>
      </c>
      <c r="B21" s="26" t="s">
        <v>20</v>
      </c>
      <c r="C21" s="16" t="s">
        <v>21</v>
      </c>
      <c r="D21" s="15" t="s">
        <v>26</v>
      </c>
      <c r="E21" s="15" t="s">
        <v>27</v>
      </c>
      <c r="F21" s="52" t="s">
        <v>55</v>
      </c>
      <c r="G21" s="7">
        <v>1</v>
      </c>
      <c r="H21" s="8"/>
      <c r="I21" s="8"/>
      <c r="J21" s="9">
        <f t="shared" si="0"/>
        <v>0</v>
      </c>
      <c r="K21" s="7">
        <v>1</v>
      </c>
      <c r="L21" s="8">
        <v>1</v>
      </c>
      <c r="M21" s="9">
        <f t="shared" si="1"/>
        <v>1</v>
      </c>
      <c r="N21" s="7">
        <f t="shared" si="2"/>
        <v>0</v>
      </c>
      <c r="O21" s="10"/>
      <c r="P21" s="7">
        <v>1</v>
      </c>
      <c r="Q21" s="8">
        <v>1</v>
      </c>
      <c r="R21" s="9">
        <f t="shared" si="3"/>
        <v>1</v>
      </c>
      <c r="S21" s="7">
        <v>1</v>
      </c>
      <c r="T21" s="8">
        <v>1</v>
      </c>
      <c r="U21" s="9">
        <f t="shared" si="4"/>
        <v>1</v>
      </c>
      <c r="V21" s="7">
        <f t="shared" si="5"/>
        <v>1</v>
      </c>
      <c r="W21" s="10"/>
      <c r="X21" s="34"/>
    </row>
    <row r="22" spans="1:24" ht="16.5" x14ac:dyDescent="0.45">
      <c r="A22" s="35" t="s">
        <v>20</v>
      </c>
      <c r="B22" s="26" t="s">
        <v>20</v>
      </c>
      <c r="C22" s="16" t="s">
        <v>21</v>
      </c>
      <c r="D22" s="16" t="s">
        <v>26</v>
      </c>
      <c r="E22" s="16" t="s">
        <v>27</v>
      </c>
      <c r="F22" s="18" t="s">
        <v>28</v>
      </c>
      <c r="G22" s="11">
        <v>1</v>
      </c>
      <c r="H22" s="12"/>
      <c r="I22" s="12"/>
      <c r="J22" s="13">
        <f t="shared" si="0"/>
        <v>0</v>
      </c>
      <c r="K22" s="11">
        <v>1</v>
      </c>
      <c r="L22" s="12">
        <v>1</v>
      </c>
      <c r="M22" s="13">
        <f t="shared" si="1"/>
        <v>1</v>
      </c>
      <c r="N22" s="11">
        <f t="shared" si="2"/>
        <v>0</v>
      </c>
      <c r="O22" s="14"/>
      <c r="P22" s="11">
        <v>1</v>
      </c>
      <c r="Q22" s="12">
        <v>1</v>
      </c>
      <c r="R22" s="13">
        <f t="shared" si="3"/>
        <v>1</v>
      </c>
      <c r="S22" s="11">
        <v>1</v>
      </c>
      <c r="T22" s="12">
        <v>1</v>
      </c>
      <c r="U22" s="13">
        <f t="shared" si="4"/>
        <v>1</v>
      </c>
      <c r="V22" s="11">
        <f t="shared" si="5"/>
        <v>1</v>
      </c>
      <c r="W22" s="14"/>
      <c r="X22" s="34"/>
    </row>
    <row r="23" spans="1:24" ht="16.5" x14ac:dyDescent="0.45">
      <c r="A23" s="35" t="s">
        <v>20</v>
      </c>
      <c r="B23" s="26" t="s">
        <v>20</v>
      </c>
      <c r="C23" s="16" t="s">
        <v>21</v>
      </c>
      <c r="D23" s="16" t="s">
        <v>26</v>
      </c>
      <c r="E23" s="16" t="s">
        <v>27</v>
      </c>
      <c r="F23" s="18" t="s">
        <v>29</v>
      </c>
      <c r="G23" s="11">
        <v>1</v>
      </c>
      <c r="H23" s="12"/>
      <c r="I23" s="12"/>
      <c r="J23" s="13">
        <f t="shared" si="0"/>
        <v>0</v>
      </c>
      <c r="K23" s="11">
        <v>1</v>
      </c>
      <c r="L23" s="12">
        <v>1</v>
      </c>
      <c r="M23" s="13">
        <f t="shared" si="1"/>
        <v>1</v>
      </c>
      <c r="N23" s="11">
        <f t="shared" si="2"/>
        <v>0</v>
      </c>
      <c r="O23" s="14"/>
      <c r="P23" s="11">
        <v>1</v>
      </c>
      <c r="Q23" s="12">
        <v>1</v>
      </c>
      <c r="R23" s="13">
        <f t="shared" si="3"/>
        <v>1</v>
      </c>
      <c r="S23" s="11">
        <v>1</v>
      </c>
      <c r="T23" s="12">
        <v>1</v>
      </c>
      <c r="U23" s="13">
        <f t="shared" si="4"/>
        <v>1</v>
      </c>
      <c r="V23" s="11">
        <f t="shared" si="5"/>
        <v>1</v>
      </c>
      <c r="W23" s="14"/>
      <c r="X23" s="34"/>
    </row>
    <row r="24" spans="1:24" ht="16.5" x14ac:dyDescent="0.45">
      <c r="A24" s="35" t="s">
        <v>20</v>
      </c>
      <c r="B24" s="26" t="s">
        <v>20</v>
      </c>
      <c r="C24" s="16" t="s">
        <v>21</v>
      </c>
      <c r="D24" s="16" t="s">
        <v>26</v>
      </c>
      <c r="E24" s="16" t="s">
        <v>27</v>
      </c>
      <c r="F24" s="18" t="s">
        <v>30</v>
      </c>
      <c r="G24" s="11">
        <v>1</v>
      </c>
      <c r="H24" s="12"/>
      <c r="I24" s="12"/>
      <c r="J24" s="13">
        <f t="shared" si="0"/>
        <v>0</v>
      </c>
      <c r="K24" s="11">
        <v>1</v>
      </c>
      <c r="L24" s="12">
        <v>1</v>
      </c>
      <c r="M24" s="13">
        <f t="shared" si="1"/>
        <v>1</v>
      </c>
      <c r="N24" s="11">
        <f t="shared" si="2"/>
        <v>0</v>
      </c>
      <c r="O24" s="14"/>
      <c r="P24" s="11">
        <v>1</v>
      </c>
      <c r="Q24" s="12">
        <v>1</v>
      </c>
      <c r="R24" s="13">
        <f t="shared" si="3"/>
        <v>1</v>
      </c>
      <c r="S24" s="11">
        <v>1</v>
      </c>
      <c r="T24" s="12">
        <v>1</v>
      </c>
      <c r="U24" s="13">
        <f t="shared" si="4"/>
        <v>1</v>
      </c>
      <c r="V24" s="11">
        <f t="shared" si="5"/>
        <v>1</v>
      </c>
      <c r="W24" s="14"/>
      <c r="X24" s="34"/>
    </row>
    <row r="25" spans="1:24" ht="17" thickBot="1" x14ac:dyDescent="0.5">
      <c r="A25" s="35" t="s">
        <v>20</v>
      </c>
      <c r="B25" s="26" t="s">
        <v>20</v>
      </c>
      <c r="C25" s="16" t="s">
        <v>21</v>
      </c>
      <c r="D25" s="19" t="s">
        <v>26</v>
      </c>
      <c r="E25" s="19" t="s">
        <v>27</v>
      </c>
      <c r="F25" s="53" t="s">
        <v>38</v>
      </c>
      <c r="G25" s="36">
        <v>1</v>
      </c>
      <c r="H25" s="37"/>
      <c r="I25" s="37"/>
      <c r="J25" s="38">
        <f t="shared" si="0"/>
        <v>0</v>
      </c>
      <c r="K25" s="36">
        <v>1</v>
      </c>
      <c r="L25" s="37">
        <v>1</v>
      </c>
      <c r="M25" s="38">
        <f t="shared" si="1"/>
        <v>1</v>
      </c>
      <c r="N25" s="36">
        <f t="shared" si="2"/>
        <v>0</v>
      </c>
      <c r="O25" s="39">
        <v>1</v>
      </c>
      <c r="P25" s="36">
        <v>1</v>
      </c>
      <c r="Q25" s="37">
        <v>1</v>
      </c>
      <c r="R25" s="38">
        <f t="shared" si="3"/>
        <v>1</v>
      </c>
      <c r="S25" s="36">
        <v>1</v>
      </c>
      <c r="T25" s="37">
        <v>1</v>
      </c>
      <c r="U25" s="38">
        <f t="shared" si="4"/>
        <v>1</v>
      </c>
      <c r="V25" s="36">
        <f t="shared" si="5"/>
        <v>1</v>
      </c>
      <c r="W25" s="39">
        <v>1</v>
      </c>
      <c r="X25" s="34"/>
    </row>
    <row r="26" spans="1:24" ht="15" thickBot="1" x14ac:dyDescent="0.4">
      <c r="A26" s="35" t="s">
        <v>20</v>
      </c>
      <c r="B26" s="26" t="s">
        <v>20</v>
      </c>
      <c r="C26" s="51" t="s">
        <v>21</v>
      </c>
      <c r="D26" s="102" t="s">
        <v>18</v>
      </c>
      <c r="E26" s="103"/>
      <c r="F26" s="104"/>
      <c r="G26" s="40">
        <f>SUM(G21:G25)</f>
        <v>5</v>
      </c>
      <c r="H26" s="41">
        <f t="shared" ref="H26:I26" si="6">SUM(H21:H25)</f>
        <v>0</v>
      </c>
      <c r="I26" s="41">
        <f t="shared" si="6"/>
        <v>0</v>
      </c>
      <c r="J26" s="42">
        <f t="shared" si="0"/>
        <v>0</v>
      </c>
      <c r="K26" s="40">
        <v>1</v>
      </c>
      <c r="L26" s="41">
        <v>1</v>
      </c>
      <c r="M26" s="42">
        <f t="shared" si="1"/>
        <v>1</v>
      </c>
      <c r="N26" s="40">
        <f t="shared" si="2"/>
        <v>0</v>
      </c>
      <c r="O26" s="43">
        <f>AVERAGE(O21:O25)</f>
        <v>1</v>
      </c>
      <c r="P26" s="40">
        <f>SUM(P21:P25)</f>
        <v>5</v>
      </c>
      <c r="Q26" s="41">
        <f t="shared" ref="Q26" si="7">SUM(Q21:Q25)</f>
        <v>5</v>
      </c>
      <c r="R26" s="42">
        <f t="shared" si="3"/>
        <v>1</v>
      </c>
      <c r="S26" s="40">
        <f>SUM(S21:S25)</f>
        <v>5</v>
      </c>
      <c r="T26" s="41">
        <f t="shared" ref="T26" si="8">SUM(T21:T25)</f>
        <v>5</v>
      </c>
      <c r="U26" s="42">
        <f t="shared" si="4"/>
        <v>1</v>
      </c>
      <c r="V26" s="40">
        <f t="shared" si="5"/>
        <v>1</v>
      </c>
      <c r="W26" s="43">
        <f>AVERAGE(W21:W25)</f>
        <v>1</v>
      </c>
      <c r="X26" s="44"/>
    </row>
    <row r="27" spans="1:24" ht="16.5" x14ac:dyDescent="0.45">
      <c r="A27" s="35" t="s">
        <v>20</v>
      </c>
      <c r="B27" s="26" t="s">
        <v>20</v>
      </c>
      <c r="C27" s="16" t="s">
        <v>21</v>
      </c>
      <c r="D27" s="15" t="s">
        <v>31</v>
      </c>
      <c r="E27" s="15" t="s">
        <v>32</v>
      </c>
      <c r="F27" s="52" t="s">
        <v>39</v>
      </c>
      <c r="G27" s="7">
        <v>1</v>
      </c>
      <c r="H27" s="8"/>
      <c r="I27" s="8"/>
      <c r="J27" s="9">
        <f t="shared" si="0"/>
        <v>0</v>
      </c>
      <c r="K27" s="7">
        <v>1</v>
      </c>
      <c r="L27" s="8">
        <v>1</v>
      </c>
      <c r="M27" s="9">
        <f t="shared" si="1"/>
        <v>1</v>
      </c>
      <c r="N27" s="7">
        <f t="shared" si="2"/>
        <v>0</v>
      </c>
      <c r="O27" s="10">
        <v>1</v>
      </c>
      <c r="P27" s="7">
        <v>1</v>
      </c>
      <c r="Q27" s="8">
        <v>1</v>
      </c>
      <c r="R27" s="9">
        <f t="shared" si="3"/>
        <v>1</v>
      </c>
      <c r="S27" s="7">
        <v>1</v>
      </c>
      <c r="T27" s="8">
        <v>1</v>
      </c>
      <c r="U27" s="9">
        <f t="shared" si="4"/>
        <v>1</v>
      </c>
      <c r="V27" s="7">
        <f t="shared" si="5"/>
        <v>1</v>
      </c>
      <c r="W27" s="10">
        <v>1</v>
      </c>
      <c r="X27" s="34"/>
    </row>
    <row r="28" spans="1:24" ht="16.5" x14ac:dyDescent="0.45">
      <c r="A28" s="35" t="s">
        <v>20</v>
      </c>
      <c r="B28" s="26" t="s">
        <v>20</v>
      </c>
      <c r="C28" s="16" t="s">
        <v>21</v>
      </c>
      <c r="D28" s="16" t="s">
        <v>31</v>
      </c>
      <c r="E28" s="16" t="s">
        <v>32</v>
      </c>
      <c r="F28" s="18" t="s">
        <v>57</v>
      </c>
      <c r="G28" s="11">
        <v>1</v>
      </c>
      <c r="H28" s="8"/>
      <c r="I28" s="12"/>
      <c r="J28" s="13">
        <f t="shared" si="0"/>
        <v>0</v>
      </c>
      <c r="K28" s="11">
        <v>1</v>
      </c>
      <c r="L28" s="12">
        <v>1</v>
      </c>
      <c r="M28" s="13">
        <f t="shared" si="1"/>
        <v>1</v>
      </c>
      <c r="N28" s="11">
        <f t="shared" si="2"/>
        <v>0</v>
      </c>
      <c r="O28" s="14"/>
      <c r="P28" s="11">
        <v>1</v>
      </c>
      <c r="Q28" s="12">
        <v>1</v>
      </c>
      <c r="R28" s="13">
        <f t="shared" si="3"/>
        <v>1</v>
      </c>
      <c r="S28" s="11">
        <v>1</v>
      </c>
      <c r="T28" s="12">
        <v>1</v>
      </c>
      <c r="U28" s="13">
        <f t="shared" si="4"/>
        <v>1</v>
      </c>
      <c r="V28" s="11">
        <f t="shared" si="5"/>
        <v>1</v>
      </c>
      <c r="W28" s="14"/>
      <c r="X28" s="34"/>
    </row>
    <row r="29" spans="1:24" ht="16.5" x14ac:dyDescent="0.45">
      <c r="A29" s="35" t="s">
        <v>20</v>
      </c>
      <c r="B29" s="26" t="s">
        <v>20</v>
      </c>
      <c r="C29" s="16" t="s">
        <v>21</v>
      </c>
      <c r="D29" s="16" t="s">
        <v>31</v>
      </c>
      <c r="E29" s="16" t="s">
        <v>32</v>
      </c>
      <c r="F29" s="18" t="s">
        <v>40</v>
      </c>
      <c r="G29" s="11">
        <v>1</v>
      </c>
      <c r="H29" s="8"/>
      <c r="I29" s="12"/>
      <c r="J29" s="13">
        <f t="shared" si="0"/>
        <v>0</v>
      </c>
      <c r="K29" s="11">
        <v>1</v>
      </c>
      <c r="L29" s="12">
        <v>1</v>
      </c>
      <c r="M29" s="13">
        <f t="shared" si="1"/>
        <v>1</v>
      </c>
      <c r="N29" s="11">
        <f t="shared" si="2"/>
        <v>0</v>
      </c>
      <c r="O29" s="14"/>
      <c r="P29" s="11">
        <v>1</v>
      </c>
      <c r="Q29" s="12">
        <v>1</v>
      </c>
      <c r="R29" s="13">
        <f t="shared" si="3"/>
        <v>1</v>
      </c>
      <c r="S29" s="11">
        <v>1</v>
      </c>
      <c r="T29" s="12">
        <v>1</v>
      </c>
      <c r="U29" s="13">
        <f t="shared" si="4"/>
        <v>1</v>
      </c>
      <c r="V29" s="11">
        <f t="shared" si="5"/>
        <v>1</v>
      </c>
      <c r="W29" s="14"/>
      <c r="X29" s="34"/>
    </row>
    <row r="30" spans="1:24" ht="17" thickBot="1" x14ac:dyDescent="0.5">
      <c r="A30" s="35" t="s">
        <v>20</v>
      </c>
      <c r="B30" s="26" t="s">
        <v>20</v>
      </c>
      <c r="C30" s="16" t="s">
        <v>21</v>
      </c>
      <c r="D30" s="19" t="s">
        <v>31</v>
      </c>
      <c r="E30" s="19" t="s">
        <v>32</v>
      </c>
      <c r="F30" s="53" t="s">
        <v>58</v>
      </c>
      <c r="G30" s="36">
        <v>1</v>
      </c>
      <c r="H30" s="8"/>
      <c r="I30" s="37"/>
      <c r="J30" s="38">
        <f t="shared" si="0"/>
        <v>0</v>
      </c>
      <c r="K30" s="36">
        <v>1</v>
      </c>
      <c r="L30" s="37">
        <v>1</v>
      </c>
      <c r="M30" s="38">
        <f t="shared" si="1"/>
        <v>1</v>
      </c>
      <c r="N30" s="36">
        <f t="shared" si="2"/>
        <v>0</v>
      </c>
      <c r="O30" s="39"/>
      <c r="P30" s="36">
        <v>1</v>
      </c>
      <c r="Q30" s="37">
        <v>1</v>
      </c>
      <c r="R30" s="38">
        <f t="shared" si="3"/>
        <v>1</v>
      </c>
      <c r="S30" s="36">
        <v>1</v>
      </c>
      <c r="T30" s="37">
        <v>1</v>
      </c>
      <c r="U30" s="38">
        <f t="shared" si="4"/>
        <v>1</v>
      </c>
      <c r="V30" s="36">
        <f t="shared" si="5"/>
        <v>1</v>
      </c>
      <c r="W30" s="39"/>
      <c r="X30" s="34"/>
    </row>
    <row r="31" spans="1:24" ht="15" thickBot="1" x14ac:dyDescent="0.4">
      <c r="A31" s="35" t="s">
        <v>20</v>
      </c>
      <c r="B31" s="54" t="s">
        <v>20</v>
      </c>
      <c r="C31" s="55" t="s">
        <v>21</v>
      </c>
      <c r="D31" s="105" t="s">
        <v>18</v>
      </c>
      <c r="E31" s="106"/>
      <c r="F31" s="107"/>
      <c r="G31" s="40">
        <f>SUM(G27:G30)</f>
        <v>4</v>
      </c>
      <c r="H31" s="41">
        <f t="shared" ref="H31:I31" si="9">SUM(H27:H30)</f>
        <v>0</v>
      </c>
      <c r="I31" s="41">
        <f t="shared" si="9"/>
        <v>0</v>
      </c>
      <c r="J31" s="42">
        <f t="shared" si="0"/>
        <v>0</v>
      </c>
      <c r="K31" s="40">
        <v>1</v>
      </c>
      <c r="L31" s="41">
        <v>1</v>
      </c>
      <c r="M31" s="42">
        <f t="shared" si="1"/>
        <v>1</v>
      </c>
      <c r="N31" s="40">
        <f t="shared" si="2"/>
        <v>0</v>
      </c>
      <c r="O31" s="43">
        <f>AVERAGE(O27:O30)</f>
        <v>1</v>
      </c>
      <c r="P31" s="40">
        <f>SUM(P27:P30)</f>
        <v>4</v>
      </c>
      <c r="Q31" s="41">
        <f t="shared" ref="Q31" si="10">SUM(Q27:Q30)</f>
        <v>4</v>
      </c>
      <c r="R31" s="42">
        <f t="shared" si="3"/>
        <v>1</v>
      </c>
      <c r="S31" s="40">
        <f>SUM(S27:S30)</f>
        <v>4</v>
      </c>
      <c r="T31" s="41">
        <f t="shared" ref="T31" si="11">SUM(T27:T30)</f>
        <v>4</v>
      </c>
      <c r="U31" s="42">
        <f t="shared" si="4"/>
        <v>1</v>
      </c>
      <c r="V31" s="40">
        <f t="shared" si="5"/>
        <v>1</v>
      </c>
      <c r="W31" s="43">
        <f>AVERAGE(W27:W30)</f>
        <v>1</v>
      </c>
      <c r="X31" s="44"/>
    </row>
    <row r="32" spans="1:24" ht="15" thickBot="1" x14ac:dyDescent="0.4">
      <c r="A32" s="45" t="s">
        <v>20</v>
      </c>
      <c r="B32" s="56" t="s">
        <v>33</v>
      </c>
      <c r="C32" s="57"/>
      <c r="D32" s="57"/>
      <c r="E32" s="57"/>
      <c r="F32" s="57"/>
      <c r="G32" s="20">
        <f>+G31+G26+G20</f>
        <v>459</v>
      </c>
      <c r="H32" s="21">
        <f t="shared" ref="H32:I32" si="12">+H31+H26+H20</f>
        <v>345</v>
      </c>
      <c r="I32" s="21">
        <f t="shared" si="12"/>
        <v>64</v>
      </c>
      <c r="J32" s="22">
        <f t="shared" si="0"/>
        <v>0.13943355119825709</v>
      </c>
      <c r="K32" s="20">
        <v>1</v>
      </c>
      <c r="L32" s="21">
        <v>1</v>
      </c>
      <c r="M32" s="22">
        <f t="shared" si="1"/>
        <v>1</v>
      </c>
      <c r="N32" s="20">
        <f t="shared" si="2"/>
        <v>1.5625E-2</v>
      </c>
      <c r="O32" s="23">
        <f>AVERAGE(O31,O20,O26)</f>
        <v>1</v>
      </c>
      <c r="P32" s="20">
        <f>+P31+P26+P20</f>
        <v>93</v>
      </c>
      <c r="Q32" s="21">
        <f t="shared" ref="Q32" si="13">+Q31+Q26+Q20</f>
        <v>9</v>
      </c>
      <c r="R32" s="22">
        <f t="shared" si="3"/>
        <v>9.6774193548387094E-2</v>
      </c>
      <c r="S32" s="20">
        <f>+S31+S26+S20</f>
        <v>86.6</v>
      </c>
      <c r="T32" s="21">
        <f t="shared" ref="T32" si="14">+T31+T26+T20</f>
        <v>9</v>
      </c>
      <c r="U32" s="22">
        <f t="shared" si="4"/>
        <v>0.10392609699769054</v>
      </c>
      <c r="V32" s="20">
        <f t="shared" si="5"/>
        <v>1</v>
      </c>
      <c r="W32" s="23">
        <f>AVERAGE(W31,W20,W26)</f>
        <v>1</v>
      </c>
      <c r="X32" s="34"/>
    </row>
  </sheetData>
  <mergeCells count="9">
    <mergeCell ref="D20:F20"/>
    <mergeCell ref="D26:F26"/>
    <mergeCell ref="D31:F31"/>
    <mergeCell ref="G1:O1"/>
    <mergeCell ref="P1:W1"/>
    <mergeCell ref="G2:J2"/>
    <mergeCell ref="K2:M2"/>
    <mergeCell ref="P2:R2"/>
    <mergeCell ref="S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R28"/>
  <sheetViews>
    <sheetView topLeftCell="D1" workbookViewId="0">
      <selection activeCell="H7" sqref="H7"/>
    </sheetView>
  </sheetViews>
  <sheetFormatPr defaultColWidth="9.1796875" defaultRowHeight="14.5" x14ac:dyDescent="0.35"/>
  <cols>
    <col min="1" max="1" width="13.54296875" bestFit="1" customWidth="1"/>
    <col min="2" max="2" width="14.7265625" bestFit="1" customWidth="1"/>
    <col min="3" max="3" width="15.26953125" bestFit="1" customWidth="1"/>
    <col min="4" max="4" width="18.26953125" bestFit="1" customWidth="1"/>
    <col min="5" max="5" width="23.7265625" bestFit="1" customWidth="1"/>
    <col min="6" max="6" width="28.6328125" bestFit="1" customWidth="1"/>
    <col min="7" max="8" width="6.26953125" style="24" customWidth="1"/>
    <col min="9" max="9" width="10.54296875" customWidth="1"/>
    <col min="10" max="10" width="5.54296875" customWidth="1"/>
    <col min="11" max="11" width="8.1796875" bestFit="1" customWidth="1"/>
    <col min="12" max="12" width="9.26953125" bestFit="1" customWidth="1"/>
    <col min="13" max="13" width="7.7265625" bestFit="1" customWidth="1"/>
    <col min="14" max="15" width="7.7265625" customWidth="1"/>
    <col min="16" max="16" width="5.26953125" customWidth="1"/>
    <col min="18" max="18" width="8.54296875" bestFit="1" customWidth="1"/>
  </cols>
  <sheetData>
    <row r="1" spans="1:18" ht="15" thickBot="1" x14ac:dyDescent="0.4">
      <c r="A1" s="61" t="s">
        <v>44</v>
      </c>
      <c r="B1" s="61" t="s">
        <v>45</v>
      </c>
      <c r="C1" s="61" t="s">
        <v>46</v>
      </c>
      <c r="D1" s="61" t="s">
        <v>47</v>
      </c>
    </row>
    <row r="2" spans="1:18" ht="15" thickBot="1" x14ac:dyDescent="0.4">
      <c r="A2" s="91">
        <v>26</v>
      </c>
      <c r="B2" s="24">
        <v>24</v>
      </c>
      <c r="C2" s="62">
        <f>+B2/A2</f>
        <v>0.92307692307692313</v>
      </c>
      <c r="D2" s="91">
        <f>+A2-B2</f>
        <v>2</v>
      </c>
      <c r="F2" s="89">
        <v>46291</v>
      </c>
      <c r="G2" s="114" t="s">
        <v>34</v>
      </c>
      <c r="H2" s="115"/>
      <c r="I2" s="115"/>
      <c r="J2" s="115"/>
      <c r="K2" s="111" t="s">
        <v>48</v>
      </c>
      <c r="L2" s="112"/>
      <c r="M2" s="112"/>
      <c r="N2" s="112"/>
      <c r="O2" s="113"/>
      <c r="P2" s="117" t="s">
        <v>35</v>
      </c>
      <c r="Q2" s="118"/>
    </row>
    <row r="3" spans="1:18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66" t="s">
        <v>51</v>
      </c>
      <c r="I3" s="59" t="s">
        <v>52</v>
      </c>
      <c r="J3" s="27" t="s">
        <v>12</v>
      </c>
      <c r="K3" s="63" t="s">
        <v>36</v>
      </c>
      <c r="L3" s="64" t="s">
        <v>37</v>
      </c>
      <c r="M3" s="64" t="s">
        <v>12</v>
      </c>
      <c r="N3" s="64" t="s">
        <v>49</v>
      </c>
      <c r="O3" s="65" t="s">
        <v>50</v>
      </c>
      <c r="P3" s="66" t="s">
        <v>15</v>
      </c>
      <c r="Q3" s="60" t="s">
        <v>16</v>
      </c>
      <c r="R3" s="28" t="s">
        <v>17</v>
      </c>
    </row>
    <row r="4" spans="1:18" ht="16.5" x14ac:dyDescent="0.45">
      <c r="A4" s="29" t="s">
        <v>20</v>
      </c>
      <c r="B4" s="46" t="s">
        <v>20</v>
      </c>
      <c r="C4" s="47" t="s">
        <v>21</v>
      </c>
      <c r="D4" s="47" t="s">
        <v>19</v>
      </c>
      <c r="E4" s="47" t="s">
        <v>22</v>
      </c>
      <c r="F4" s="99" t="s">
        <v>23</v>
      </c>
      <c r="G4" s="30">
        <v>600</v>
      </c>
      <c r="H4" s="68"/>
      <c r="I4" s="31">
        <f>271+8+7+21</f>
        <v>307</v>
      </c>
      <c r="J4" s="67">
        <f>IFERROR(I4/G4,0)</f>
        <v>0.51166666666666671</v>
      </c>
      <c r="K4" s="7">
        <v>550</v>
      </c>
      <c r="L4" s="8">
        <v>281</v>
      </c>
      <c r="M4" s="82">
        <f>IFERROR(L4/K4,0)</f>
        <v>0.51090909090909087</v>
      </c>
      <c r="N4" s="8">
        <f t="shared" ref="N4:N7" si="0">K4-L4</f>
        <v>269</v>
      </c>
      <c r="O4" s="10">
        <f t="shared" ref="O4:O7" si="1">N4/$D$2</f>
        <v>134.5</v>
      </c>
      <c r="P4" s="68">
        <f t="shared" ref="P4:P12" si="2">L4/I4</f>
        <v>0.91530944625407162</v>
      </c>
      <c r="Q4" s="33"/>
      <c r="R4" s="34"/>
    </row>
    <row r="5" spans="1:18" ht="16.5" x14ac:dyDescent="0.45">
      <c r="A5" s="35" t="s">
        <v>20</v>
      </c>
      <c r="B5" s="26" t="s">
        <v>20</v>
      </c>
      <c r="C5" s="16" t="s">
        <v>21</v>
      </c>
      <c r="D5" s="16" t="s">
        <v>19</v>
      </c>
      <c r="E5" s="16" t="s">
        <v>22</v>
      </c>
      <c r="F5" s="17" t="s">
        <v>24</v>
      </c>
      <c r="G5" s="11">
        <v>600</v>
      </c>
      <c r="H5" s="71"/>
      <c r="I5" s="12">
        <f>277+21</f>
        <v>298</v>
      </c>
      <c r="J5" s="69">
        <f t="shared" ref="J5:J28" si="3">IFERROR(I5/G5,0)</f>
        <v>0.49666666666666665</v>
      </c>
      <c r="K5" s="11">
        <v>450</v>
      </c>
      <c r="L5" s="12">
        <v>171</v>
      </c>
      <c r="M5" s="70">
        <f t="shared" ref="M5:M28" si="4">IFERROR(L5/K5,0)</f>
        <v>0.38</v>
      </c>
      <c r="N5" s="12">
        <f t="shared" si="0"/>
        <v>279</v>
      </c>
      <c r="O5" s="14">
        <f t="shared" si="1"/>
        <v>139.5</v>
      </c>
      <c r="P5" s="71">
        <f t="shared" si="2"/>
        <v>0.5738255033557047</v>
      </c>
      <c r="Q5" s="14"/>
      <c r="R5" s="34"/>
    </row>
    <row r="6" spans="1:18" ht="16.5" x14ac:dyDescent="0.45">
      <c r="A6" s="35" t="s">
        <v>20</v>
      </c>
      <c r="B6" s="26" t="s">
        <v>20</v>
      </c>
      <c r="C6" s="16" t="s">
        <v>21</v>
      </c>
      <c r="D6" s="16" t="s">
        <v>19</v>
      </c>
      <c r="E6" s="16" t="s">
        <v>22</v>
      </c>
      <c r="F6" s="17" t="s">
        <v>59</v>
      </c>
      <c r="G6" s="11">
        <v>600</v>
      </c>
      <c r="H6" s="71"/>
      <c r="I6" s="12">
        <f>117+5+5+8</f>
        <v>135</v>
      </c>
      <c r="J6" s="69">
        <f t="shared" si="3"/>
        <v>0.22500000000000001</v>
      </c>
      <c r="K6" s="11">
        <v>550</v>
      </c>
      <c r="L6" s="12">
        <v>187</v>
      </c>
      <c r="M6" s="70">
        <f t="shared" si="4"/>
        <v>0.34</v>
      </c>
      <c r="N6" s="12">
        <f t="shared" si="0"/>
        <v>363</v>
      </c>
      <c r="O6" s="14">
        <f t="shared" si="1"/>
        <v>181.5</v>
      </c>
      <c r="P6" s="71">
        <f t="shared" si="2"/>
        <v>1.3851851851851851</v>
      </c>
      <c r="Q6" s="14"/>
      <c r="R6" s="34"/>
    </row>
    <row r="7" spans="1:18" ht="16.5" x14ac:dyDescent="0.45">
      <c r="A7" s="35" t="s">
        <v>20</v>
      </c>
      <c r="B7" s="26" t="s">
        <v>20</v>
      </c>
      <c r="C7" s="16" t="s">
        <v>21</v>
      </c>
      <c r="D7" s="16" t="s">
        <v>19</v>
      </c>
      <c r="E7" s="16" t="s">
        <v>22</v>
      </c>
      <c r="F7" s="17" t="s">
        <v>54</v>
      </c>
      <c r="G7" s="11">
        <v>600</v>
      </c>
      <c r="H7" s="71"/>
      <c r="I7" s="12">
        <f>121+5+6+4</f>
        <v>136</v>
      </c>
      <c r="J7" s="69">
        <f t="shared" si="3"/>
        <v>0.22666666666666666</v>
      </c>
      <c r="K7" s="11">
        <v>400</v>
      </c>
      <c r="L7" s="12">
        <v>168</v>
      </c>
      <c r="M7" s="70">
        <f t="shared" si="4"/>
        <v>0.42</v>
      </c>
      <c r="N7" s="12">
        <f t="shared" si="0"/>
        <v>232</v>
      </c>
      <c r="O7" s="14">
        <f t="shared" si="1"/>
        <v>116</v>
      </c>
      <c r="P7" s="71">
        <f t="shared" si="2"/>
        <v>1.2352941176470589</v>
      </c>
      <c r="Q7" s="14"/>
      <c r="R7" s="34"/>
    </row>
    <row r="8" spans="1:18" ht="16.5" x14ac:dyDescent="0.45">
      <c r="A8" s="35" t="s">
        <v>20</v>
      </c>
      <c r="B8" s="26" t="s">
        <v>20</v>
      </c>
      <c r="C8" s="16" t="s">
        <v>21</v>
      </c>
      <c r="D8" s="16" t="s">
        <v>19</v>
      </c>
      <c r="E8" s="16" t="s">
        <v>22</v>
      </c>
      <c r="F8" s="17" t="s">
        <v>60</v>
      </c>
      <c r="G8" s="11">
        <v>600</v>
      </c>
      <c r="H8" s="71"/>
      <c r="I8" s="12">
        <f>85+5+5+8</f>
        <v>103</v>
      </c>
      <c r="J8" s="69">
        <f t="shared" si="3"/>
        <v>0.17166666666666666</v>
      </c>
      <c r="K8" s="11">
        <v>575</v>
      </c>
      <c r="L8" s="12">
        <v>109</v>
      </c>
      <c r="M8" s="70">
        <f t="shared" si="4"/>
        <v>0.18956521739130436</v>
      </c>
      <c r="N8" s="12">
        <f t="shared" ref="N8:N28" si="5">K8-L8</f>
        <v>466</v>
      </c>
      <c r="O8" s="14">
        <f t="shared" ref="O8:O28" si="6">N8/$D$2</f>
        <v>233</v>
      </c>
      <c r="P8" s="71">
        <f t="shared" si="2"/>
        <v>1.058252427184466</v>
      </c>
      <c r="Q8" s="14"/>
      <c r="R8" s="34"/>
    </row>
    <row r="9" spans="1:18" ht="16.5" x14ac:dyDescent="0.45">
      <c r="A9" s="35" t="s">
        <v>20</v>
      </c>
      <c r="B9" s="26" t="s">
        <v>20</v>
      </c>
      <c r="C9" s="16" t="s">
        <v>21</v>
      </c>
      <c r="D9" s="16" t="s">
        <v>19</v>
      </c>
      <c r="E9" s="16" t="s">
        <v>22</v>
      </c>
      <c r="F9" s="17" t="s">
        <v>25</v>
      </c>
      <c r="G9" s="11">
        <v>200</v>
      </c>
      <c r="H9" s="71"/>
      <c r="I9" s="12">
        <f>73+3+5+1</f>
        <v>82</v>
      </c>
      <c r="J9" s="69">
        <f t="shared" si="3"/>
        <v>0.41</v>
      </c>
      <c r="K9" s="11">
        <v>3000</v>
      </c>
      <c r="L9" s="12">
        <v>1666</v>
      </c>
      <c r="M9" s="70">
        <f t="shared" si="4"/>
        <v>0.55533333333333335</v>
      </c>
      <c r="N9" s="12">
        <f t="shared" si="5"/>
        <v>1334</v>
      </c>
      <c r="O9" s="14">
        <f t="shared" si="6"/>
        <v>667</v>
      </c>
      <c r="P9" s="71">
        <f t="shared" si="2"/>
        <v>20.317073170731707</v>
      </c>
      <c r="Q9" s="14"/>
      <c r="R9" s="34"/>
    </row>
    <row r="10" spans="1:18" ht="16.5" x14ac:dyDescent="0.45">
      <c r="A10" s="35" t="s">
        <v>20</v>
      </c>
      <c r="B10" s="26" t="s">
        <v>20</v>
      </c>
      <c r="C10" s="16" t="s">
        <v>21</v>
      </c>
      <c r="D10" s="16" t="s">
        <v>19</v>
      </c>
      <c r="E10" s="16" t="s">
        <v>22</v>
      </c>
      <c r="F10" s="17" t="s">
        <v>61</v>
      </c>
      <c r="G10" s="11">
        <v>600</v>
      </c>
      <c r="H10" s="71"/>
      <c r="I10" s="12">
        <f>219+20</f>
        <v>239</v>
      </c>
      <c r="J10" s="69">
        <f t="shared" si="3"/>
        <v>0.39833333333333332</v>
      </c>
      <c r="K10" s="11">
        <v>650</v>
      </c>
      <c r="L10" s="12">
        <f>371+7+20</f>
        <v>398</v>
      </c>
      <c r="M10" s="70">
        <f t="shared" si="4"/>
        <v>0.61230769230769233</v>
      </c>
      <c r="N10" s="12">
        <f t="shared" si="5"/>
        <v>252</v>
      </c>
      <c r="O10" s="14">
        <f t="shared" si="6"/>
        <v>126</v>
      </c>
      <c r="P10" s="71">
        <f t="shared" si="2"/>
        <v>1.6652719665271967</v>
      </c>
      <c r="Q10" s="14"/>
      <c r="R10" s="34"/>
    </row>
    <row r="11" spans="1:18" ht="16.5" x14ac:dyDescent="0.45">
      <c r="A11" s="35" t="s">
        <v>20</v>
      </c>
      <c r="B11" s="26" t="s">
        <v>20</v>
      </c>
      <c r="C11" s="16" t="s">
        <v>21</v>
      </c>
      <c r="D11" s="16" t="s">
        <v>19</v>
      </c>
      <c r="E11" s="16" t="s">
        <v>22</v>
      </c>
      <c r="F11" s="17" t="s">
        <v>62</v>
      </c>
      <c r="G11" s="11">
        <v>600</v>
      </c>
      <c r="H11" s="71"/>
      <c r="I11" s="12">
        <f>156+20</f>
        <v>176</v>
      </c>
      <c r="J11" s="69">
        <f t="shared" si="3"/>
        <v>0.29333333333333333</v>
      </c>
      <c r="K11" s="11">
        <v>550</v>
      </c>
      <c r="L11" s="12">
        <f>199+20</f>
        <v>219</v>
      </c>
      <c r="M11" s="70">
        <f t="shared" si="4"/>
        <v>0.39818181818181819</v>
      </c>
      <c r="N11" s="12">
        <f t="shared" si="5"/>
        <v>331</v>
      </c>
      <c r="O11" s="14">
        <f t="shared" si="6"/>
        <v>165.5</v>
      </c>
      <c r="P11" s="71">
        <f t="shared" si="2"/>
        <v>1.2443181818181819</v>
      </c>
      <c r="Q11" s="14"/>
      <c r="R11" s="34"/>
    </row>
    <row r="12" spans="1:18" ht="16.5" x14ac:dyDescent="0.45">
      <c r="A12" s="35" t="s">
        <v>20</v>
      </c>
      <c r="B12" s="26" t="s">
        <v>20</v>
      </c>
      <c r="C12" s="16" t="s">
        <v>21</v>
      </c>
      <c r="D12" s="16" t="s">
        <v>19</v>
      </c>
      <c r="E12" s="16" t="s">
        <v>22</v>
      </c>
      <c r="F12" s="17" t="s">
        <v>65</v>
      </c>
      <c r="G12" s="11">
        <v>600</v>
      </c>
      <c r="H12" s="71"/>
      <c r="I12" s="12">
        <f>139+10</f>
        <v>149</v>
      </c>
      <c r="J12" s="69">
        <f t="shared" si="3"/>
        <v>0.24833333333333332</v>
      </c>
      <c r="K12" s="11">
        <v>450</v>
      </c>
      <c r="L12" s="12">
        <f>126+2</f>
        <v>128</v>
      </c>
      <c r="M12" s="70">
        <f t="shared" si="4"/>
        <v>0.28444444444444444</v>
      </c>
      <c r="N12" s="12">
        <f t="shared" si="5"/>
        <v>322</v>
      </c>
      <c r="O12" s="14">
        <f t="shared" si="6"/>
        <v>161</v>
      </c>
      <c r="P12" s="71">
        <f t="shared" si="2"/>
        <v>0.85906040268456374</v>
      </c>
      <c r="Q12" s="14"/>
      <c r="R12" s="34"/>
    </row>
    <row r="13" spans="1:18" ht="16.5" x14ac:dyDescent="0.45">
      <c r="A13" s="35" t="s">
        <v>20</v>
      </c>
      <c r="B13" s="26" t="s">
        <v>20</v>
      </c>
      <c r="C13" s="16" t="s">
        <v>21</v>
      </c>
      <c r="D13" s="16" t="s">
        <v>19</v>
      </c>
      <c r="E13" s="16" t="s">
        <v>22</v>
      </c>
      <c r="F13" s="100" t="s">
        <v>66</v>
      </c>
      <c r="G13" s="11">
        <v>0</v>
      </c>
      <c r="H13" s="71"/>
      <c r="I13" s="12">
        <v>1</v>
      </c>
      <c r="J13" s="69">
        <f t="shared" si="3"/>
        <v>0</v>
      </c>
      <c r="K13" s="11">
        <v>100</v>
      </c>
      <c r="L13" s="12">
        <v>100</v>
      </c>
      <c r="M13" s="70">
        <f t="shared" si="4"/>
        <v>1</v>
      </c>
      <c r="N13" s="12">
        <f t="shared" si="5"/>
        <v>0</v>
      </c>
      <c r="O13" s="14">
        <f t="shared" si="6"/>
        <v>0</v>
      </c>
      <c r="P13" s="71"/>
      <c r="Q13" s="14"/>
      <c r="R13" s="34"/>
    </row>
    <row r="14" spans="1:18" ht="16.5" x14ac:dyDescent="0.45">
      <c r="A14" s="35" t="s">
        <v>20</v>
      </c>
      <c r="B14" s="26" t="s">
        <v>20</v>
      </c>
      <c r="C14" s="16" t="s">
        <v>21</v>
      </c>
      <c r="D14" s="16" t="s">
        <v>19</v>
      </c>
      <c r="E14" s="16" t="s">
        <v>22</v>
      </c>
      <c r="F14" s="100" t="s">
        <v>67</v>
      </c>
      <c r="G14" s="11"/>
      <c r="H14" s="71"/>
      <c r="I14" s="12"/>
      <c r="J14" s="69">
        <f t="shared" si="3"/>
        <v>0</v>
      </c>
      <c r="K14" s="11"/>
      <c r="L14" s="12"/>
      <c r="M14" s="70">
        <f t="shared" si="4"/>
        <v>0</v>
      </c>
      <c r="N14" s="12">
        <f t="shared" si="5"/>
        <v>0</v>
      </c>
      <c r="O14" s="14">
        <f t="shared" si="6"/>
        <v>0</v>
      </c>
      <c r="P14" s="71"/>
      <c r="Q14" s="14"/>
      <c r="R14" s="34"/>
    </row>
    <row r="15" spans="1:18" ht="17" thickBot="1" x14ac:dyDescent="0.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101" t="s">
        <v>68</v>
      </c>
      <c r="G15" s="11"/>
      <c r="H15" s="71"/>
      <c r="I15" s="12"/>
      <c r="J15" s="69">
        <f t="shared" si="3"/>
        <v>0</v>
      </c>
      <c r="K15" s="11"/>
      <c r="L15" s="12"/>
      <c r="M15" s="70">
        <f t="shared" si="4"/>
        <v>0</v>
      </c>
      <c r="N15" s="12">
        <f t="shared" si="5"/>
        <v>0</v>
      </c>
      <c r="O15" s="14">
        <f t="shared" si="6"/>
        <v>0</v>
      </c>
      <c r="P15" s="71"/>
      <c r="Q15" s="14"/>
      <c r="R15" s="34"/>
    </row>
    <row r="16" spans="1:18" ht="15" thickBot="1" x14ac:dyDescent="0.4">
      <c r="A16" s="35" t="s">
        <v>20</v>
      </c>
      <c r="B16" s="26" t="s">
        <v>20</v>
      </c>
      <c r="C16" s="51" t="s">
        <v>21</v>
      </c>
      <c r="D16" s="105" t="s">
        <v>18</v>
      </c>
      <c r="E16" s="106"/>
      <c r="F16" s="107"/>
      <c r="G16" s="40">
        <f>SUM(G4:G13)</f>
        <v>5000</v>
      </c>
      <c r="H16" s="41">
        <f>SUM(H4:H12)</f>
        <v>0</v>
      </c>
      <c r="I16" s="41">
        <f>SUM(I4:I12)</f>
        <v>1625</v>
      </c>
      <c r="J16" s="75">
        <f t="shared" si="3"/>
        <v>0.32500000000000001</v>
      </c>
      <c r="K16" s="76">
        <f>SUM(K4:K15)</f>
        <v>7275</v>
      </c>
      <c r="L16" s="77">
        <f>SUM(L4:L15)</f>
        <v>3427</v>
      </c>
      <c r="M16" s="78">
        <f t="shared" si="4"/>
        <v>0.47106529209621995</v>
      </c>
      <c r="N16" s="77">
        <f t="shared" si="5"/>
        <v>3848</v>
      </c>
      <c r="O16" s="79">
        <f t="shared" si="6"/>
        <v>1924</v>
      </c>
      <c r="P16" s="80">
        <f>L16/I16</f>
        <v>2.1089230769230771</v>
      </c>
      <c r="Q16" s="43" t="e">
        <f>AVERAGE(Q4:Q15)</f>
        <v>#DIV/0!</v>
      </c>
      <c r="R16" s="44"/>
    </row>
    <row r="17" spans="1:18" x14ac:dyDescent="0.35">
      <c r="A17" s="35" t="s">
        <v>20</v>
      </c>
      <c r="B17" s="26" t="s">
        <v>20</v>
      </c>
      <c r="C17" s="16" t="s">
        <v>21</v>
      </c>
      <c r="D17" s="15" t="s">
        <v>26</v>
      </c>
      <c r="E17" s="15" t="s">
        <v>27</v>
      </c>
      <c r="F17" s="95" t="s">
        <v>56</v>
      </c>
      <c r="G17" s="7">
        <v>1</v>
      </c>
      <c r="H17" s="96"/>
      <c r="I17" s="8">
        <v>1</v>
      </c>
      <c r="J17" s="81">
        <f t="shared" si="3"/>
        <v>1</v>
      </c>
      <c r="K17" s="7">
        <v>600</v>
      </c>
      <c r="L17" s="8">
        <v>174.3</v>
      </c>
      <c r="M17" s="82">
        <f t="shared" si="4"/>
        <v>0.29050000000000004</v>
      </c>
      <c r="N17" s="8">
        <f t="shared" si="5"/>
        <v>425.7</v>
      </c>
      <c r="O17" s="10">
        <f t="shared" si="6"/>
        <v>212.85</v>
      </c>
      <c r="P17" s="96">
        <f t="shared" ref="P17:P21" si="7">L17/I17</f>
        <v>174.3</v>
      </c>
      <c r="Q17" s="10"/>
      <c r="R17" s="34"/>
    </row>
    <row r="18" spans="1:18" x14ac:dyDescent="0.35">
      <c r="A18" s="35" t="s">
        <v>20</v>
      </c>
      <c r="B18" s="26" t="s">
        <v>20</v>
      </c>
      <c r="C18" s="16" t="s">
        <v>21</v>
      </c>
      <c r="D18" s="16" t="s">
        <v>26</v>
      </c>
      <c r="E18" s="16" t="s">
        <v>27</v>
      </c>
      <c r="F18" s="97" t="s">
        <v>28</v>
      </c>
      <c r="G18" s="11">
        <v>1</v>
      </c>
      <c r="H18" s="71"/>
      <c r="I18" s="12">
        <v>1</v>
      </c>
      <c r="J18" s="69">
        <f t="shared" si="3"/>
        <v>1</v>
      </c>
      <c r="K18" s="11">
        <v>600</v>
      </c>
      <c r="L18" s="12">
        <v>174.3</v>
      </c>
      <c r="M18" s="70">
        <f t="shared" si="4"/>
        <v>0.29050000000000004</v>
      </c>
      <c r="N18" s="12">
        <f t="shared" si="5"/>
        <v>425.7</v>
      </c>
      <c r="O18" s="14">
        <f t="shared" si="6"/>
        <v>212.85</v>
      </c>
      <c r="P18" s="71">
        <f t="shared" si="7"/>
        <v>174.3</v>
      </c>
      <c r="Q18" s="14"/>
      <c r="R18" s="34"/>
    </row>
    <row r="19" spans="1:18" x14ac:dyDescent="0.35">
      <c r="A19" s="35" t="s">
        <v>20</v>
      </c>
      <c r="B19" s="26" t="s">
        <v>20</v>
      </c>
      <c r="C19" s="16" t="s">
        <v>21</v>
      </c>
      <c r="D19" s="16" t="s">
        <v>26</v>
      </c>
      <c r="E19" s="16" t="s">
        <v>27</v>
      </c>
      <c r="F19" s="97" t="s">
        <v>29</v>
      </c>
      <c r="G19" s="11">
        <v>1</v>
      </c>
      <c r="H19" s="71"/>
      <c r="I19" s="12">
        <v>1</v>
      </c>
      <c r="J19" s="69">
        <f t="shared" si="3"/>
        <v>1</v>
      </c>
      <c r="K19" s="11">
        <v>600</v>
      </c>
      <c r="L19" s="12">
        <v>174.3</v>
      </c>
      <c r="M19" s="70">
        <f t="shared" si="4"/>
        <v>0.29050000000000004</v>
      </c>
      <c r="N19" s="12">
        <f t="shared" si="5"/>
        <v>425.7</v>
      </c>
      <c r="O19" s="14">
        <f t="shared" si="6"/>
        <v>212.85</v>
      </c>
      <c r="P19" s="71">
        <f t="shared" si="7"/>
        <v>174.3</v>
      </c>
      <c r="Q19" s="14"/>
      <c r="R19" s="34"/>
    </row>
    <row r="20" spans="1:18" x14ac:dyDescent="0.35">
      <c r="A20" s="35" t="s">
        <v>20</v>
      </c>
      <c r="B20" s="26" t="s">
        <v>20</v>
      </c>
      <c r="C20" s="16" t="s">
        <v>21</v>
      </c>
      <c r="D20" s="16" t="s">
        <v>26</v>
      </c>
      <c r="E20" s="16" t="s">
        <v>27</v>
      </c>
      <c r="F20" s="97" t="s">
        <v>30</v>
      </c>
      <c r="G20" s="11">
        <v>1</v>
      </c>
      <c r="H20" s="71"/>
      <c r="I20" s="12">
        <v>1</v>
      </c>
      <c r="J20" s="69">
        <f t="shared" si="3"/>
        <v>1</v>
      </c>
      <c r="K20" s="11">
        <v>600</v>
      </c>
      <c r="L20" s="12">
        <v>174.3</v>
      </c>
      <c r="M20" s="70">
        <f t="shared" si="4"/>
        <v>0.29050000000000004</v>
      </c>
      <c r="N20" s="12">
        <f t="shared" si="5"/>
        <v>425.7</v>
      </c>
      <c r="O20" s="14">
        <f t="shared" si="6"/>
        <v>212.85</v>
      </c>
      <c r="P20" s="71">
        <f t="shared" si="7"/>
        <v>174.3</v>
      </c>
      <c r="Q20" s="14"/>
      <c r="R20" s="34"/>
    </row>
    <row r="21" spans="1:18" ht="15" thickBot="1" x14ac:dyDescent="0.4">
      <c r="A21" s="35" t="s">
        <v>20</v>
      </c>
      <c r="B21" s="26" t="s">
        <v>20</v>
      </c>
      <c r="C21" s="16" t="s">
        <v>21</v>
      </c>
      <c r="D21" s="19" t="s">
        <v>26</v>
      </c>
      <c r="E21" s="19" t="s">
        <v>27</v>
      </c>
      <c r="F21" s="98" t="s">
        <v>38</v>
      </c>
      <c r="G21" s="36">
        <v>1</v>
      </c>
      <c r="H21" s="74"/>
      <c r="I21" s="37">
        <v>1</v>
      </c>
      <c r="J21" s="72">
        <f t="shared" si="3"/>
        <v>1</v>
      </c>
      <c r="K21" s="92">
        <v>600</v>
      </c>
      <c r="L21" s="93">
        <v>174.3</v>
      </c>
      <c r="M21" s="73">
        <f t="shared" si="4"/>
        <v>0.29050000000000004</v>
      </c>
      <c r="N21" s="93">
        <f t="shared" si="5"/>
        <v>425.7</v>
      </c>
      <c r="O21" s="94">
        <f t="shared" si="6"/>
        <v>212.85</v>
      </c>
      <c r="P21" s="74">
        <f t="shared" si="7"/>
        <v>174.3</v>
      </c>
      <c r="Q21" s="39">
        <v>1</v>
      </c>
      <c r="R21" s="34"/>
    </row>
    <row r="22" spans="1:18" ht="15" thickBot="1" x14ac:dyDescent="0.4">
      <c r="A22" s="35" t="s">
        <v>20</v>
      </c>
      <c r="B22" s="26" t="s">
        <v>20</v>
      </c>
      <c r="C22" s="51" t="s">
        <v>21</v>
      </c>
      <c r="D22" s="105" t="s">
        <v>18</v>
      </c>
      <c r="E22" s="106"/>
      <c r="F22" s="107"/>
      <c r="G22" s="40">
        <f>SUM(G17:G21)</f>
        <v>5</v>
      </c>
      <c r="H22" s="41">
        <f t="shared" ref="H22:I22" si="8">SUM(H17:H21)</f>
        <v>0</v>
      </c>
      <c r="I22" s="41">
        <f t="shared" si="8"/>
        <v>5</v>
      </c>
      <c r="J22" s="75">
        <f t="shared" si="3"/>
        <v>1</v>
      </c>
      <c r="K22" s="76">
        <v>600</v>
      </c>
      <c r="L22" s="77">
        <v>174.3</v>
      </c>
      <c r="M22" s="78">
        <f t="shared" si="4"/>
        <v>0.29050000000000004</v>
      </c>
      <c r="N22" s="77">
        <f t="shared" si="5"/>
        <v>425.7</v>
      </c>
      <c r="O22" s="79">
        <f t="shared" si="6"/>
        <v>212.85</v>
      </c>
      <c r="P22" s="80">
        <f>L22/I22</f>
        <v>34.86</v>
      </c>
      <c r="Q22" s="43">
        <f>AVERAGE(Q17:Q21)</f>
        <v>1</v>
      </c>
      <c r="R22" s="44"/>
    </row>
    <row r="23" spans="1:18" x14ac:dyDescent="0.35">
      <c r="A23" s="35" t="s">
        <v>20</v>
      </c>
      <c r="B23" s="26" t="s">
        <v>20</v>
      </c>
      <c r="C23" s="16" t="s">
        <v>21</v>
      </c>
      <c r="D23" s="15" t="s">
        <v>31</v>
      </c>
      <c r="E23" s="15" t="s">
        <v>32</v>
      </c>
      <c r="F23" s="95" t="s">
        <v>39</v>
      </c>
      <c r="G23" s="7">
        <v>1</v>
      </c>
      <c r="H23" s="96"/>
      <c r="I23" s="8">
        <v>1</v>
      </c>
      <c r="J23" s="81">
        <f t="shared" si="3"/>
        <v>1</v>
      </c>
      <c r="K23" s="7">
        <v>600</v>
      </c>
      <c r="L23" s="8">
        <v>174.3</v>
      </c>
      <c r="M23" s="82">
        <f t="shared" si="4"/>
        <v>0.29050000000000004</v>
      </c>
      <c r="N23" s="8">
        <f t="shared" si="5"/>
        <v>425.7</v>
      </c>
      <c r="O23" s="10">
        <f t="shared" si="6"/>
        <v>212.85</v>
      </c>
      <c r="P23" s="96">
        <f t="shared" ref="P23:P26" si="9">L23/I23</f>
        <v>174.3</v>
      </c>
      <c r="Q23" s="10"/>
      <c r="R23" s="34"/>
    </row>
    <row r="24" spans="1:18" x14ac:dyDescent="0.35">
      <c r="A24" s="35" t="s">
        <v>20</v>
      </c>
      <c r="B24" s="26" t="s">
        <v>20</v>
      </c>
      <c r="C24" s="16" t="s">
        <v>21</v>
      </c>
      <c r="D24" s="16" t="s">
        <v>31</v>
      </c>
      <c r="E24" s="16" t="s">
        <v>32</v>
      </c>
      <c r="F24" s="97" t="s">
        <v>57</v>
      </c>
      <c r="G24" s="11">
        <v>1</v>
      </c>
      <c r="H24" s="71"/>
      <c r="I24" s="12">
        <v>1</v>
      </c>
      <c r="J24" s="69">
        <f t="shared" si="3"/>
        <v>1</v>
      </c>
      <c r="K24" s="11">
        <v>600</v>
      </c>
      <c r="L24" s="12">
        <v>174.3</v>
      </c>
      <c r="M24" s="70">
        <f t="shared" si="4"/>
        <v>0.29050000000000004</v>
      </c>
      <c r="N24" s="12">
        <f t="shared" si="5"/>
        <v>425.7</v>
      </c>
      <c r="O24" s="14">
        <f t="shared" si="6"/>
        <v>212.85</v>
      </c>
      <c r="P24" s="71">
        <f t="shared" si="9"/>
        <v>174.3</v>
      </c>
      <c r="Q24" s="14"/>
      <c r="R24" s="34"/>
    </row>
    <row r="25" spans="1:18" x14ac:dyDescent="0.35">
      <c r="A25" s="35" t="s">
        <v>20</v>
      </c>
      <c r="B25" s="26" t="s">
        <v>20</v>
      </c>
      <c r="C25" s="16" t="s">
        <v>21</v>
      </c>
      <c r="D25" s="16" t="s">
        <v>31</v>
      </c>
      <c r="E25" s="16" t="s">
        <v>32</v>
      </c>
      <c r="F25" s="97" t="s">
        <v>40</v>
      </c>
      <c r="G25" s="11">
        <v>1</v>
      </c>
      <c r="H25" s="71"/>
      <c r="I25" s="12">
        <v>1</v>
      </c>
      <c r="J25" s="69">
        <f t="shared" si="3"/>
        <v>1</v>
      </c>
      <c r="K25" s="11">
        <v>600</v>
      </c>
      <c r="L25" s="12">
        <v>174.3</v>
      </c>
      <c r="M25" s="70">
        <f t="shared" si="4"/>
        <v>0.29050000000000004</v>
      </c>
      <c r="N25" s="12">
        <f t="shared" si="5"/>
        <v>425.7</v>
      </c>
      <c r="O25" s="14">
        <f t="shared" si="6"/>
        <v>212.85</v>
      </c>
      <c r="P25" s="71">
        <f t="shared" si="9"/>
        <v>174.3</v>
      </c>
      <c r="Q25" s="14"/>
      <c r="R25" s="34"/>
    </row>
    <row r="26" spans="1:18" ht="15" thickBot="1" x14ac:dyDescent="0.4">
      <c r="A26" s="35" t="s">
        <v>20</v>
      </c>
      <c r="B26" s="26" t="s">
        <v>20</v>
      </c>
      <c r="C26" s="16" t="s">
        <v>21</v>
      </c>
      <c r="D26" s="19" t="s">
        <v>31</v>
      </c>
      <c r="E26" s="19" t="s">
        <v>32</v>
      </c>
      <c r="F26" s="98" t="s">
        <v>58</v>
      </c>
      <c r="G26" s="36">
        <v>1</v>
      </c>
      <c r="H26" s="74"/>
      <c r="I26" s="37">
        <v>1</v>
      </c>
      <c r="J26" s="72">
        <f t="shared" si="3"/>
        <v>1</v>
      </c>
      <c r="K26" s="92">
        <v>600</v>
      </c>
      <c r="L26" s="93">
        <v>174.3</v>
      </c>
      <c r="M26" s="73">
        <f t="shared" si="4"/>
        <v>0.29050000000000004</v>
      </c>
      <c r="N26" s="93">
        <f t="shared" si="5"/>
        <v>425.7</v>
      </c>
      <c r="O26" s="94">
        <f t="shared" si="6"/>
        <v>212.85</v>
      </c>
      <c r="P26" s="74">
        <f t="shared" si="9"/>
        <v>174.3</v>
      </c>
      <c r="Q26" s="39">
        <v>1</v>
      </c>
      <c r="R26" s="34"/>
    </row>
    <row r="27" spans="1:18" ht="15" thickBot="1" x14ac:dyDescent="0.4">
      <c r="A27" s="35" t="s">
        <v>20</v>
      </c>
      <c r="B27" s="54" t="s">
        <v>20</v>
      </c>
      <c r="C27" s="55" t="s">
        <v>21</v>
      </c>
      <c r="D27" s="105" t="s">
        <v>18</v>
      </c>
      <c r="E27" s="106"/>
      <c r="F27" s="107"/>
      <c r="G27" s="40">
        <f>SUM(G23:G26)</f>
        <v>4</v>
      </c>
      <c r="H27" s="80"/>
      <c r="I27" s="41">
        <f t="shared" ref="I27" si="10">SUM(I23:I26)</f>
        <v>4</v>
      </c>
      <c r="J27" s="75">
        <f t="shared" si="3"/>
        <v>1</v>
      </c>
      <c r="K27" s="76">
        <v>600</v>
      </c>
      <c r="L27" s="77">
        <v>174.3</v>
      </c>
      <c r="M27" s="78">
        <f t="shared" si="4"/>
        <v>0.29050000000000004</v>
      </c>
      <c r="N27" s="77">
        <f t="shared" si="5"/>
        <v>425.7</v>
      </c>
      <c r="O27" s="79">
        <f t="shared" si="6"/>
        <v>212.85</v>
      </c>
      <c r="P27" s="80">
        <f>L27/I27</f>
        <v>43.575000000000003</v>
      </c>
      <c r="Q27" s="43">
        <f>AVERAGE(Q23:Q26)</f>
        <v>1</v>
      </c>
      <c r="R27" s="44"/>
    </row>
    <row r="28" spans="1:18" ht="15" thickBot="1" x14ac:dyDescent="0.4">
      <c r="A28" s="45" t="s">
        <v>20</v>
      </c>
      <c r="B28" s="56" t="s">
        <v>33</v>
      </c>
      <c r="C28" s="57"/>
      <c r="D28" s="57"/>
      <c r="E28" s="57"/>
      <c r="F28" s="57"/>
      <c r="G28" s="20">
        <f>+G27+G22+G16</f>
        <v>5009</v>
      </c>
      <c r="H28" s="21">
        <f t="shared" ref="H28:I28" si="11">+H27+H22+H16</f>
        <v>0</v>
      </c>
      <c r="I28" s="21">
        <f t="shared" si="11"/>
        <v>1634</v>
      </c>
      <c r="J28" s="83">
        <f t="shared" si="3"/>
        <v>0.32621281692952686</v>
      </c>
      <c r="K28" s="84">
        <v>600</v>
      </c>
      <c r="L28" s="85">
        <v>174.3</v>
      </c>
      <c r="M28" s="86">
        <f t="shared" si="4"/>
        <v>0.29050000000000004</v>
      </c>
      <c r="N28" s="85">
        <f t="shared" si="5"/>
        <v>425.7</v>
      </c>
      <c r="O28" s="87">
        <f t="shared" si="6"/>
        <v>212.85</v>
      </c>
      <c r="P28" s="88">
        <f>L28/I28</f>
        <v>0.10667074663402694</v>
      </c>
      <c r="Q28" s="23" t="e">
        <f>AVERAGE(Q27,Q16,Q22)</f>
        <v>#DIV/0!</v>
      </c>
      <c r="R28" s="34"/>
    </row>
  </sheetData>
  <mergeCells count="6">
    <mergeCell ref="D16:F16"/>
    <mergeCell ref="D22:F22"/>
    <mergeCell ref="D27:F27"/>
    <mergeCell ref="P2:Q2"/>
    <mergeCell ref="G2:J2"/>
    <mergeCell ref="K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2026-09-28T12:01:38Z</dcterms:modified>
</cp:coreProperties>
</file>