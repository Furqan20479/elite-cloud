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D93535D-8460-48A1-B4F2-4447FB0A03A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1" sheetId="11" r:id="rId4"/>
    <sheet name="Customer Invoice (2)" sheetId="16" state="hidden" r:id="rId5"/>
    <sheet name="Sheet1" sheetId="14" state="hidden" r:id="rId6"/>
    <sheet name="Sheet3" sheetId="15" state="hidden" r:id="rId7"/>
    <sheet name="Sheet2" sheetId="13" state="hidden" r:id="rId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14" i="11" l="1"/>
  <c r="J14" i="11"/>
  <c r="N12" i="11"/>
  <c r="N13" i="11"/>
  <c r="N11" i="11"/>
  <c r="N9" i="11"/>
  <c r="N10" i="11"/>
  <c r="N8" i="11"/>
  <c r="C4" i="11" l="1"/>
  <c r="J50" i="41" l="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L33" i="41" l="1"/>
  <c r="L29" i="41"/>
  <c r="L48" i="41"/>
  <c r="L7" i="41"/>
  <c r="L43" i="41"/>
  <c r="L6" i="41"/>
  <c r="L37" i="4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7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1" i="11" l="1"/>
  <c r="E14" i="11"/>
  <c r="E13" i="11"/>
  <c r="E12" i="11"/>
  <c r="E11" i="11"/>
  <c r="E10" i="11"/>
  <c r="E9" i="11"/>
  <c r="E8" i="11"/>
  <c r="D14" i="11"/>
  <c r="D13" i="11"/>
  <c r="D12" i="11"/>
  <c r="D11" i="11"/>
  <c r="D10" i="11"/>
  <c r="D9" i="11"/>
  <c r="D8" i="11"/>
  <c r="C8" i="11"/>
  <c r="B14" i="11"/>
  <c r="C14" i="11" s="1"/>
  <c r="B13" i="11"/>
  <c r="C13" i="11" s="1"/>
  <c r="B12" i="11"/>
  <c r="C12" i="11" s="1"/>
  <c r="B11" i="11"/>
  <c r="C11" i="11" s="1"/>
  <c r="B10" i="11"/>
  <c r="C10" i="11" s="1"/>
  <c r="B9" i="11"/>
  <c r="C9" i="11" s="1"/>
  <c r="B8" i="1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F12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8" i="11" l="1"/>
  <c r="I8" i="11" s="1"/>
  <c r="J8" i="11" s="1"/>
  <c r="F9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13" i="11"/>
  <c r="I13" i="11" s="1"/>
  <c r="J13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F10" i="11"/>
  <c r="I10" i="11" s="1"/>
  <c r="J10" i="11" s="1"/>
  <c r="F14" i="11"/>
  <c r="I12" i="11"/>
  <c r="J12" i="11" s="1"/>
  <c r="I11" i="11"/>
  <c r="J11" i="11" s="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K13" i="11" l="1"/>
  <c r="K12" i="11"/>
  <c r="K11" i="11"/>
  <c r="K10" i="11"/>
  <c r="K8" i="11"/>
  <c r="U6" i="6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13" i="11"/>
  <c r="L12" i="11"/>
  <c r="L11" i="11"/>
  <c r="L10" i="11"/>
  <c r="L8" i="11"/>
  <c r="W7" i="6"/>
  <c r="Y7" i="6" s="1"/>
  <c r="T7" i="6"/>
  <c r="W6" i="6"/>
  <c r="Y6" i="6" s="1"/>
  <c r="T6" i="6"/>
  <c r="O8" i="6"/>
  <c r="U8" i="6" s="1"/>
  <c r="N9" i="6"/>
  <c r="O24" i="11"/>
  <c r="C3" i="11" s="1"/>
  <c r="L24" i="16" l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J25" i="16"/>
  <c r="O30" i="16" s="1"/>
  <c r="M24" i="16"/>
  <c r="N24" i="16" s="1"/>
  <c r="O24" i="16"/>
  <c r="O31" i="16"/>
  <c r="O32" i="16" s="1"/>
  <c r="O33" i="16" s="1"/>
  <c r="O34" i="16" s="1"/>
  <c r="O35" i="16" s="1"/>
  <c r="L16" i="16"/>
  <c r="L18" i="16"/>
  <c r="M8" i="11"/>
  <c r="O9" i="6"/>
  <c r="U9" i="6" s="1"/>
  <c r="N10" i="6"/>
  <c r="W8" i="6"/>
  <c r="Y8" i="6" s="1"/>
  <c r="T8" i="6"/>
  <c r="V6" i="6"/>
  <c r="X6" i="6" s="1"/>
  <c r="AC6" i="6" s="1"/>
  <c r="V7" i="6"/>
  <c r="X7" i="6" s="1"/>
  <c r="H15" i="11"/>
  <c r="G15" i="11"/>
  <c r="A15" i="11"/>
  <c r="M19" i="16" l="1"/>
  <c r="N19" i="16" s="1"/>
  <c r="O19" i="16"/>
  <c r="M18" i="16"/>
  <c r="N18" i="16" s="1"/>
  <c r="O18" i="16"/>
  <c r="M16" i="16"/>
  <c r="L25" i="16"/>
  <c r="O23" i="16"/>
  <c r="O17" i="16"/>
  <c r="O8" i="11"/>
  <c r="O10" i="6"/>
  <c r="U10" i="6" s="1"/>
  <c r="N11" i="6"/>
  <c r="W9" i="6"/>
  <c r="Y9" i="6" s="1"/>
  <c r="T9" i="6"/>
  <c r="V8" i="6"/>
  <c r="X8" i="6" s="1"/>
  <c r="U3" i="5"/>
  <c r="P8" i="11" l="1"/>
  <c r="M25" i="16"/>
  <c r="N16" i="16"/>
  <c r="O11" i="6"/>
  <c r="U11" i="6" s="1"/>
  <c r="N12" i="6"/>
  <c r="W10" i="6"/>
  <c r="Y10" i="6" s="1"/>
  <c r="T10" i="6"/>
  <c r="V9" i="6"/>
  <c r="X9" i="6" s="1"/>
  <c r="AC9" i="6" s="1"/>
  <c r="I14" i="11"/>
  <c r="I9" i="11"/>
  <c r="J9" i="11" s="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K14" i="11" l="1"/>
  <c r="L14" i="11"/>
  <c r="K9" i="11"/>
  <c r="N25" i="16"/>
  <c r="O16" i="16"/>
  <c r="O25" i="16" s="1"/>
  <c r="L9" i="1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0" i="11" l="1"/>
  <c r="M9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15" i="11"/>
  <c r="P1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O10" i="11" l="1"/>
  <c r="M11" i="11"/>
  <c r="O11" i="11" s="1"/>
  <c r="W13" i="6"/>
  <c r="Y13" i="6" s="1"/>
  <c r="T13" i="6"/>
  <c r="V12" i="6"/>
  <c r="X12" i="6" s="1"/>
  <c r="AC12" i="6" s="1"/>
  <c r="AC13" i="6" s="1"/>
  <c r="W14" i="6"/>
  <c r="Y14" i="6" s="1"/>
  <c r="T14" i="6"/>
  <c r="O5" i="5"/>
  <c r="K15" i="11"/>
  <c r="L1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10" i="11" l="1"/>
  <c r="P11" i="11"/>
  <c r="M12" i="11"/>
  <c r="P20" i="11"/>
  <c r="O9" i="11"/>
  <c r="V14" i="6"/>
  <c r="X14" i="6" s="1"/>
  <c r="V13" i="6"/>
  <c r="X13" i="6" s="1"/>
  <c r="O12" i="11" l="1"/>
  <c r="M13" i="11"/>
  <c r="P9" i="11"/>
  <c r="P5" i="5"/>
  <c r="P12" i="11" l="1"/>
  <c r="O13" i="11"/>
  <c r="M14" i="11"/>
  <c r="N15" i="11"/>
  <c r="P22" i="11" s="1"/>
  <c r="P13" i="11" l="1"/>
  <c r="O14" i="11"/>
  <c r="J15" i="11"/>
  <c r="P19" i="11" s="1"/>
  <c r="P21" i="11" s="1"/>
  <c r="P23" i="11" s="1"/>
  <c r="P24" i="11" s="1"/>
  <c r="P25" i="11" s="1"/>
  <c r="P14" i="11" l="1"/>
  <c r="M15" i="11" l="1"/>
  <c r="O15" i="11"/>
  <c r="P15" i="11" l="1"/>
</calcChain>
</file>

<file path=xl/sharedStrings.xml><?xml version="1.0" encoding="utf-8"?>
<sst xmlns="http://schemas.openxmlformats.org/spreadsheetml/2006/main" count="1355" uniqueCount="496">
  <si>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</si>
  <si>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</si>
  <si>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</si>
  <si>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</si>
  <si>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</si>
  <si>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</si>
  <si>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</si>
  <si>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</si>
  <si>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</si>
  <si>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</si>
  <si>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</si>
  <si>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</si>
  <si>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</si>
  <si>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</si>
  <si>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</si>
  <si>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</si>
  <si>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</si>
  <si>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</si>
  <si>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</si>
  <si>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</si>
  <si>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</si>
  <si>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</si>
  <si>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</si>
  <si>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</si>
  <si>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</si>
  <si>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</si>
  <si>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</si>
  <si>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</si>
  <si>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</si>
  <si>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</si>
  <si>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</si>
  <si>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</si>
  <si>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</si>
  <si>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</si>
  <si>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</si>
  <si>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</si>
  <si>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</si>
  <si>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</si>
  <si>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</si>
  <si>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</si>
  <si>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</si>
  <si>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</si>
  <si>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</si>
  <si>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</si>
  <si>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</si>
  <si>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</si>
  <si>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</si>
  <si>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</si>
  <si>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</si>
  <si>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</si>
  <si>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</si>
  <si>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</si>
  <si>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</si>
  <si>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</si>
  <si>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</si>
  <si>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</si>
  <si>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</si>
  <si>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</si>
  <si>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</si>
  <si>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</si>
  <si>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</si>
  <si>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</si>
  <si>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</si>
  <si>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</si>
  <si>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</si>
  <si>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</si>
  <si>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</si>
  <si>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</si>
  <si>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</si>
  <si>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</si>
  <si>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</si>
  <si>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</si>
  <si>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</si>
  <si>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</si>
  <si>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</si>
  <si>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</si>
  <si>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</si>
  <si>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</si>
  <si>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</si>
  <si>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</si>
  <si>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</si>
  <si>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</si>
  <si>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</si>
  <si>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</si>
  <si>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</si>
  <si>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</si>
  <si>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</si>
  <si>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</si>
  <si>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</si>
  <si>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</si>
  <si>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</si>
  <si>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</si>
  <si>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</si>
  <si>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</si>
  <si>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</si>
  <si>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</si>
  <si>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</si>
  <si>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</si>
  <si>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</si>
  <si>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</si>
  <si>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</si>
  <si>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</si>
  <si>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</si>
  <si>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</si>
  <si>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</si>
  <si>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</si>
  <si>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</si>
  <si>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</si>
  <si>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</si>
  <si>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</si>
  <si>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</si>
  <si>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</si>
  <si>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</si>
  <si>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</si>
  <si>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</si>
  <si>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</si>
  <si>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</si>
  <si>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</si>
  <si>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</si>
  <si>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</si>
  <si>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</si>
  <si>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</si>
  <si>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</si>
  <si>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</si>
  <si>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</si>
  <si>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</si>
  <si>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</si>
  <si>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</si>
  <si>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</si>
  <si>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</si>
  <si>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</si>
  <si>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</si>
  <si>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</si>
  <si>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</si>
  <si>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</si>
  <si>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</si>
  <si>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</si>
  <si>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</si>
  <si>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</si>
  <si>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</si>
  <si>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</si>
  <si>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</si>
  <si>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</si>
  <si>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</si>
  <si>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</si>
  <si>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</si>
  <si>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</si>
  <si>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</si>
  <si>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</si>
  <si>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</si>
  <si>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</si>
  <si>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</si>
  <si>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</si>
  <si>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</si>
  <si>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</si>
  <si>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</si>
  <si>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</si>
  <si>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</si>
  <si>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</si>
  <si>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</si>
  <si>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</si>
  <si>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</si>
  <si>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</si>
  <si>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</si>
  <si>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</si>
  <si>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</si>
  <si>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</si>
  <si>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</si>
  <si>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</si>
  <si>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</si>
  <si>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</si>
  <si>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</si>
  <si>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</si>
  <si>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</si>
  <si>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</si>
  <si>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</si>
  <si>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</si>
  <si>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</si>
  <si>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</si>
  <si>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</si>
  <si>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</si>
  <si>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</si>
  <si>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</si>
  <si>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</si>
  <si>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</si>
  <si>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</si>
  <si>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</si>
  <si>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</si>
  <si>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</si>
  <si>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</si>
  <si>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</si>
  <si>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</si>
  <si>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</si>
  <si>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</si>
  <si>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</si>
  <si>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</si>
  <si>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</si>
  <si>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</si>
  <si>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</si>
  <si>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</si>
  <si>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</si>
  <si>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</si>
  <si>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</si>
  <si>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</si>
  <si>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</si>
  <si>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</si>
  <si>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</si>
  <si>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</si>
  <si>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</si>
  <si>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</si>
  <si>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</si>
  <si>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</si>
  <si>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</si>
  <si>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</si>
  <si>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</si>
  <si>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</si>
  <si>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</si>
  <si>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</si>
  <si>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</si>
  <si>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</si>
  <si>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</si>
  <si>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</si>
  <si>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</si>
  <si>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</si>
  <si>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</si>
  <si>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</si>
  <si>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</si>
  <si>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</si>
  <si>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</si>
  <si>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</si>
  <si>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</si>
  <si>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</si>
  <si>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</si>
  <si>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</si>
  <si>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</si>
  <si>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</si>
  <si>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</si>
  <si>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</si>
  <si>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</si>
  <si>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</si>
  <si>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</si>
  <si>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</si>
  <si>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</si>
  <si>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</si>
  <si>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</si>
  <si>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</si>
  <si>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</si>
  <si>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</si>
  <si>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</si>
  <si>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</si>
  <si>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</si>
  <si>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</si>
  <si>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</si>
  <si>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</si>
  <si>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</si>
  <si>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</si>
  <si>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</si>
  <si>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</si>
  <si>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</si>
  <si>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</si>
  <si>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</si>
  <si>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</si>
  <si>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</si>
  <si>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</si>
  <si>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</si>
  <si>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</si>
  <si>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</si>
  <si>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</si>
  <si>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</si>
  <si>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</si>
  <si>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</si>
  <si>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</si>
  <si>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</si>
  <si>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</si>
  <si>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</si>
  <si>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</si>
  <si>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</si>
  <si>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</si>
  <si>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</si>
  <si>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</si>
  <si>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</si>
  <si>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</si>
  <si>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</si>
  <si>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</si>
  <si>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</si>
  <si>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</si>
  <si>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</si>
  <si>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</si>
  <si>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</si>
  <si>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</si>
  <si>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</si>
  <si>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</si>
  <si>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</si>
  <si>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</si>
  <si>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</si>
  <si>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</si>
  <si>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</si>
  <si>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</si>
  <si>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</si>
  <si>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</si>
  <si>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</si>
  <si>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</si>
  <si>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</si>
  <si>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</si>
  <si>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</si>
  <si>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</si>
  <si>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</si>
  <si>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</si>
  <si>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</si>
  <si>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</si>
  <si>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</si>
  <si>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</si>
  <si>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</si>
  <si>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</si>
  <si>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</si>
  <si>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</si>
  <si>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</si>
  <si>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</si>
  <si>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</si>
  <si>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</si>
  <si>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</si>
  <si>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</si>
  <si>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</si>
  <si>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</si>
  <si>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</si>
  <si>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</si>
  <si>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</si>
  <si>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</si>
  <si>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</si>
  <si>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</si>
  <si>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</si>
  <si>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</si>
  <si>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</si>
  <si>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</si>
  <si>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</si>
  <si>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</si>
  <si>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</si>
  <si>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</si>
  <si>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</si>
  <si>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</si>
  <si>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</si>
  <si>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</si>
  <si>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</si>
  <si>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</si>
  <si>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</si>
  <si>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</si>
  <si>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</si>
  <si>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</si>
  <si>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</si>
  <si>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</si>
  <si>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</si>
  <si>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</si>
  <si>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</si>
  <si>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</si>
  <si>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</si>
  <si>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</si>
  <si>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</si>
  <si>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</si>
  <si>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</si>
  <si>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</si>
  <si>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</si>
  <si>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</si>
  <si>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</si>
  <si>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</si>
  <si>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</si>
  <si>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</si>
  <si>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</si>
  <si>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</si>
  <si>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</si>
  <si>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</si>
  <si>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</si>
  <si>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</si>
  <si>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</si>
  <si>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</si>
  <si>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</si>
  <si>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</si>
  <si>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</si>
  <si>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</si>
  <si>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</si>
  <si>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</si>
  <si>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</si>
  <si>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</si>
  <si>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</si>
  <si>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</si>
  <si>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</si>
  <si>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</si>
  <si>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</si>
  <si>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</si>
  <si>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</si>
  <si>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</si>
  <si>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</si>
  <si>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</si>
  <si>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</si>
  <si>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</si>
  <si>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</si>
  <si>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</si>
  <si>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</si>
  <si>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</si>
  <si>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</si>
  <si>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</si>
  <si>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</si>
  <si>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</si>
  <si>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</si>
  <si>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</si>
  <si>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</si>
  <si>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</si>
  <si>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</si>
  <si>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</si>
  <si>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</si>
  <si>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</si>
  <si>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</si>
  <si>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</si>
  <si>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</si>
  <si>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</si>
  <si>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</si>
  <si>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</si>
  <si>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</si>
  <si>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</si>
  <si>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</si>
  <si>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</si>
  <si>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</si>
  <si>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</si>
  <si>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</si>
  <si>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</si>
  <si>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</si>
  <si>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</si>
  <si>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</si>
  <si>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</si>
  <si>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</si>
  <si>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</si>
  <si>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</si>
  <si>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</si>
  <si>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</si>
  <si>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</si>
  <si>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</si>
  <si>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</si>
  <si>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</si>
  <si>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</si>
  <si>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</si>
  <si>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</si>
  <si>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</si>
  <si>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</si>
  <si>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</si>
  <si>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</si>
  <si>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</si>
  <si>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</si>
  <si>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</si>
  <si>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</si>
  <si>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</si>
  <si>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</si>
  <si>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</si>
  <si>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</si>
  <si>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</si>
  <si>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</si>
  <si>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</si>
  <si>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</si>
  <si>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</si>
  <si>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</si>
  <si>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</si>
  <si>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</si>
  <si>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</si>
  <si>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</si>
  <si>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</si>
  <si>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</si>
  <si>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</si>
  <si>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</si>
  <si>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</si>
  <si>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</si>
  <si>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</si>
  <si>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</si>
  <si>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</si>
  <si>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</si>
  <si>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</si>
  <si>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</si>
  <si>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</si>
  <si>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</si>
  <si>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</si>
  <si>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</si>
  <si>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</si>
  <si>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</si>
  <si>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</si>
  <si>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</si>
  <si>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</si>
  <si>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</si>
  <si>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</si>
  <si>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</si>
  <si>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</si>
  <si>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</si>
  <si>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</si>
  <si>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</si>
  <si>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</si>
  <si>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</si>
  <si>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additional</t>
  </si>
  <si>
    <t>MRP</t>
  </si>
  <si>
    <t>GST 18%</t>
  </si>
  <si>
    <t xml:space="preserve">Indomie Price List 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</si>
</sst>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sz val="20"/>
      <color theme="1"/>
      <name val="Bahnschrift SemiLight SemiConde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6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65" fontId="18" fillId="0" borderId="1" xfId="2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9" fontId="18" fillId="0" borderId="1" xfId="0" applyNumberFormat="1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4" fillId="3" borderId="0" xfId="0" applyFont="1" applyFill="1" applyAlignment="1">
      <alignment horizontal="center" vertical="center"/>
    </xf>
    <xf numFmtId="0" fontId="21" fillId="0" borderId="0" xfId="0" applyFont="1" applyAlignment="1">
      <alignment horizontal="left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286" t="s">
        <v>24</v>
      </c>
      <c r="B2" s="286"/>
      <c r="C2" s="286"/>
      <c r="D2" s="286"/>
      <c r="E2" s="286"/>
      <c r="F2" s="286"/>
      <c r="G2" s="286"/>
      <c r="H2" s="286"/>
    </row>
    <row r="3" spans="1:21" ht="18" thickBot="1" x14ac:dyDescent="0.35">
      <c r="A3" s="287" t="s">
        <v>15</v>
      </c>
      <c r="B3" s="287"/>
      <c r="C3" s="287"/>
      <c r="D3" s="287"/>
      <c r="E3" s="287"/>
      <c r="F3" s="287"/>
      <c r="G3" s="287"/>
      <c r="H3" s="28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288" t="s">
        <v>37</v>
      </c>
      <c r="P3" s="28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290" t="s">
        <v>25</v>
      </c>
      <c r="D4" s="29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284" t="s">
        <v>30</v>
      </c>
      <c r="H13" s="28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284" t="s">
        <v>30</v>
      </c>
      <c r="H26" s="28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284" t="s">
        <v>30</v>
      </c>
      <c r="H37" s="28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286" t="s">
        <v>24</v>
      </c>
      <c r="B2" s="286"/>
      <c r="C2" s="286"/>
      <c r="D2" s="286"/>
      <c r="E2" s="286"/>
      <c r="F2" s="286"/>
      <c r="G2" s="286"/>
      <c r="H2" s="286"/>
    </row>
    <row r="3" spans="1:21" ht="18" thickBot="1" x14ac:dyDescent="0.35">
      <c r="A3" s="287" t="s">
        <v>15</v>
      </c>
      <c r="B3" s="287"/>
      <c r="C3" s="287"/>
      <c r="D3" s="287"/>
      <c r="E3" s="287"/>
      <c r="F3" s="287"/>
      <c r="G3" s="287"/>
      <c r="H3" s="28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288" t="s">
        <v>37</v>
      </c>
      <c r="P3" s="28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290" t="s">
        <v>25</v>
      </c>
      <c r="D4" s="29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284" t="s">
        <v>30</v>
      </c>
      <c r="H13" s="28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284" t="s">
        <v>30</v>
      </c>
      <c r="H26" s="28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284" t="s">
        <v>30</v>
      </c>
      <c r="H37" s="28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292"/>
      <c r="B3" s="292"/>
      <c r="C3" s="292"/>
      <c r="D3" s="292"/>
      <c r="E3" s="292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</row>
    <row r="4" spans="1:29" x14ac:dyDescent="0.35">
      <c r="A4" s="294" t="s">
        <v>436</v>
      </c>
      <c r="B4" s="165" t="s">
        <v>437</v>
      </c>
      <c r="C4" s="165"/>
      <c r="D4" s="296" t="s">
        <v>438</v>
      </c>
      <c r="E4" s="298" t="s">
        <v>439</v>
      </c>
      <c r="F4" s="300" t="s">
        <v>58</v>
      </c>
      <c r="G4" s="300"/>
      <c r="H4" s="301" t="s">
        <v>440</v>
      </c>
      <c r="I4" s="301"/>
      <c r="J4" s="302" t="s">
        <v>441</v>
      </c>
      <c r="K4" s="303"/>
      <c r="L4" s="302" t="s">
        <v>442</v>
      </c>
      <c r="M4" s="303"/>
      <c r="N4" s="304" t="s">
        <v>443</v>
      </c>
      <c r="O4" s="304"/>
      <c r="P4" s="302" t="s">
        <v>86</v>
      </c>
      <c r="Q4" s="303"/>
      <c r="R4" s="302" t="s">
        <v>444</v>
      </c>
      <c r="S4" s="303"/>
      <c r="T4" s="305" t="s">
        <v>445</v>
      </c>
      <c r="U4" s="305"/>
      <c r="V4" s="306" t="s">
        <v>446</v>
      </c>
      <c r="W4" s="307"/>
      <c r="X4" s="306" t="s">
        <v>447</v>
      </c>
      <c r="Y4" s="307"/>
    </row>
    <row r="5" spans="1:29" ht="26.25" customHeight="1" thickBot="1" x14ac:dyDescent="0.4">
      <c r="A5" s="295"/>
      <c r="B5" s="167" t="s">
        <v>448</v>
      </c>
      <c r="C5" s="167" t="s">
        <v>438</v>
      </c>
      <c r="D5" s="297"/>
      <c r="E5" s="299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49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49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49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49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49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49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49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0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C28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1796875" bestFit="1" customWidth="1"/>
    <col min="18" max="20" width="6.1796875" style="61" customWidth="1"/>
    <col min="21" max="21" width="5.54296875" bestFit="1" customWidth="1"/>
  </cols>
  <sheetData>
    <row r="1" spans="1:21 16383:16383" x14ac:dyDescent="0.35">
      <c r="E1" s="334" t="s">
        <v>495</v>
      </c>
      <c r="F1" s="334"/>
      <c r="G1" s="334"/>
      <c r="H1" s="334"/>
      <c r="I1" s="334"/>
      <c r="J1" s="334"/>
      <c r="K1" s="334"/>
    </row>
    <row r="2" spans="1:21 16383:16383" x14ac:dyDescent="0.35">
      <c r="E2" s="334"/>
      <c r="F2" s="334"/>
      <c r="G2" s="334"/>
      <c r="H2" s="334"/>
      <c r="I2" s="334"/>
      <c r="J2" s="334"/>
      <c r="K2" s="334"/>
    </row>
    <row r="3" spans="1:21 16383:16383" s="87" customFormat="1" ht="15" hidden="1" thickBot="1" x14ac:dyDescent="0.4">
      <c r="A3" s="269" t="s">
        <v>480</v>
      </c>
      <c r="B3" s="270" t="s">
        <v>80</v>
      </c>
      <c r="C3" s="271" t="str">
        <f>IF($O24&gt;2.49%,"No","Yes")</f>
        <v>Yes</v>
      </c>
      <c r="F3" s="85"/>
      <c r="G3" s="86"/>
      <c r="K3" s="333" t="s">
        <v>48</v>
      </c>
      <c r="L3" s="333"/>
      <c r="M3" s="333"/>
      <c r="N3" s="332" t="s">
        <v>49</v>
      </c>
      <c r="O3" s="332"/>
      <c r="P3" s="332"/>
      <c r="Q3" s="85"/>
      <c r="R3" s="265"/>
      <c r="S3" s="266"/>
      <c r="T3" s="266"/>
    </row>
    <row r="4" spans="1:21 16383:16383" ht="14.5" hidden="1" customHeight="1" x14ac:dyDescent="0.35">
      <c r="A4" s="248" t="s">
        <v>481</v>
      </c>
      <c r="B4" s="241" t="s">
        <v>79</v>
      </c>
      <c r="C4" s="81" t="str">
        <f>IF($O22&gt;21.99%,"No","Yes")</f>
        <v>Yes</v>
      </c>
      <c r="F4" s="85"/>
      <c r="G4" s="1"/>
      <c r="K4" s="333" t="s">
        <v>50</v>
      </c>
      <c r="L4" s="333"/>
      <c r="M4" s="333"/>
      <c r="N4" s="331"/>
      <c r="O4" s="331"/>
      <c r="P4" s="331"/>
      <c r="Q4" s="85"/>
      <c r="R4" s="264"/>
      <c r="XFC4" t="s">
        <v>104</v>
      </c>
    </row>
    <row r="5" spans="1:21 16383:16383" ht="15" hidden="1" thickBot="1" x14ac:dyDescent="0.4">
      <c r="J5" s="81"/>
      <c r="K5" s="99"/>
      <c r="L5" s="251"/>
      <c r="XFC5" t="s">
        <v>105</v>
      </c>
    </row>
    <row r="6" spans="1:21 16383:16383" ht="20.5" customHeight="1" x14ac:dyDescent="0.35">
      <c r="A6" s="308" t="s">
        <v>51</v>
      </c>
      <c r="B6" s="308"/>
      <c r="C6" s="308" t="s">
        <v>90</v>
      </c>
      <c r="D6" s="274" t="s">
        <v>52</v>
      </c>
      <c r="E6" s="308" t="s">
        <v>58</v>
      </c>
      <c r="F6" s="308"/>
      <c r="G6" s="308" t="s">
        <v>54</v>
      </c>
      <c r="H6" s="308"/>
      <c r="I6" s="308" t="s">
        <v>77</v>
      </c>
      <c r="J6" s="308" t="s">
        <v>55</v>
      </c>
      <c r="K6" s="308"/>
      <c r="L6" s="308"/>
      <c r="M6" s="308" t="s">
        <v>84</v>
      </c>
      <c r="N6" s="312" t="s">
        <v>494</v>
      </c>
      <c r="O6" s="274" t="s">
        <v>89</v>
      </c>
      <c r="P6" s="274" t="s">
        <v>56</v>
      </c>
      <c r="XFC6" t="s">
        <v>106</v>
      </c>
    </row>
    <row r="7" spans="1:21 16383:16383" ht="20" x14ac:dyDescent="0.35">
      <c r="A7" s="308"/>
      <c r="B7" s="308"/>
      <c r="C7" s="308"/>
      <c r="D7" s="274" t="s">
        <v>57</v>
      </c>
      <c r="E7" s="274" t="s">
        <v>493</v>
      </c>
      <c r="F7" s="274" t="s">
        <v>53</v>
      </c>
      <c r="G7" s="274" t="s">
        <v>52</v>
      </c>
      <c r="H7" s="274" t="s">
        <v>41</v>
      </c>
      <c r="I7" s="308"/>
      <c r="J7" s="275">
        <v>0.08</v>
      </c>
      <c r="K7" s="274" t="s">
        <v>39</v>
      </c>
      <c r="L7" s="274" t="s">
        <v>492</v>
      </c>
      <c r="M7" s="308"/>
      <c r="N7" s="308"/>
      <c r="O7" s="276">
        <f>IF(B3="Filer",0.5%,2.5%)</f>
        <v>5.0000000000000001E-3</v>
      </c>
      <c r="P7" s="274" t="s">
        <v>38</v>
      </c>
      <c r="R7" s="273"/>
      <c r="S7" s="273"/>
      <c r="T7" s="273"/>
      <c r="U7" s="273"/>
      <c r="XFC7" t="s">
        <v>72</v>
      </c>
    </row>
    <row r="8" spans="1:21 16383:16383" x14ac:dyDescent="0.35">
      <c r="A8" s="277" t="s">
        <v>453</v>
      </c>
      <c r="B8" s="278" t="str">
        <f>VLOOKUP($A8,'Cust. Price List'!$D$6:$O$14,2,0)</f>
        <v xml:space="preserve">Meat Masala </v>
      </c>
      <c r="C8" s="92">
        <f>VLOOKUP(A8,'Cust. Price List'!D6:M14,3,0)</f>
        <v>70</v>
      </c>
      <c r="D8" s="92">
        <f>VLOOKUP(A8,'Cust. Price List'!D6:M14,4,0)</f>
        <v>40</v>
      </c>
      <c r="E8" s="92">
        <f>VLOOKUP(A8,'Cust. Price List'!D6:M14,6,0)</f>
        <v>65</v>
      </c>
      <c r="F8" s="279">
        <f>VLOOKUP(A8,'Cust. Price List'!D6:M14,10,0)</f>
        <v>52.462499999999999</v>
      </c>
      <c r="G8" s="280">
        <v>1</v>
      </c>
      <c r="H8" s="280"/>
      <c r="I8" s="128">
        <f>(G8*D8)*F8+H8*F8</f>
        <v>2098.5</v>
      </c>
      <c r="J8" s="128">
        <f>I8*J7</f>
        <v>167.88</v>
      </c>
      <c r="K8" s="128">
        <f>$I8*3.5%</f>
        <v>73.447500000000005</v>
      </c>
      <c r="L8" s="128">
        <f t="shared" ref="L8:L13" si="0">$I8*T8</f>
        <v>0</v>
      </c>
      <c r="M8" s="213">
        <f>I8-SUM(J8:L8)</f>
        <v>1857.1725000000001</v>
      </c>
      <c r="N8" s="128">
        <f>+(G8*D8+H8)*9.92</f>
        <v>396.8</v>
      </c>
      <c r="O8" s="128">
        <f t="shared" ref="O8:O14" si="1">(N8+M8)*$O$7</f>
        <v>11.269862500000002</v>
      </c>
      <c r="P8" s="128">
        <f>M8+N8+O8</f>
        <v>2265.2423625000001</v>
      </c>
      <c r="R8" s="216"/>
      <c r="S8" s="247"/>
      <c r="T8" s="216"/>
      <c r="U8" s="142"/>
      <c r="XFC8" t="s">
        <v>107</v>
      </c>
    </row>
    <row r="9" spans="1:21 16383:16383" x14ac:dyDescent="0.35">
      <c r="A9" s="277" t="s">
        <v>455</v>
      </c>
      <c r="B9" s="278" t="str">
        <f>VLOOKUP($A9,'Cust. Price List'!$D$6:$O$14,2,0)</f>
        <v>Lemon Tarka</v>
      </c>
      <c r="C9" s="92">
        <f>VLOOKUP(B9,'Cust. Price List'!E7:P15,2,0)</f>
        <v>70</v>
      </c>
      <c r="D9" s="92">
        <f>VLOOKUP(A9,'Cust. Price List'!D7:M15,4,0)</f>
        <v>40</v>
      </c>
      <c r="E9" s="92">
        <f>VLOOKUP(A9,'Cust. Price List'!D7:M15,6,0)</f>
        <v>65</v>
      </c>
      <c r="F9" s="279">
        <f>VLOOKUP(A9,'Cust. Price List'!D7:M15,10,0)</f>
        <v>52.462499999999999</v>
      </c>
      <c r="G9" s="280"/>
      <c r="H9" s="280"/>
      <c r="I9" s="128">
        <f t="shared" ref="I9:I14" si="2">(G9*D9)*F9+H9*F9</f>
        <v>0</v>
      </c>
      <c r="J9" s="128">
        <f>I9*J7</f>
        <v>0</v>
      </c>
      <c r="K9" s="128">
        <f t="shared" ref="K9:K14" si="3">$I9*3.5%</f>
        <v>0</v>
      </c>
      <c r="L9" s="128">
        <f t="shared" si="0"/>
        <v>0</v>
      </c>
      <c r="M9" s="213">
        <f t="shared" ref="M9:M14" si="4">I9-SUM(J9:L9)</f>
        <v>0</v>
      </c>
      <c r="N9" s="128">
        <f t="shared" ref="N9:N10" si="5">+(G9*D9+H9)*9.92</f>
        <v>0</v>
      </c>
      <c r="O9" s="128">
        <f t="shared" si="1"/>
        <v>0</v>
      </c>
      <c r="P9" s="128">
        <f t="shared" ref="P9:P14" si="6">M9+N9+O9</f>
        <v>0</v>
      </c>
      <c r="R9" s="216"/>
      <c r="S9" s="247"/>
      <c r="T9" s="216"/>
      <c r="U9" s="142"/>
      <c r="XFC9" t="s">
        <v>108</v>
      </c>
    </row>
    <row r="10" spans="1:21 16383:16383" x14ac:dyDescent="0.35">
      <c r="A10" s="277" t="s">
        <v>457</v>
      </c>
      <c r="B10" s="278" t="str">
        <f>VLOOKUP($A10,'Cust. Price List'!$D$6:$O$14,2,0)</f>
        <v>Chicken Chatkhara</v>
      </c>
      <c r="C10" s="92">
        <f>VLOOKUP(B10,'Cust. Price List'!E8:P16,2,0)</f>
        <v>70</v>
      </c>
      <c r="D10" s="92">
        <f>VLOOKUP(A10,'Cust. Price List'!D8:M16,4,0)</f>
        <v>40</v>
      </c>
      <c r="E10" s="92">
        <f>VLOOKUP(A10,'Cust. Price List'!D8:M16,6,0)</f>
        <v>65</v>
      </c>
      <c r="F10" s="279">
        <f>VLOOKUP(A10,'Cust. Price List'!D8:M16,10,0)</f>
        <v>52.462499999999999</v>
      </c>
      <c r="G10" s="280"/>
      <c r="H10" s="280"/>
      <c r="I10" s="128">
        <f t="shared" ref="I10:I13" si="7">(G10*D10)*F10+H10*F10</f>
        <v>0</v>
      </c>
      <c r="J10" s="128">
        <f>I10*J7</f>
        <v>0</v>
      </c>
      <c r="K10" s="128">
        <f t="shared" si="3"/>
        <v>0</v>
      </c>
      <c r="L10" s="128">
        <f t="shared" si="0"/>
        <v>0</v>
      </c>
      <c r="M10" s="213">
        <f t="shared" si="4"/>
        <v>0</v>
      </c>
      <c r="N10" s="128">
        <f t="shared" si="5"/>
        <v>0</v>
      </c>
      <c r="O10" s="128">
        <f t="shared" si="1"/>
        <v>0</v>
      </c>
      <c r="P10" s="128">
        <f t="shared" si="6"/>
        <v>0</v>
      </c>
      <c r="R10" s="216"/>
      <c r="S10" s="247"/>
      <c r="T10" s="216"/>
      <c r="U10" s="142"/>
    </row>
    <row r="11" spans="1:21 16383:16383" x14ac:dyDescent="0.35">
      <c r="A11" s="277" t="s">
        <v>459</v>
      </c>
      <c r="B11" s="278" t="str">
        <f>VLOOKUP($A11,'Cust. Price List'!$D$6:$O$14,2,0)</f>
        <v>Meat Masala (Jumbo)</v>
      </c>
      <c r="C11" s="92">
        <f>VLOOKUP(B11,'Cust. Price List'!E9:P17,2,0)</f>
        <v>120</v>
      </c>
      <c r="D11" s="92">
        <f>VLOOKUP(A11,'Cust. Price List'!D9:M17,4,0)</f>
        <v>40</v>
      </c>
      <c r="E11" s="92">
        <f>VLOOKUP(A11,'Cust. Price List'!D9:M17,6,0)</f>
        <v>90</v>
      </c>
      <c r="F11" s="279">
        <f>VLOOKUP(A11,'Cust. Price List'!D9:M17,10,0)</f>
        <v>72.64</v>
      </c>
      <c r="G11" s="280">
        <v>1</v>
      </c>
      <c r="H11" s="280"/>
      <c r="I11" s="128">
        <f t="shared" si="7"/>
        <v>2905.6</v>
      </c>
      <c r="J11" s="128">
        <f>I11*J7</f>
        <v>232.44800000000001</v>
      </c>
      <c r="K11" s="128">
        <f t="shared" si="3"/>
        <v>101.69600000000001</v>
      </c>
      <c r="L11" s="128">
        <f t="shared" si="0"/>
        <v>0</v>
      </c>
      <c r="M11" s="213">
        <f t="shared" si="4"/>
        <v>2571.4560000000001</v>
      </c>
      <c r="N11" s="128">
        <f>+(G11*D11+H11)*13.73</f>
        <v>549.20000000000005</v>
      </c>
      <c r="O11" s="128">
        <f t="shared" si="1"/>
        <v>15.60328</v>
      </c>
      <c r="P11" s="128">
        <f t="shared" si="6"/>
        <v>3136.2592799999998</v>
      </c>
      <c r="R11" s="267"/>
      <c r="S11" s="268"/>
      <c r="T11" s="267"/>
      <c r="U11" s="142"/>
    </row>
    <row r="12" spans="1:21 16383:16383" x14ac:dyDescent="0.35">
      <c r="A12" s="277" t="s">
        <v>461</v>
      </c>
      <c r="B12" s="278" t="str">
        <f>VLOOKUP($A12,'Cust. Price List'!$D$6:$O$14,2,0)</f>
        <v>Lemon Tarka (Jumbo)</v>
      </c>
      <c r="C12" s="92">
        <f>VLOOKUP(B12,'Cust. Price List'!E10:P18,2,0)</f>
        <v>120</v>
      </c>
      <c r="D12" s="92">
        <f>VLOOKUP(A12,'Cust. Price List'!D10:M18,4,0)</f>
        <v>40</v>
      </c>
      <c r="E12" s="92">
        <f>VLOOKUP(A12,'Cust. Price List'!D10:M18,6,0)</f>
        <v>90</v>
      </c>
      <c r="F12" s="279">
        <f>VLOOKUP(A12,'Cust. Price List'!D10:M18,10,0)</f>
        <v>72.64</v>
      </c>
      <c r="G12" s="280"/>
      <c r="H12" s="280"/>
      <c r="I12" s="128">
        <f t="shared" si="7"/>
        <v>0</v>
      </c>
      <c r="J12" s="128">
        <f>I12*J7</f>
        <v>0</v>
      </c>
      <c r="K12" s="128">
        <f t="shared" si="3"/>
        <v>0</v>
      </c>
      <c r="L12" s="128">
        <f t="shared" si="0"/>
        <v>0</v>
      </c>
      <c r="M12" s="213">
        <f t="shared" si="4"/>
        <v>0</v>
      </c>
      <c r="N12" s="128">
        <f t="shared" ref="N12:N13" si="8">+(G12*D12+H12)*13.73</f>
        <v>0</v>
      </c>
      <c r="O12" s="128">
        <f t="shared" si="1"/>
        <v>0</v>
      </c>
      <c r="P12" s="128">
        <f t="shared" si="6"/>
        <v>0</v>
      </c>
      <c r="R12" s="267"/>
      <c r="S12" s="268"/>
      <c r="T12" s="267"/>
      <c r="U12" s="142"/>
    </row>
    <row r="13" spans="1:21 16383:16383" x14ac:dyDescent="0.35">
      <c r="A13" s="277" t="s">
        <v>463</v>
      </c>
      <c r="B13" s="278" t="str">
        <f>VLOOKUP($A13,'Cust. Price List'!$D$6:$O$14,2,0)</f>
        <v>Chicken Chatkhara (Jumbo)</v>
      </c>
      <c r="C13" s="92">
        <f>VLOOKUP(B13,'Cust. Price List'!E11:P19,2,0)</f>
        <v>120</v>
      </c>
      <c r="D13" s="92">
        <f>VLOOKUP(A13,'Cust. Price List'!D11:M19,4,0)</f>
        <v>40</v>
      </c>
      <c r="E13" s="92">
        <f>VLOOKUP(A13,'Cust. Price List'!D11:M19,6,0)</f>
        <v>90</v>
      </c>
      <c r="F13" s="279">
        <f>VLOOKUP(A13,'Cust. Price List'!D11:M19,10,0)</f>
        <v>72.64</v>
      </c>
      <c r="G13" s="280"/>
      <c r="H13" s="280"/>
      <c r="I13" s="128">
        <f t="shared" si="7"/>
        <v>0</v>
      </c>
      <c r="J13" s="128">
        <f>I13*J7</f>
        <v>0</v>
      </c>
      <c r="K13" s="128">
        <f t="shared" si="3"/>
        <v>0</v>
      </c>
      <c r="L13" s="128">
        <f t="shared" si="0"/>
        <v>0</v>
      </c>
      <c r="M13" s="213">
        <f t="shared" si="4"/>
        <v>0</v>
      </c>
      <c r="N13" s="128">
        <f t="shared" si="8"/>
        <v>0</v>
      </c>
      <c r="O13" s="128">
        <f t="shared" si="1"/>
        <v>0</v>
      </c>
      <c r="P13" s="128">
        <f t="shared" si="6"/>
        <v>0</v>
      </c>
      <c r="R13" s="267"/>
      <c r="S13" s="268"/>
      <c r="T13" s="267"/>
      <c r="U13" s="142"/>
    </row>
    <row r="14" spans="1:21 16383:16383" x14ac:dyDescent="0.35">
      <c r="A14" s="277" t="s">
        <v>465</v>
      </c>
      <c r="B14" s="278" t="str">
        <f>VLOOKUP($A14,'Cust. Price List'!$D$6:$O$14,2,0)</f>
        <v>Chicken Chatkhara  (ECO)</v>
      </c>
      <c r="C14" s="92">
        <f>VLOOKUP(B14,'Cust. Price List'!E12:P20,2,0)</f>
        <v>60</v>
      </c>
      <c r="D14" s="92">
        <f>VLOOKUP(A14,'Cust. Price List'!D12:M20,4,0)</f>
        <v>40</v>
      </c>
      <c r="E14" s="92">
        <f>VLOOKUP(A14,'Cust. Price List'!D12:M20,6,0)</f>
        <v>50</v>
      </c>
      <c r="F14" s="279">
        <f>VLOOKUP(A14,'Cust. Price List'!D12:M20,10,0)</f>
        <v>39.230000000000004</v>
      </c>
      <c r="G14" s="280">
        <v>1</v>
      </c>
      <c r="H14" s="280"/>
      <c r="I14" s="128">
        <f t="shared" si="2"/>
        <v>1569.2000000000003</v>
      </c>
      <c r="J14" s="128">
        <f>I14*5%</f>
        <v>78.460000000000022</v>
      </c>
      <c r="K14" s="128">
        <f t="shared" si="3"/>
        <v>54.922000000000011</v>
      </c>
      <c r="L14" s="128">
        <f>$I14*5.1%</f>
        <v>80.029200000000003</v>
      </c>
      <c r="M14" s="213">
        <f t="shared" si="4"/>
        <v>1355.7888000000003</v>
      </c>
      <c r="N14" s="128">
        <f>+(G14*D14+H14)*7.63</f>
        <v>305.2</v>
      </c>
      <c r="O14" s="128">
        <f t="shared" si="1"/>
        <v>8.3049440000000025</v>
      </c>
      <c r="P14" s="128">
        <f t="shared" si="6"/>
        <v>1669.2937440000003</v>
      </c>
      <c r="R14" s="267"/>
      <c r="S14" s="268"/>
      <c r="T14" s="268"/>
      <c r="U14" s="142"/>
    </row>
    <row r="15" spans="1:21 16383:16383" x14ac:dyDescent="0.35">
      <c r="A15" s="311">
        <f>COUNT(A8:A14)</f>
        <v>0</v>
      </c>
      <c r="B15" s="311"/>
      <c r="C15" s="311" t="s">
        <v>40</v>
      </c>
      <c r="D15" s="311"/>
      <c r="E15" s="311"/>
      <c r="F15" s="311"/>
      <c r="G15" s="281">
        <f t="shared" ref="G15:P15" si="9">SUM(G8:G14)</f>
        <v>3</v>
      </c>
      <c r="H15" s="281">
        <f t="shared" si="9"/>
        <v>0</v>
      </c>
      <c r="I15" s="282">
        <f t="shared" si="9"/>
        <v>6573.3000000000011</v>
      </c>
      <c r="J15" s="282">
        <f t="shared" si="9"/>
        <v>478.78800000000001</v>
      </c>
      <c r="K15" s="282">
        <f t="shared" si="9"/>
        <v>230.06550000000004</v>
      </c>
      <c r="L15" s="282">
        <f t="shared" si="9"/>
        <v>80.029200000000003</v>
      </c>
      <c r="M15" s="281">
        <f t="shared" si="9"/>
        <v>5784.417300000001</v>
      </c>
      <c r="N15" s="281">
        <f t="shared" si="9"/>
        <v>1251.2</v>
      </c>
      <c r="O15" s="283">
        <f t="shared" si="9"/>
        <v>35.178086500000006</v>
      </c>
      <c r="P15" s="281">
        <f t="shared" si="9"/>
        <v>7070.7953864999999</v>
      </c>
    </row>
    <row r="16" spans="1:21 16383:16383" x14ac:dyDescent="0.35">
      <c r="A16" s="122"/>
      <c r="B16" s="122"/>
      <c r="C16" s="122"/>
      <c r="D16" s="122"/>
      <c r="E16" s="122"/>
      <c r="F16" s="122"/>
      <c r="G16" s="123"/>
      <c r="H16" s="123"/>
      <c r="I16" s="124"/>
      <c r="K16" s="125"/>
      <c r="L16" s="125"/>
      <c r="M16" s="125"/>
      <c r="N16" s="125"/>
      <c r="O16" s="126"/>
      <c r="P16" s="125"/>
    </row>
    <row r="17" spans="1:16" ht="15" thickBot="1" x14ac:dyDescent="0.4">
      <c r="A17" s="61"/>
      <c r="B17" s="61"/>
      <c r="C17" s="93"/>
      <c r="D17" s="93"/>
      <c r="E17" s="93"/>
      <c r="F17" s="93"/>
      <c r="G17" s="94"/>
      <c r="H17" s="94"/>
    </row>
    <row r="18" spans="1:16" x14ac:dyDescent="0.35">
      <c r="B18" s="317" t="s">
        <v>64</v>
      </c>
      <c r="C18" s="318"/>
      <c r="D18" s="318"/>
      <c r="E18" s="318"/>
      <c r="F18" s="318"/>
      <c r="G18" s="318"/>
      <c r="H18" s="318"/>
      <c r="I18" s="318"/>
      <c r="J18" s="318"/>
      <c r="K18" s="318"/>
      <c r="L18" s="319"/>
      <c r="N18" s="309" t="s">
        <v>60</v>
      </c>
      <c r="O18" s="310"/>
      <c r="P18" s="139">
        <f>I15</f>
        <v>6573.3000000000011</v>
      </c>
    </row>
    <row r="19" spans="1:16" ht="15" customHeight="1" x14ac:dyDescent="0.35">
      <c r="B19" s="320"/>
      <c r="C19" s="321"/>
      <c r="D19" s="321"/>
      <c r="E19" s="321"/>
      <c r="F19" s="321"/>
      <c r="G19" s="321"/>
      <c r="H19" s="321"/>
      <c r="I19" s="321"/>
      <c r="J19" s="321"/>
      <c r="K19" s="321"/>
      <c r="L19" s="322"/>
      <c r="N19" s="326" t="s">
        <v>85</v>
      </c>
      <c r="O19" s="311"/>
      <c r="P19" s="140">
        <f>+J15</f>
        <v>478.78800000000001</v>
      </c>
    </row>
    <row r="20" spans="1:16" ht="15" customHeight="1" x14ac:dyDescent="0.35">
      <c r="B20" s="320"/>
      <c r="C20" s="321"/>
      <c r="D20" s="321"/>
      <c r="E20" s="321"/>
      <c r="F20" s="321"/>
      <c r="G20" s="321"/>
      <c r="H20" s="321"/>
      <c r="I20" s="321"/>
      <c r="J20" s="321"/>
      <c r="K20" s="321"/>
      <c r="L20" s="322"/>
      <c r="N20" s="326" t="s">
        <v>86</v>
      </c>
      <c r="O20" s="311"/>
      <c r="P20" s="140">
        <f>+K15+L15</f>
        <v>310.09470000000005</v>
      </c>
    </row>
    <row r="21" spans="1:16" ht="15" customHeight="1" x14ac:dyDescent="0.35">
      <c r="B21" s="320"/>
      <c r="C21" s="321"/>
      <c r="D21" s="321"/>
      <c r="E21" s="321"/>
      <c r="F21" s="321"/>
      <c r="G21" s="321"/>
      <c r="H21" s="321"/>
      <c r="I21" s="321"/>
      <c r="J21" s="321"/>
      <c r="K21" s="321"/>
      <c r="L21" s="322"/>
      <c r="M21" s="131"/>
      <c r="N21" s="326" t="s">
        <v>87</v>
      </c>
      <c r="O21" s="311"/>
      <c r="P21" s="140">
        <f>P18-P19-P20</f>
        <v>5784.417300000001</v>
      </c>
    </row>
    <row r="22" spans="1:16" ht="15" customHeight="1" x14ac:dyDescent="0.35">
      <c r="B22" s="320"/>
      <c r="C22" s="321"/>
      <c r="D22" s="321"/>
      <c r="E22" s="321"/>
      <c r="F22" s="321"/>
      <c r="G22" s="321"/>
      <c r="H22" s="321"/>
      <c r="I22" s="321"/>
      <c r="J22" s="321"/>
      <c r="K22" s="321"/>
      <c r="L22" s="322"/>
      <c r="M22" s="131"/>
      <c r="N22" s="136" t="s">
        <v>61</v>
      </c>
      <c r="O22" s="133">
        <v>0.18</v>
      </c>
      <c r="P22" s="140">
        <f>+N15</f>
        <v>1251.2</v>
      </c>
    </row>
    <row r="23" spans="1:16" ht="15" customHeight="1" x14ac:dyDescent="0.35">
      <c r="B23" s="320"/>
      <c r="C23" s="321"/>
      <c r="D23" s="321"/>
      <c r="E23" s="321"/>
      <c r="F23" s="321"/>
      <c r="G23" s="321"/>
      <c r="H23" s="321"/>
      <c r="I23" s="321"/>
      <c r="J23" s="321"/>
      <c r="K23" s="321"/>
      <c r="L23" s="322"/>
      <c r="M23" s="131"/>
      <c r="N23" s="329" t="s">
        <v>76</v>
      </c>
      <c r="O23" s="330"/>
      <c r="P23" s="140">
        <f>P21+P22</f>
        <v>7035.6173000000008</v>
      </c>
    </row>
    <row r="24" spans="1:16" ht="15" customHeight="1" thickBot="1" x14ac:dyDescent="0.4">
      <c r="B24" s="323"/>
      <c r="C24" s="324"/>
      <c r="D24" s="324"/>
      <c r="E24" s="324"/>
      <c r="F24" s="324"/>
      <c r="G24" s="324"/>
      <c r="H24" s="324"/>
      <c r="I24" s="324"/>
      <c r="J24" s="324"/>
      <c r="K24" s="324"/>
      <c r="L24" s="325"/>
      <c r="M24" s="99"/>
      <c r="N24" s="138" t="s">
        <v>83</v>
      </c>
      <c r="O24" s="137">
        <f>IF(B3="Filer",0.5%,2.5%)</f>
        <v>5.0000000000000001E-3</v>
      </c>
      <c r="P24" s="140">
        <f>O24*P23</f>
        <v>35.178086500000006</v>
      </c>
    </row>
    <row r="25" spans="1:16" ht="15.75" customHeight="1" thickBot="1" x14ac:dyDescent="0.4">
      <c r="N25" s="327" t="s">
        <v>88</v>
      </c>
      <c r="O25" s="328"/>
      <c r="P25" s="272">
        <f>+P23+P24</f>
        <v>7070.7953865000009</v>
      </c>
    </row>
    <row r="26" spans="1:16" ht="15" thickBot="1" x14ac:dyDescent="0.4">
      <c r="B26" s="121" t="s">
        <v>63</v>
      </c>
      <c r="C26" s="313"/>
      <c r="D26" s="313"/>
      <c r="E26" s="313"/>
      <c r="F26" s="313"/>
      <c r="G26" s="313"/>
      <c r="H26" s="313"/>
      <c r="I26" s="314"/>
      <c r="J26" s="315"/>
      <c r="K26" s="316"/>
    </row>
    <row r="27" spans="1:16" ht="15.75" customHeight="1" x14ac:dyDescent="0.35"/>
    <row r="28" spans="1:16" x14ac:dyDescent="0.35">
      <c r="L28">
        <v>0</v>
      </c>
    </row>
  </sheetData>
  <dataConsolidate/>
  <mergeCells count="24">
    <mergeCell ref="N4:P4"/>
    <mergeCell ref="N3:P3"/>
    <mergeCell ref="K4:M4"/>
    <mergeCell ref="K3:M3"/>
    <mergeCell ref="E1:K2"/>
    <mergeCell ref="C26:I26"/>
    <mergeCell ref="J26:K26"/>
    <mergeCell ref="B18:L24"/>
    <mergeCell ref="N19:O19"/>
    <mergeCell ref="N25:O25"/>
    <mergeCell ref="N23:O23"/>
    <mergeCell ref="N20:O20"/>
    <mergeCell ref="N21:O21"/>
    <mergeCell ref="G6:H6"/>
    <mergeCell ref="A6:B7"/>
    <mergeCell ref="I6:I7"/>
    <mergeCell ref="N18:O18"/>
    <mergeCell ref="C15:F15"/>
    <mergeCell ref="A15:B15"/>
    <mergeCell ref="J6:L6"/>
    <mergeCell ref="M6:M7"/>
    <mergeCell ref="N6:N7"/>
    <mergeCell ref="C6:C7"/>
    <mergeCell ref="E6:F6"/>
  </mergeCells>
  <phoneticPr fontId="23" type="noConversion"/>
  <dataValidations disablePrompts="1" count="1">
    <dataValidation type="list" allowBlank="1" showInputMessage="1" showErrorMessage="1" sqref="B3:B4" xr:uid="{00000000-0002-0000-0400-000000000000}">
      <formula1>#REF!</formula1>
    </dataValidation>
  </dataValidation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35" t="s">
        <v>91</v>
      </c>
      <c r="B2" s="335"/>
      <c r="C2" s="335"/>
    </row>
    <row r="3" spans="1:18 16382:16383" ht="15" customHeight="1" x14ac:dyDescent="0.35">
      <c r="A3" s="331" t="s">
        <v>92</v>
      </c>
      <c r="B3" s="331"/>
      <c r="C3" s="331"/>
      <c r="F3" s="85"/>
      <c r="G3" s="1"/>
      <c r="J3" s="333" t="s">
        <v>43</v>
      </c>
      <c r="K3" s="333"/>
      <c r="L3" s="333"/>
      <c r="M3" s="331"/>
      <c r="N3" s="331"/>
      <c r="O3" s="33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31" t="s">
        <v>65</v>
      </c>
      <c r="B4" s="331"/>
      <c r="C4" s="331"/>
      <c r="F4" s="85"/>
      <c r="G4" s="1"/>
      <c r="J4" s="333" t="s">
        <v>44</v>
      </c>
      <c r="K4" s="333"/>
      <c r="L4" s="333"/>
      <c r="M4" s="336">
        <f ca="1">TODAY()+1</f>
        <v>46282</v>
      </c>
      <c r="N4" s="336"/>
      <c r="O4" s="33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37" t="s">
        <v>93</v>
      </c>
      <c r="B5" s="337"/>
      <c r="C5" s="337"/>
      <c r="F5" s="85"/>
      <c r="G5" s="1"/>
      <c r="J5" s="333" t="s">
        <v>45</v>
      </c>
      <c r="K5" s="333"/>
      <c r="L5" s="333"/>
      <c r="M5" s="336">
        <f ca="1">M4-1</f>
        <v>46281</v>
      </c>
      <c r="N5" s="331"/>
      <c r="O5" s="331"/>
      <c r="Q5" s="85"/>
      <c r="R5" s="1"/>
    </row>
    <row r="6" spans="1:18 16382:16383" ht="15" customHeight="1" x14ac:dyDescent="0.35">
      <c r="A6" s="333" t="s">
        <v>94</v>
      </c>
      <c r="B6" s="333"/>
      <c r="C6" s="333"/>
      <c r="F6" s="85"/>
      <c r="G6" s="86"/>
      <c r="J6" s="333" t="s">
        <v>69</v>
      </c>
      <c r="K6" s="333"/>
      <c r="L6" s="333"/>
      <c r="M6" s="332" t="s">
        <v>62</v>
      </c>
      <c r="N6" s="332"/>
      <c r="O6" s="332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33" t="s">
        <v>73</v>
      </c>
      <c r="B7" s="333"/>
      <c r="C7" s="333"/>
      <c r="F7" s="85"/>
      <c r="G7" s="86"/>
      <c r="J7" s="333" t="s">
        <v>66</v>
      </c>
      <c r="K7" s="333"/>
      <c r="L7" s="333"/>
      <c r="M7" s="332" t="s">
        <v>70</v>
      </c>
      <c r="N7" s="332"/>
      <c r="O7" s="332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38" t="s">
        <v>95</v>
      </c>
      <c r="B8" s="338"/>
      <c r="C8" s="338"/>
      <c r="F8" s="85"/>
      <c r="G8" s="86"/>
      <c r="J8" s="333" t="s">
        <v>67</v>
      </c>
      <c r="K8" s="333"/>
      <c r="L8" s="333"/>
      <c r="M8" s="332" t="s">
        <v>71</v>
      </c>
      <c r="N8" s="332"/>
      <c r="O8" s="332"/>
      <c r="Q8" s="85"/>
      <c r="R8" s="86"/>
    </row>
    <row r="9" spans="1:18 16382:16383" x14ac:dyDescent="0.35">
      <c r="A9" s="338" t="s">
        <v>96</v>
      </c>
      <c r="B9" s="338"/>
      <c r="C9" s="338"/>
      <c r="F9" s="85"/>
      <c r="G9" s="86"/>
      <c r="J9" s="333" t="s">
        <v>68</v>
      </c>
      <c r="K9" s="333"/>
      <c r="L9" s="333"/>
      <c r="M9" s="332" t="s">
        <v>104</v>
      </c>
      <c r="N9" s="332"/>
      <c r="O9" s="332"/>
      <c r="Q9" s="85"/>
      <c r="R9" s="86"/>
      <c r="XFC9" t="s">
        <v>49</v>
      </c>
    </row>
    <row r="10" spans="1:18 16382:16383" x14ac:dyDescent="0.35">
      <c r="A10" s="338" t="s">
        <v>97</v>
      </c>
      <c r="B10" s="338"/>
      <c r="C10" s="338"/>
      <c r="F10" s="85"/>
      <c r="G10" s="1"/>
      <c r="J10" s="333" t="s">
        <v>46</v>
      </c>
      <c r="K10" s="333"/>
      <c r="L10" s="333"/>
      <c r="M10" s="331" t="s">
        <v>47</v>
      </c>
      <c r="N10" s="331"/>
      <c r="O10" s="33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33" t="s">
        <v>48</v>
      </c>
      <c r="K11" s="333"/>
      <c r="L11" s="333"/>
      <c r="M11" s="331" t="s">
        <v>49</v>
      </c>
      <c r="N11" s="331"/>
      <c r="O11" s="331"/>
      <c r="P11" s="249"/>
      <c r="Q11" s="85"/>
      <c r="R11" s="1"/>
    </row>
    <row r="12" spans="1:18 16382:16383" ht="14.5" customHeight="1" x14ac:dyDescent="0.35">
      <c r="A12" s="248" t="s">
        <v>481</v>
      </c>
      <c r="B12" s="241" t="s">
        <v>78</v>
      </c>
      <c r="C12" s="81" t="str">
        <f>IF($N32&gt;21.99%,"No","Yes")</f>
        <v>No</v>
      </c>
      <c r="F12" s="85"/>
      <c r="G12" s="1"/>
      <c r="J12" s="333" t="s">
        <v>50</v>
      </c>
      <c r="K12" s="333"/>
      <c r="L12" s="333"/>
      <c r="M12" s="331"/>
      <c r="N12" s="331"/>
      <c r="O12" s="33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1"/>
      <c r="XFC13" t="s">
        <v>105</v>
      </c>
    </row>
    <row r="14" spans="1:18 16382:16383" ht="20.5" customHeight="1" thickBot="1" x14ac:dyDescent="0.4">
      <c r="A14" s="339" t="s">
        <v>51</v>
      </c>
      <c r="B14" s="340"/>
      <c r="C14" s="343" t="s">
        <v>90</v>
      </c>
      <c r="D14" s="88" t="s">
        <v>52</v>
      </c>
      <c r="E14" s="95" t="s">
        <v>74</v>
      </c>
      <c r="F14" s="115" t="s">
        <v>53</v>
      </c>
      <c r="G14" s="345" t="s">
        <v>54</v>
      </c>
      <c r="H14" s="346"/>
      <c r="I14" s="347" t="s">
        <v>77</v>
      </c>
      <c r="J14" s="349" t="s">
        <v>55</v>
      </c>
      <c r="K14" s="346"/>
      <c r="L14" s="34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1"/>
      <c r="B15" s="342"/>
      <c r="C15" s="34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8"/>
      <c r="J15" s="144" t="s">
        <v>39</v>
      </c>
      <c r="K15" s="145" t="s">
        <v>59</v>
      </c>
      <c r="L15" s="34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1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2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2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2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2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2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2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2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3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17" t="s">
        <v>64</v>
      </c>
      <c r="C28" s="318"/>
      <c r="D28" s="318"/>
      <c r="E28" s="318"/>
      <c r="F28" s="318"/>
      <c r="G28" s="318"/>
      <c r="H28" s="318"/>
      <c r="I28" s="318"/>
      <c r="J28" s="318"/>
      <c r="K28" s="319"/>
      <c r="M28" s="309" t="s">
        <v>60</v>
      </c>
      <c r="N28" s="310"/>
      <c r="O28" s="139">
        <f>I25</f>
        <v>1452.8</v>
      </c>
    </row>
    <row r="29" spans="1:18 16383:16383" ht="15" customHeight="1" x14ac:dyDescent="0.35">
      <c r="B29" s="320"/>
      <c r="C29" s="321"/>
      <c r="D29" s="321"/>
      <c r="E29" s="321"/>
      <c r="F29" s="321"/>
      <c r="G29" s="321"/>
      <c r="H29" s="321"/>
      <c r="I29" s="321"/>
      <c r="J29" s="321"/>
      <c r="K29" s="322"/>
      <c r="M29" s="326" t="s">
        <v>85</v>
      </c>
      <c r="N29" s="311"/>
      <c r="O29" s="140">
        <f>K25</f>
        <v>0</v>
      </c>
    </row>
    <row r="30" spans="1:18 16383:16383" ht="15" customHeight="1" x14ac:dyDescent="0.35">
      <c r="B30" s="320"/>
      <c r="C30" s="321"/>
      <c r="D30" s="321"/>
      <c r="E30" s="321"/>
      <c r="F30" s="321"/>
      <c r="G30" s="321"/>
      <c r="H30" s="321"/>
      <c r="I30" s="321"/>
      <c r="J30" s="321"/>
      <c r="K30" s="322"/>
      <c r="M30" s="326" t="s">
        <v>86</v>
      </c>
      <c r="N30" s="311"/>
      <c r="O30" s="140">
        <f>J25</f>
        <v>50.848000000000006</v>
      </c>
    </row>
    <row r="31" spans="1:18 16383:16383" ht="15" customHeight="1" x14ac:dyDescent="0.35">
      <c r="B31" s="320"/>
      <c r="C31" s="321"/>
      <c r="D31" s="321"/>
      <c r="E31" s="321"/>
      <c r="F31" s="321"/>
      <c r="G31" s="321"/>
      <c r="H31" s="321"/>
      <c r="I31" s="321"/>
      <c r="J31" s="321"/>
      <c r="K31" s="322"/>
      <c r="L31" s="131"/>
      <c r="M31" s="326" t="s">
        <v>87</v>
      </c>
      <c r="N31" s="311"/>
      <c r="O31" s="140">
        <f>O28-O29-O30</f>
        <v>1401.952</v>
      </c>
    </row>
    <row r="32" spans="1:18 16383:16383" ht="15" customHeight="1" x14ac:dyDescent="0.35">
      <c r="B32" s="320"/>
      <c r="C32" s="321"/>
      <c r="D32" s="321"/>
      <c r="E32" s="321"/>
      <c r="F32" s="321"/>
      <c r="G32" s="321"/>
      <c r="H32" s="321"/>
      <c r="I32" s="321"/>
      <c r="J32" s="321"/>
      <c r="K32" s="32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20"/>
      <c r="C33" s="321"/>
      <c r="D33" s="321"/>
      <c r="E33" s="321"/>
      <c r="F33" s="321"/>
      <c r="G33" s="321"/>
      <c r="H33" s="321"/>
      <c r="I33" s="321"/>
      <c r="J33" s="321"/>
      <c r="K33" s="322"/>
      <c r="L33" s="131"/>
      <c r="M33" s="329" t="s">
        <v>76</v>
      </c>
      <c r="N33" s="330"/>
      <c r="O33" s="140">
        <f>O31+O32</f>
        <v>1710.3814400000001</v>
      </c>
    </row>
    <row r="34" spans="2:15" ht="15" customHeight="1" thickBot="1" x14ac:dyDescent="0.4">
      <c r="B34" s="323"/>
      <c r="C34" s="324"/>
      <c r="D34" s="324"/>
      <c r="E34" s="324"/>
      <c r="F34" s="324"/>
      <c r="G34" s="324"/>
      <c r="H34" s="324"/>
      <c r="I34" s="324"/>
      <c r="J34" s="324"/>
      <c r="K34" s="32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27" t="s">
        <v>88</v>
      </c>
      <c r="N35" s="328"/>
      <c r="O35" s="141">
        <f>O28-O29+O31+O34</f>
        <v>2897.511536</v>
      </c>
    </row>
    <row r="36" spans="2:15" ht="15" thickBot="1" x14ac:dyDescent="0.4">
      <c r="B36" s="121" t="s">
        <v>63</v>
      </c>
      <c r="C36" s="313"/>
      <c r="D36" s="313"/>
      <c r="E36" s="313"/>
      <c r="F36" s="313"/>
      <c r="G36" s="313"/>
      <c r="H36" s="313"/>
      <c r="I36" s="314"/>
      <c r="J36" s="260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00" t="s">
        <v>438</v>
      </c>
      <c r="D1" s="355" t="s">
        <v>439</v>
      </c>
      <c r="E1" s="300" t="s">
        <v>58</v>
      </c>
      <c r="F1" s="300"/>
      <c r="G1" s="301" t="s">
        <v>440</v>
      </c>
      <c r="H1" s="301"/>
      <c r="I1" s="362" t="s">
        <v>441</v>
      </c>
      <c r="J1" s="362"/>
      <c r="K1" s="362" t="s">
        <v>442</v>
      </c>
      <c r="L1" s="362"/>
      <c r="M1" s="357" t="s">
        <v>484</v>
      </c>
      <c r="N1" s="358"/>
      <c r="O1" s="359"/>
    </row>
    <row r="2" spans="3:24" ht="29" x14ac:dyDescent="0.35">
      <c r="C2" s="300"/>
      <c r="D2" s="355"/>
      <c r="E2" s="168" t="s">
        <v>36</v>
      </c>
      <c r="F2" s="169" t="s">
        <v>52</v>
      </c>
      <c r="G2" s="252" t="s">
        <v>449</v>
      </c>
      <c r="H2" s="253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4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4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4">
        <v>3.5000000000000003E-2</v>
      </c>
      <c r="O5" s="243">
        <f t="shared" si="4"/>
        <v>8.5000000000000006E-2</v>
      </c>
    </row>
    <row r="6" spans="3:24" x14ac:dyDescent="0.35">
      <c r="C6" s="360" t="s">
        <v>476</v>
      </c>
      <c r="D6" s="360"/>
      <c r="E6" s="360"/>
      <c r="F6" s="360"/>
      <c r="G6" s="360"/>
      <c r="T6" s="256" t="s">
        <v>487</v>
      </c>
      <c r="U6" s="256" t="s">
        <v>488</v>
      </c>
    </row>
    <row r="7" spans="3:24" ht="14.5" customHeight="1" x14ac:dyDescent="0.35">
      <c r="C7" s="295" t="s">
        <v>438</v>
      </c>
      <c r="D7" s="299" t="s">
        <v>439</v>
      </c>
      <c r="E7" s="356" t="s">
        <v>58</v>
      </c>
      <c r="F7" s="356"/>
      <c r="G7" s="354" t="s">
        <v>440</v>
      </c>
      <c r="H7" s="301"/>
      <c r="I7" s="302" t="s">
        <v>441</v>
      </c>
      <c r="J7" s="303"/>
      <c r="K7" s="302" t="s">
        <v>442</v>
      </c>
      <c r="L7" s="303"/>
      <c r="M7" s="357" t="s">
        <v>484</v>
      </c>
      <c r="N7" s="358"/>
      <c r="O7" s="359"/>
      <c r="P7" s="255" t="s">
        <v>475</v>
      </c>
      <c r="Q7" s="242" t="s">
        <v>473</v>
      </c>
      <c r="R7" s="355" t="s">
        <v>475</v>
      </c>
      <c r="S7" s="355" t="s">
        <v>485</v>
      </c>
      <c r="T7" s="353" t="s">
        <v>486</v>
      </c>
      <c r="U7" s="353" t="s">
        <v>486</v>
      </c>
    </row>
    <row r="8" spans="3:24" ht="15" customHeight="1" thickBot="1" x14ac:dyDescent="0.4">
      <c r="C8" s="297"/>
      <c r="D8" s="299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55"/>
      <c r="S8" s="355"/>
      <c r="T8" s="354"/>
      <c r="U8" s="35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4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59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4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4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61" t="s">
        <v>477</v>
      </c>
      <c r="D12" s="361"/>
      <c r="E12" s="361"/>
      <c r="F12" s="361"/>
      <c r="G12" s="361"/>
    </row>
    <row r="13" spans="3:24" x14ac:dyDescent="0.35">
      <c r="C13" s="296" t="s">
        <v>438</v>
      </c>
      <c r="D13" s="298" t="s">
        <v>439</v>
      </c>
      <c r="E13" s="300" t="s">
        <v>58</v>
      </c>
      <c r="F13" s="300"/>
      <c r="G13" s="301" t="s">
        <v>440</v>
      </c>
      <c r="H13" s="301"/>
      <c r="I13" s="302" t="s">
        <v>441</v>
      </c>
      <c r="J13" s="303"/>
      <c r="K13" s="302" t="s">
        <v>442</v>
      </c>
      <c r="L13" s="303"/>
      <c r="M13" s="357" t="s">
        <v>484</v>
      </c>
      <c r="N13" s="358"/>
      <c r="O13" s="359"/>
      <c r="P13" s="255" t="s">
        <v>475</v>
      </c>
      <c r="Q13" s="242" t="s">
        <v>473</v>
      </c>
      <c r="R13" s="355" t="s">
        <v>475</v>
      </c>
      <c r="S13" s="355" t="s">
        <v>485</v>
      </c>
      <c r="T13" s="353" t="s">
        <v>486</v>
      </c>
      <c r="U13" s="353" t="s">
        <v>486</v>
      </c>
    </row>
    <row r="14" spans="3:24" ht="29.5" thickBot="1" x14ac:dyDescent="0.4">
      <c r="C14" s="297"/>
      <c r="D14" s="299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55"/>
      <c r="S14" s="355"/>
      <c r="T14" s="354"/>
      <c r="U14" s="35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4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4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4">
        <f t="shared" si="21"/>
        <v>3.5000000000000003E-2</v>
      </c>
      <c r="O17" s="257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60" t="s">
        <v>478</v>
      </c>
      <c r="D19" s="360"/>
      <c r="E19" s="360"/>
      <c r="F19" s="360"/>
      <c r="G19" s="360"/>
    </row>
    <row r="20" spans="3:21" x14ac:dyDescent="0.35">
      <c r="C20" s="296" t="s">
        <v>438</v>
      </c>
      <c r="D20" s="298" t="s">
        <v>439</v>
      </c>
      <c r="E20" s="300" t="s">
        <v>58</v>
      </c>
      <c r="F20" s="300"/>
      <c r="G20" s="301" t="s">
        <v>440</v>
      </c>
      <c r="H20" s="301"/>
      <c r="I20" s="302" t="s">
        <v>441</v>
      </c>
      <c r="J20" s="303"/>
      <c r="K20" s="302" t="s">
        <v>442</v>
      </c>
      <c r="L20" s="303"/>
      <c r="M20" s="357" t="s">
        <v>484</v>
      </c>
      <c r="N20" s="358"/>
      <c r="O20" s="359"/>
      <c r="P20" s="255" t="s">
        <v>475</v>
      </c>
      <c r="Q20" s="242" t="s">
        <v>473</v>
      </c>
      <c r="R20" s="355" t="s">
        <v>475</v>
      </c>
      <c r="S20" s="355" t="s">
        <v>485</v>
      </c>
      <c r="T20" s="353" t="s">
        <v>486</v>
      </c>
      <c r="U20" s="353" t="s">
        <v>486</v>
      </c>
    </row>
    <row r="21" spans="3:21" ht="29.5" thickBot="1" x14ac:dyDescent="0.4">
      <c r="C21" s="297"/>
      <c r="D21" s="299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55"/>
      <c r="S21" s="355"/>
      <c r="T21" s="354"/>
      <c r="U21" s="35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4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4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4">
        <f t="shared" si="30"/>
        <v>3.5000000000000003E-2</v>
      </c>
      <c r="O24" s="257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60" t="s">
        <v>479</v>
      </c>
      <c r="D26" s="360"/>
      <c r="E26" s="360"/>
      <c r="F26" s="360"/>
      <c r="G26" s="360"/>
    </row>
    <row r="27" spans="3:21" x14ac:dyDescent="0.35">
      <c r="C27" s="296" t="s">
        <v>438</v>
      </c>
      <c r="D27" s="298" t="s">
        <v>439</v>
      </c>
      <c r="E27" s="300" t="s">
        <v>58</v>
      </c>
      <c r="F27" s="300"/>
      <c r="G27" s="301" t="s">
        <v>440</v>
      </c>
      <c r="H27" s="301"/>
      <c r="I27" s="302" t="s">
        <v>441</v>
      </c>
      <c r="J27" s="303"/>
      <c r="K27" s="302" t="s">
        <v>442</v>
      </c>
      <c r="L27" s="303"/>
      <c r="M27" s="357" t="s">
        <v>484</v>
      </c>
      <c r="N27" s="358"/>
      <c r="O27" s="359"/>
      <c r="P27" s="255" t="s">
        <v>475</v>
      </c>
      <c r="Q27" s="242" t="s">
        <v>473</v>
      </c>
      <c r="R27" s="355" t="s">
        <v>475</v>
      </c>
      <c r="S27" s="355" t="s">
        <v>485</v>
      </c>
      <c r="T27" s="353" t="s">
        <v>486</v>
      </c>
      <c r="U27" s="353" t="s">
        <v>486</v>
      </c>
    </row>
    <row r="28" spans="3:21" ht="29.5" thickBot="1" x14ac:dyDescent="0.4">
      <c r="C28" s="297"/>
      <c r="D28" s="299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55"/>
      <c r="S28" s="355"/>
      <c r="T28" s="354"/>
      <c r="U28" s="35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4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4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4">
        <f t="shared" si="40"/>
        <v>3.5000000000000003E-2</v>
      </c>
      <c r="O31" s="257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00" t="s">
        <v>438</v>
      </c>
      <c r="C1" s="355" t="s">
        <v>439</v>
      </c>
      <c r="D1" s="300" t="s">
        <v>58</v>
      </c>
      <c r="E1" s="300"/>
      <c r="F1" s="301" t="s">
        <v>440</v>
      </c>
      <c r="G1" s="301"/>
      <c r="H1" s="362" t="s">
        <v>441</v>
      </c>
      <c r="I1" s="362"/>
      <c r="J1" s="362" t="s">
        <v>442</v>
      </c>
      <c r="K1" s="362"/>
      <c r="L1" s="357" t="s">
        <v>484</v>
      </c>
      <c r="M1" s="358"/>
      <c r="N1" s="359"/>
    </row>
    <row r="2" spans="2:17" ht="29" x14ac:dyDescent="0.35">
      <c r="B2" s="300"/>
      <c r="C2" s="355"/>
      <c r="D2" s="168" t="s">
        <v>36</v>
      </c>
      <c r="E2" s="169" t="s">
        <v>52</v>
      </c>
      <c r="F2" s="252" t="s">
        <v>449</v>
      </c>
      <c r="G2" s="253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8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4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4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4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6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6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6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6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6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6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6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6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6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63"/>
      <c r="G14" s="154" t="s">
        <v>135</v>
      </c>
      <c r="H14" s="152" t="s">
        <v>101</v>
      </c>
    </row>
    <row r="15" spans="1:8" x14ac:dyDescent="0.35">
      <c r="E15" s="153" t="s">
        <v>130</v>
      </c>
      <c r="F15" s="363"/>
      <c r="G15" s="154" t="s">
        <v>136</v>
      </c>
      <c r="H15" s="152" t="s">
        <v>102</v>
      </c>
    </row>
    <row r="16" spans="1:8" x14ac:dyDescent="0.35">
      <c r="E16" s="153" t="s">
        <v>130</v>
      </c>
      <c r="F16" s="363"/>
      <c r="G16" s="151" t="s">
        <v>137</v>
      </c>
      <c r="H16" s="152" t="s">
        <v>103</v>
      </c>
    </row>
    <row r="17" spans="5:8" x14ac:dyDescent="0.35">
      <c r="E17" s="153" t="s">
        <v>138</v>
      </c>
      <c r="F17" s="36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63"/>
      <c r="G18" s="156" t="s">
        <v>141</v>
      </c>
      <c r="H18" s="152" t="s">
        <v>100</v>
      </c>
    </row>
    <row r="19" spans="5:8" x14ac:dyDescent="0.35">
      <c r="E19" s="153" t="s">
        <v>138</v>
      </c>
      <c r="F19" s="363"/>
      <c r="G19" s="156" t="s">
        <v>142</v>
      </c>
      <c r="H19" s="152" t="s">
        <v>98</v>
      </c>
    </row>
    <row r="20" spans="5:8" x14ac:dyDescent="0.35">
      <c r="E20" s="153" t="s">
        <v>138</v>
      </c>
      <c r="F20" s="363"/>
      <c r="G20" s="155" t="s">
        <v>143</v>
      </c>
      <c r="H20" s="152" t="s">
        <v>101</v>
      </c>
    </row>
    <row r="21" spans="5:8" x14ac:dyDescent="0.35">
      <c r="E21" s="153" t="s">
        <v>138</v>
      </c>
      <c r="F21" s="363"/>
      <c r="G21" s="155" t="s">
        <v>144</v>
      </c>
      <c r="H21" s="152" t="s">
        <v>102</v>
      </c>
    </row>
    <row r="22" spans="5:8" x14ac:dyDescent="0.35">
      <c r="E22" s="153" t="s">
        <v>138</v>
      </c>
      <c r="F22" s="363"/>
      <c r="G22" s="155" t="s">
        <v>145</v>
      </c>
      <c r="H22" s="152" t="s">
        <v>103</v>
      </c>
    </row>
    <row r="23" spans="5:8" x14ac:dyDescent="0.35">
      <c r="E23" s="153" t="s">
        <v>146</v>
      </c>
      <c r="F23" s="36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63"/>
      <c r="G24" s="155" t="s">
        <v>147</v>
      </c>
      <c r="H24" s="152" t="s">
        <v>100</v>
      </c>
    </row>
    <row r="25" spans="5:8" x14ac:dyDescent="0.35">
      <c r="E25" s="153" t="s">
        <v>146</v>
      </c>
      <c r="F25" s="363"/>
      <c r="G25" s="155" t="s">
        <v>149</v>
      </c>
      <c r="H25" s="152" t="s">
        <v>98</v>
      </c>
    </row>
    <row r="26" spans="5:8" x14ac:dyDescent="0.35">
      <c r="E26" s="153" t="s">
        <v>146</v>
      </c>
      <c r="F26" s="363"/>
      <c r="G26" s="155" t="s">
        <v>150</v>
      </c>
      <c r="H26" s="152" t="s">
        <v>101</v>
      </c>
    </row>
    <row r="27" spans="5:8" x14ac:dyDescent="0.35">
      <c r="E27" s="153" t="s">
        <v>146</v>
      </c>
      <c r="F27" s="363"/>
      <c r="G27" s="155" t="s">
        <v>151</v>
      </c>
      <c r="H27" s="152" t="s">
        <v>102</v>
      </c>
    </row>
    <row r="28" spans="5:8" x14ac:dyDescent="0.35">
      <c r="E28" s="153" t="s">
        <v>146</v>
      </c>
      <c r="F28" s="363"/>
      <c r="G28" s="155" t="s">
        <v>152</v>
      </c>
      <c r="H28" s="152" t="s">
        <v>103</v>
      </c>
    </row>
    <row r="29" spans="5:8" x14ac:dyDescent="0.35">
      <c r="E29" s="153" t="s">
        <v>153</v>
      </c>
      <c r="F29" s="36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63"/>
      <c r="G30" s="155" t="s">
        <v>156</v>
      </c>
      <c r="H30" s="152" t="s">
        <v>100</v>
      </c>
    </row>
    <row r="31" spans="5:8" x14ac:dyDescent="0.35">
      <c r="E31" s="153" t="s">
        <v>153</v>
      </c>
      <c r="F31" s="363"/>
      <c r="G31" s="155" t="s">
        <v>157</v>
      </c>
      <c r="H31" s="152" t="s">
        <v>98</v>
      </c>
    </row>
    <row r="32" spans="5:8" x14ac:dyDescent="0.35">
      <c r="E32" s="153" t="s">
        <v>153</v>
      </c>
      <c r="F32" s="363"/>
      <c r="G32" s="155" t="s">
        <v>158</v>
      </c>
      <c r="H32" s="152" t="s">
        <v>101</v>
      </c>
    </row>
    <row r="33" spans="5:8" x14ac:dyDescent="0.35">
      <c r="E33" s="153" t="s">
        <v>153</v>
      </c>
      <c r="F33" s="363"/>
      <c r="G33" s="155" t="s">
        <v>159</v>
      </c>
      <c r="H33" s="152" t="s">
        <v>102</v>
      </c>
    </row>
    <row r="34" spans="5:8" x14ac:dyDescent="0.35">
      <c r="E34" s="153" t="s">
        <v>153</v>
      </c>
      <c r="F34" s="363"/>
      <c r="G34" s="155" t="s">
        <v>160</v>
      </c>
      <c r="H34" s="152" t="s">
        <v>103</v>
      </c>
    </row>
    <row r="35" spans="5:8" x14ac:dyDescent="0.35">
      <c r="E35" s="153" t="s">
        <v>161</v>
      </c>
      <c r="F35" s="36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63"/>
      <c r="G36" s="154" t="s">
        <v>163</v>
      </c>
      <c r="H36" s="152" t="s">
        <v>100</v>
      </c>
    </row>
    <row r="37" spans="5:8" x14ac:dyDescent="0.35">
      <c r="E37" s="153" t="s">
        <v>161</v>
      </c>
      <c r="F37" s="363"/>
      <c r="G37" s="154" t="s">
        <v>164</v>
      </c>
      <c r="H37" s="152" t="s">
        <v>98</v>
      </c>
    </row>
    <row r="38" spans="5:8" x14ac:dyDescent="0.35">
      <c r="E38" s="153" t="s">
        <v>161</v>
      </c>
      <c r="F38" s="363"/>
      <c r="G38" s="154" t="s">
        <v>165</v>
      </c>
      <c r="H38" s="152" t="s">
        <v>101</v>
      </c>
    </row>
    <row r="39" spans="5:8" x14ac:dyDescent="0.35">
      <c r="E39" s="153" t="s">
        <v>161</v>
      </c>
      <c r="F39" s="363"/>
      <c r="G39" s="158" t="s">
        <v>166</v>
      </c>
      <c r="H39" s="152" t="s">
        <v>102</v>
      </c>
    </row>
    <row r="40" spans="5:8" x14ac:dyDescent="0.35">
      <c r="E40" s="153" t="s">
        <v>161</v>
      </c>
      <c r="F40" s="363"/>
      <c r="G40" s="154" t="s">
        <v>167</v>
      </c>
      <c r="H40" s="152" t="s">
        <v>103</v>
      </c>
    </row>
    <row r="41" spans="5:8" x14ac:dyDescent="0.35">
      <c r="E41" s="153" t="s">
        <v>168</v>
      </c>
      <c r="F41" s="36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63"/>
      <c r="G42" s="154" t="s">
        <v>171</v>
      </c>
      <c r="H42" s="152" t="s">
        <v>100</v>
      </c>
    </row>
    <row r="43" spans="5:8" x14ac:dyDescent="0.35">
      <c r="E43" s="153" t="s">
        <v>168</v>
      </c>
      <c r="F43" s="363"/>
      <c r="G43" s="154" t="s">
        <v>172</v>
      </c>
      <c r="H43" s="152" t="s">
        <v>98</v>
      </c>
    </row>
    <row r="44" spans="5:8" x14ac:dyDescent="0.35">
      <c r="E44" s="153" t="s">
        <v>168</v>
      </c>
      <c r="F44" s="363"/>
      <c r="G44" s="154" t="s">
        <v>173</v>
      </c>
      <c r="H44" s="152" t="s">
        <v>101</v>
      </c>
    </row>
    <row r="45" spans="5:8" x14ac:dyDescent="0.35">
      <c r="E45" s="153" t="s">
        <v>168</v>
      </c>
      <c r="F45" s="363"/>
      <c r="G45" s="154" t="s">
        <v>174</v>
      </c>
      <c r="H45" s="152" t="s">
        <v>102</v>
      </c>
    </row>
    <row r="46" spans="5:8" x14ac:dyDescent="0.35">
      <c r="E46" s="153" t="s">
        <v>168</v>
      </c>
      <c r="F46" s="363"/>
      <c r="G46" s="154" t="s">
        <v>175</v>
      </c>
      <c r="H46" s="152" t="s">
        <v>103</v>
      </c>
    </row>
    <row r="47" spans="5:8" x14ac:dyDescent="0.35">
      <c r="E47" s="153" t="s">
        <v>176</v>
      </c>
      <c r="F47" s="36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63"/>
      <c r="G48" s="154" t="s">
        <v>179</v>
      </c>
      <c r="H48" s="152" t="s">
        <v>100</v>
      </c>
    </row>
    <row r="49" spans="5:8" x14ac:dyDescent="0.35">
      <c r="E49" s="153" t="s">
        <v>176</v>
      </c>
      <c r="F49" s="363"/>
      <c r="G49" s="154" t="s">
        <v>180</v>
      </c>
      <c r="H49" s="152" t="s">
        <v>98</v>
      </c>
    </row>
    <row r="50" spans="5:8" x14ac:dyDescent="0.35">
      <c r="E50" s="153" t="s">
        <v>176</v>
      </c>
      <c r="F50" s="363"/>
      <c r="G50" s="154" t="s">
        <v>181</v>
      </c>
      <c r="H50" s="152" t="s">
        <v>101</v>
      </c>
    </row>
    <row r="51" spans="5:8" x14ac:dyDescent="0.35">
      <c r="E51" s="153" t="s">
        <v>176</v>
      </c>
      <c r="F51" s="363"/>
      <c r="G51" s="154" t="s">
        <v>182</v>
      </c>
      <c r="H51" s="152" t="s">
        <v>102</v>
      </c>
    </row>
    <row r="52" spans="5:8" x14ac:dyDescent="0.35">
      <c r="E52" s="153" t="s">
        <v>176</v>
      </c>
      <c r="F52" s="363"/>
      <c r="G52" s="158" t="s">
        <v>183</v>
      </c>
      <c r="H52" s="152" t="s">
        <v>103</v>
      </c>
    </row>
    <row r="53" spans="5:8" x14ac:dyDescent="0.35">
      <c r="E53" s="153" t="s">
        <v>184</v>
      </c>
      <c r="F53" s="36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63"/>
      <c r="G54" s="154" t="s">
        <v>187</v>
      </c>
      <c r="H54" s="152" t="s">
        <v>100</v>
      </c>
    </row>
    <row r="55" spans="5:8" x14ac:dyDescent="0.35">
      <c r="E55" s="153" t="s">
        <v>184</v>
      </c>
      <c r="F55" s="363"/>
      <c r="G55" s="154" t="s">
        <v>188</v>
      </c>
      <c r="H55" s="152" t="s">
        <v>98</v>
      </c>
    </row>
    <row r="56" spans="5:8" x14ac:dyDescent="0.35">
      <c r="E56" s="153" t="s">
        <v>184</v>
      </c>
      <c r="F56" s="363"/>
      <c r="G56" s="154" t="s">
        <v>189</v>
      </c>
      <c r="H56" s="152" t="s">
        <v>101</v>
      </c>
    </row>
    <row r="57" spans="5:8" x14ac:dyDescent="0.35">
      <c r="E57" s="153" t="s">
        <v>184</v>
      </c>
      <c r="F57" s="363"/>
      <c r="G57" s="154" t="s">
        <v>190</v>
      </c>
      <c r="H57" s="152" t="s">
        <v>102</v>
      </c>
    </row>
    <row r="58" spans="5:8" x14ac:dyDescent="0.35">
      <c r="E58" s="153" t="s">
        <v>184</v>
      </c>
      <c r="F58" s="363"/>
      <c r="G58" s="158" t="s">
        <v>191</v>
      </c>
      <c r="H58" s="152" t="s">
        <v>103</v>
      </c>
    </row>
    <row r="59" spans="5:8" x14ac:dyDescent="0.35">
      <c r="E59" s="159" t="s">
        <v>192</v>
      </c>
      <c r="F59" s="36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64"/>
      <c r="G60" s="160" t="s">
        <v>195</v>
      </c>
      <c r="H60" s="161" t="s">
        <v>100</v>
      </c>
    </row>
    <row r="61" spans="5:8" x14ac:dyDescent="0.35">
      <c r="E61" s="159" t="s">
        <v>192</v>
      </c>
      <c r="F61" s="364"/>
      <c r="G61" s="160" t="s">
        <v>196</v>
      </c>
      <c r="H61" s="161" t="s">
        <v>98</v>
      </c>
    </row>
    <row r="62" spans="5:8" x14ac:dyDescent="0.35">
      <c r="E62" s="159" t="s">
        <v>192</v>
      </c>
      <c r="F62" s="364"/>
      <c r="G62" s="160" t="s">
        <v>197</v>
      </c>
      <c r="H62" s="161" t="s">
        <v>101</v>
      </c>
    </row>
    <row r="63" spans="5:8" x14ac:dyDescent="0.35">
      <c r="E63" s="159" t="s">
        <v>192</v>
      </c>
      <c r="F63" s="364"/>
      <c r="G63" s="160" t="s">
        <v>198</v>
      </c>
      <c r="H63" s="161" t="s">
        <v>102</v>
      </c>
    </row>
    <row r="64" spans="5:8" x14ac:dyDescent="0.35">
      <c r="E64" s="159" t="s">
        <v>192</v>
      </c>
      <c r="F64" s="364"/>
      <c r="G64" s="162" t="s">
        <v>199</v>
      </c>
      <c r="H64" s="161" t="s">
        <v>103</v>
      </c>
    </row>
    <row r="65" spans="5:8" x14ac:dyDescent="0.35">
      <c r="E65" s="148" t="s">
        <v>200</v>
      </c>
      <c r="F65" s="36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63"/>
      <c r="G66" s="151" t="s">
        <v>203</v>
      </c>
      <c r="H66" s="152" t="s">
        <v>100</v>
      </c>
    </row>
    <row r="67" spans="5:8" x14ac:dyDescent="0.35">
      <c r="E67" s="148" t="s">
        <v>200</v>
      </c>
      <c r="F67" s="363"/>
      <c r="G67" s="151" t="s">
        <v>204</v>
      </c>
      <c r="H67" s="152" t="s">
        <v>98</v>
      </c>
    </row>
    <row r="68" spans="5:8" x14ac:dyDescent="0.35">
      <c r="E68" s="148" t="s">
        <v>200</v>
      </c>
      <c r="F68" s="363"/>
      <c r="G68" s="151" t="s">
        <v>201</v>
      </c>
      <c r="H68" s="152" t="s">
        <v>101</v>
      </c>
    </row>
    <row r="69" spans="5:8" x14ac:dyDescent="0.35">
      <c r="E69" s="148" t="s">
        <v>200</v>
      </c>
      <c r="F69" s="363"/>
      <c r="G69" s="151" t="s">
        <v>205</v>
      </c>
      <c r="H69" s="152" t="s">
        <v>102</v>
      </c>
    </row>
    <row r="70" spans="5:8" x14ac:dyDescent="0.35">
      <c r="E70" s="148" t="s">
        <v>200</v>
      </c>
      <c r="F70" s="363"/>
      <c r="G70" s="151" t="s">
        <v>206</v>
      </c>
      <c r="H70" s="152" t="s">
        <v>103</v>
      </c>
    </row>
    <row r="71" spans="5:8" x14ac:dyDescent="0.35">
      <c r="E71" s="153" t="s">
        <v>207</v>
      </c>
      <c r="F71" s="36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63"/>
      <c r="G72" s="154" t="s">
        <v>210</v>
      </c>
      <c r="H72" s="152" t="s">
        <v>100</v>
      </c>
    </row>
    <row r="73" spans="5:8" x14ac:dyDescent="0.35">
      <c r="E73" s="153" t="s">
        <v>207</v>
      </c>
      <c r="F73" s="363"/>
      <c r="G73" s="154" t="s">
        <v>211</v>
      </c>
      <c r="H73" s="152" t="s">
        <v>98</v>
      </c>
    </row>
    <row r="74" spans="5:8" x14ac:dyDescent="0.35">
      <c r="E74" s="153" t="s">
        <v>207</v>
      </c>
      <c r="F74" s="363"/>
      <c r="G74" s="154" t="s">
        <v>212</v>
      </c>
      <c r="H74" s="152" t="s">
        <v>101</v>
      </c>
    </row>
    <row r="75" spans="5:8" x14ac:dyDescent="0.35">
      <c r="E75" s="153" t="s">
        <v>207</v>
      </c>
      <c r="F75" s="363"/>
      <c r="G75" s="154" t="s">
        <v>213</v>
      </c>
      <c r="H75" s="152" t="s">
        <v>102</v>
      </c>
    </row>
    <row r="76" spans="5:8" x14ac:dyDescent="0.35">
      <c r="E76" s="153" t="s">
        <v>207</v>
      </c>
      <c r="F76" s="363"/>
      <c r="G76" s="151" t="s">
        <v>214</v>
      </c>
      <c r="H76" s="152" t="s">
        <v>103</v>
      </c>
    </row>
    <row r="77" spans="5:8" x14ac:dyDescent="0.35">
      <c r="E77" s="153" t="s">
        <v>215</v>
      </c>
      <c r="F77" s="36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63"/>
      <c r="G78" s="154" t="s">
        <v>218</v>
      </c>
      <c r="H78" s="152" t="s">
        <v>100</v>
      </c>
    </row>
    <row r="79" spans="5:8" x14ac:dyDescent="0.35">
      <c r="E79" s="153" t="s">
        <v>215</v>
      </c>
      <c r="F79" s="363"/>
      <c r="G79" s="154" t="s">
        <v>219</v>
      </c>
      <c r="H79" s="152" t="s">
        <v>98</v>
      </c>
    </row>
    <row r="80" spans="5:8" x14ac:dyDescent="0.35">
      <c r="E80" s="153" t="s">
        <v>215</v>
      </c>
      <c r="F80" s="363"/>
      <c r="G80" s="154" t="s">
        <v>220</v>
      </c>
      <c r="H80" s="152" t="s">
        <v>101</v>
      </c>
    </row>
    <row r="81" spans="5:8" x14ac:dyDescent="0.35">
      <c r="E81" s="153" t="s">
        <v>215</v>
      </c>
      <c r="F81" s="363"/>
      <c r="G81" s="154" t="s">
        <v>221</v>
      </c>
      <c r="H81" s="152" t="s">
        <v>102</v>
      </c>
    </row>
    <row r="82" spans="5:8" x14ac:dyDescent="0.35">
      <c r="E82" s="153" t="s">
        <v>215</v>
      </c>
      <c r="F82" s="363"/>
      <c r="G82" s="151" t="s">
        <v>222</v>
      </c>
      <c r="H82" s="152" t="s">
        <v>103</v>
      </c>
    </row>
    <row r="83" spans="5:8" x14ac:dyDescent="0.35">
      <c r="E83" s="153" t="s">
        <v>223</v>
      </c>
      <c r="F83" s="36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63"/>
      <c r="G84" s="154" t="s">
        <v>226</v>
      </c>
      <c r="H84" s="152" t="s">
        <v>100</v>
      </c>
    </row>
    <row r="85" spans="5:8" x14ac:dyDescent="0.35">
      <c r="E85" s="153" t="s">
        <v>223</v>
      </c>
      <c r="F85" s="363"/>
      <c r="G85" s="154" t="s">
        <v>227</v>
      </c>
      <c r="H85" s="152" t="s">
        <v>98</v>
      </c>
    </row>
    <row r="86" spans="5:8" x14ac:dyDescent="0.35">
      <c r="E86" s="153" t="s">
        <v>223</v>
      </c>
      <c r="F86" s="363"/>
      <c r="G86" s="154" t="s">
        <v>228</v>
      </c>
      <c r="H86" s="152" t="s">
        <v>101</v>
      </c>
    </row>
    <row r="87" spans="5:8" x14ac:dyDescent="0.35">
      <c r="E87" s="153" t="s">
        <v>223</v>
      </c>
      <c r="F87" s="363"/>
      <c r="G87" s="154" t="s">
        <v>229</v>
      </c>
      <c r="H87" s="152" t="s">
        <v>102</v>
      </c>
    </row>
    <row r="88" spans="5:8" x14ac:dyDescent="0.35">
      <c r="E88" s="153" t="s">
        <v>223</v>
      </c>
      <c r="F88" s="363"/>
      <c r="G88" s="151" t="s">
        <v>230</v>
      </c>
      <c r="H88" s="152" t="s">
        <v>103</v>
      </c>
    </row>
    <row r="89" spans="5:8" x14ac:dyDescent="0.35">
      <c r="E89" s="153" t="s">
        <v>231</v>
      </c>
      <c r="F89" s="36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63"/>
      <c r="G90" s="154" t="s">
        <v>234</v>
      </c>
      <c r="H90" s="152" t="s">
        <v>100</v>
      </c>
    </row>
    <row r="91" spans="5:8" x14ac:dyDescent="0.35">
      <c r="E91" s="153" t="s">
        <v>231</v>
      </c>
      <c r="F91" s="363"/>
      <c r="G91" s="154" t="s">
        <v>235</v>
      </c>
      <c r="H91" s="152" t="s">
        <v>98</v>
      </c>
    </row>
    <row r="92" spans="5:8" x14ac:dyDescent="0.35">
      <c r="E92" s="153" t="s">
        <v>231</v>
      </c>
      <c r="F92" s="363"/>
      <c r="G92" s="154" t="s">
        <v>236</v>
      </c>
      <c r="H92" s="152" t="s">
        <v>101</v>
      </c>
    </row>
    <row r="93" spans="5:8" x14ac:dyDescent="0.35">
      <c r="E93" s="153" t="s">
        <v>231</v>
      </c>
      <c r="F93" s="363"/>
      <c r="G93" s="154" t="s">
        <v>232</v>
      </c>
      <c r="H93" s="152" t="s">
        <v>102</v>
      </c>
    </row>
    <row r="94" spans="5:8" x14ac:dyDescent="0.35">
      <c r="E94" s="153" t="s">
        <v>231</v>
      </c>
      <c r="F94" s="363"/>
      <c r="G94" s="158" t="s">
        <v>237</v>
      </c>
      <c r="H94" s="152" t="s">
        <v>103</v>
      </c>
    </row>
    <row r="95" spans="5:8" x14ac:dyDescent="0.35">
      <c r="E95" s="153" t="s">
        <v>238</v>
      </c>
      <c r="F95" s="36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63"/>
      <c r="G96" s="154" t="s">
        <v>241</v>
      </c>
      <c r="H96" s="152" t="s">
        <v>100</v>
      </c>
    </row>
    <row r="97" spans="5:8" x14ac:dyDescent="0.35">
      <c r="E97" s="153" t="s">
        <v>238</v>
      </c>
      <c r="F97" s="363"/>
      <c r="G97" s="154" t="s">
        <v>242</v>
      </c>
      <c r="H97" s="152" t="s">
        <v>98</v>
      </c>
    </row>
    <row r="98" spans="5:8" x14ac:dyDescent="0.35">
      <c r="E98" s="153" t="s">
        <v>238</v>
      </c>
      <c r="F98" s="363"/>
      <c r="G98" s="154" t="s">
        <v>243</v>
      </c>
      <c r="H98" s="152" t="s">
        <v>101</v>
      </c>
    </row>
    <row r="99" spans="5:8" x14ac:dyDescent="0.35">
      <c r="E99" s="153" t="s">
        <v>238</v>
      </c>
      <c r="F99" s="363"/>
      <c r="G99" s="158" t="s">
        <v>244</v>
      </c>
      <c r="H99" s="152" t="s">
        <v>102</v>
      </c>
    </row>
    <row r="100" spans="5:8" x14ac:dyDescent="0.35">
      <c r="E100" s="153" t="s">
        <v>238</v>
      </c>
      <c r="F100" s="363"/>
      <c r="G100" s="154" t="s">
        <v>245</v>
      </c>
      <c r="H100" s="152" t="s">
        <v>103</v>
      </c>
    </row>
    <row r="101" spans="5:8" x14ac:dyDescent="0.35">
      <c r="E101" s="153" t="s">
        <v>246</v>
      </c>
      <c r="F101" s="36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63"/>
      <c r="G102" s="154" t="s">
        <v>247</v>
      </c>
      <c r="H102" s="152" t="s">
        <v>100</v>
      </c>
    </row>
    <row r="103" spans="5:8" x14ac:dyDescent="0.35">
      <c r="E103" s="153" t="s">
        <v>246</v>
      </c>
      <c r="F103" s="363"/>
      <c r="G103" s="154" t="s">
        <v>249</v>
      </c>
      <c r="H103" s="152" t="s">
        <v>98</v>
      </c>
    </row>
    <row r="104" spans="5:8" x14ac:dyDescent="0.35">
      <c r="E104" s="153" t="s">
        <v>246</v>
      </c>
      <c r="F104" s="363"/>
      <c r="G104" s="154" t="s">
        <v>250</v>
      </c>
      <c r="H104" s="152" t="s">
        <v>101</v>
      </c>
    </row>
    <row r="105" spans="5:8" x14ac:dyDescent="0.35">
      <c r="E105" s="153" t="s">
        <v>246</v>
      </c>
      <c r="F105" s="363"/>
      <c r="G105" s="154" t="s">
        <v>251</v>
      </c>
      <c r="H105" s="152" t="s">
        <v>102</v>
      </c>
    </row>
    <row r="106" spans="5:8" x14ac:dyDescent="0.35">
      <c r="E106" s="153" t="s">
        <v>246</v>
      </c>
      <c r="F106" s="363"/>
      <c r="G106" s="154" t="s">
        <v>252</v>
      </c>
      <c r="H106" s="152" t="s">
        <v>103</v>
      </c>
    </row>
    <row r="107" spans="5:8" x14ac:dyDescent="0.35">
      <c r="E107" s="153" t="s">
        <v>253</v>
      </c>
      <c r="F107" s="36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63"/>
      <c r="G108" s="154" t="s">
        <v>256</v>
      </c>
      <c r="H108" s="152" t="s">
        <v>100</v>
      </c>
    </row>
    <row r="109" spans="5:8" x14ac:dyDescent="0.35">
      <c r="E109" s="153" t="s">
        <v>253</v>
      </c>
      <c r="F109" s="363"/>
      <c r="G109" s="154" t="s">
        <v>257</v>
      </c>
      <c r="H109" s="152" t="s">
        <v>98</v>
      </c>
    </row>
    <row r="110" spans="5:8" x14ac:dyDescent="0.35">
      <c r="E110" s="153" t="s">
        <v>253</v>
      </c>
      <c r="F110" s="363"/>
      <c r="G110" s="154" t="s">
        <v>258</v>
      </c>
      <c r="H110" s="152" t="s">
        <v>101</v>
      </c>
    </row>
    <row r="111" spans="5:8" x14ac:dyDescent="0.35">
      <c r="E111" s="153" t="s">
        <v>253</v>
      </c>
      <c r="F111" s="363"/>
      <c r="G111" s="154" t="s">
        <v>259</v>
      </c>
      <c r="H111" s="152" t="s">
        <v>102</v>
      </c>
    </row>
    <row r="112" spans="5:8" x14ac:dyDescent="0.35">
      <c r="E112" s="153" t="s">
        <v>253</v>
      </c>
      <c r="F112" s="363"/>
      <c r="G112" s="158" t="s">
        <v>260</v>
      </c>
      <c r="H112" s="152" t="s">
        <v>103</v>
      </c>
    </row>
    <row r="113" spans="5:8" x14ac:dyDescent="0.35">
      <c r="E113" s="153" t="s">
        <v>261</v>
      </c>
      <c r="F113" s="36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63"/>
      <c r="G114" s="154" t="s">
        <v>264</v>
      </c>
      <c r="H114" s="152" t="s">
        <v>100</v>
      </c>
    </row>
    <row r="115" spans="5:8" x14ac:dyDescent="0.35">
      <c r="E115" s="153" t="s">
        <v>261</v>
      </c>
      <c r="F115" s="363"/>
      <c r="G115" s="154" t="s">
        <v>265</v>
      </c>
      <c r="H115" s="152" t="s">
        <v>98</v>
      </c>
    </row>
    <row r="116" spans="5:8" x14ac:dyDescent="0.35">
      <c r="E116" s="153" t="s">
        <v>261</v>
      </c>
      <c r="F116" s="363"/>
      <c r="G116" s="154" t="s">
        <v>266</v>
      </c>
      <c r="H116" s="152" t="s">
        <v>101</v>
      </c>
    </row>
    <row r="117" spans="5:8" x14ac:dyDescent="0.35">
      <c r="E117" s="153" t="s">
        <v>261</v>
      </c>
      <c r="F117" s="363"/>
      <c r="G117" s="154" t="s">
        <v>267</v>
      </c>
      <c r="H117" s="152" t="s">
        <v>102</v>
      </c>
    </row>
    <row r="118" spans="5:8" x14ac:dyDescent="0.35">
      <c r="E118" s="153" t="s">
        <v>261</v>
      </c>
      <c r="F118" s="363"/>
      <c r="G118" s="158" t="s">
        <v>268</v>
      </c>
      <c r="H118" s="152" t="s">
        <v>103</v>
      </c>
    </row>
    <row r="119" spans="5:8" x14ac:dyDescent="0.35">
      <c r="E119" s="159" t="s">
        <v>269</v>
      </c>
      <c r="F119" s="36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64"/>
      <c r="G120" s="160" t="s">
        <v>272</v>
      </c>
      <c r="H120" s="161" t="s">
        <v>100</v>
      </c>
    </row>
    <row r="121" spans="5:8" x14ac:dyDescent="0.35">
      <c r="E121" s="159" t="s">
        <v>269</v>
      </c>
      <c r="F121" s="364"/>
      <c r="G121" s="160" t="s">
        <v>273</v>
      </c>
      <c r="H121" s="161" t="s">
        <v>98</v>
      </c>
    </row>
    <row r="122" spans="5:8" x14ac:dyDescent="0.35">
      <c r="E122" s="159" t="s">
        <v>269</v>
      </c>
      <c r="F122" s="364"/>
      <c r="G122" s="160" t="s">
        <v>274</v>
      </c>
      <c r="H122" s="161" t="s">
        <v>101</v>
      </c>
    </row>
    <row r="123" spans="5:8" x14ac:dyDescent="0.35">
      <c r="E123" s="159" t="s">
        <v>269</v>
      </c>
      <c r="F123" s="364"/>
      <c r="G123" s="160" t="s">
        <v>275</v>
      </c>
      <c r="H123" s="161" t="s">
        <v>102</v>
      </c>
    </row>
    <row r="124" spans="5:8" x14ac:dyDescent="0.35">
      <c r="E124" s="159" t="s">
        <v>269</v>
      </c>
      <c r="F124" s="364"/>
      <c r="G124" s="162" t="s">
        <v>276</v>
      </c>
      <c r="H124" s="161" t="s">
        <v>103</v>
      </c>
    </row>
    <row r="125" spans="5:8" x14ac:dyDescent="0.35">
      <c r="E125" s="148" t="s">
        <v>277</v>
      </c>
      <c r="F125" s="36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63"/>
      <c r="G126" s="151" t="s">
        <v>281</v>
      </c>
      <c r="H126" s="152" t="s">
        <v>100</v>
      </c>
    </row>
    <row r="127" spans="5:8" x14ac:dyDescent="0.35">
      <c r="E127" s="148" t="s">
        <v>280</v>
      </c>
      <c r="F127" s="363"/>
      <c r="G127" s="151" t="s">
        <v>282</v>
      </c>
      <c r="H127" s="152" t="s">
        <v>98</v>
      </c>
    </row>
    <row r="128" spans="5:8" x14ac:dyDescent="0.35">
      <c r="E128" s="148" t="s">
        <v>277</v>
      </c>
      <c r="F128" s="363"/>
      <c r="G128" s="151" t="s">
        <v>283</v>
      </c>
      <c r="H128" s="152" t="s">
        <v>101</v>
      </c>
    </row>
    <row r="129" spans="5:8" x14ac:dyDescent="0.35">
      <c r="E129" s="148" t="s">
        <v>277</v>
      </c>
      <c r="F129" s="363"/>
      <c r="G129" s="151" t="s">
        <v>284</v>
      </c>
      <c r="H129" s="152" t="s">
        <v>102</v>
      </c>
    </row>
    <row r="130" spans="5:8" x14ac:dyDescent="0.35">
      <c r="E130" s="148" t="s">
        <v>277</v>
      </c>
      <c r="F130" s="363"/>
      <c r="G130" s="151" t="s">
        <v>285</v>
      </c>
      <c r="H130" s="152" t="s">
        <v>103</v>
      </c>
    </row>
    <row r="131" spans="5:8" x14ac:dyDescent="0.35">
      <c r="E131" s="153" t="s">
        <v>286</v>
      </c>
      <c r="F131" s="36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63"/>
      <c r="G132" s="154" t="s">
        <v>288</v>
      </c>
      <c r="H132" s="152" t="s">
        <v>100</v>
      </c>
    </row>
    <row r="133" spans="5:8" x14ac:dyDescent="0.35">
      <c r="E133" s="153" t="s">
        <v>289</v>
      </c>
      <c r="F133" s="363"/>
      <c r="G133" s="154" t="s">
        <v>290</v>
      </c>
      <c r="H133" s="152" t="s">
        <v>98</v>
      </c>
    </row>
    <row r="134" spans="5:8" x14ac:dyDescent="0.35">
      <c r="E134" s="153" t="s">
        <v>289</v>
      </c>
      <c r="F134" s="363"/>
      <c r="G134" s="154" t="s">
        <v>291</v>
      </c>
      <c r="H134" s="152" t="s">
        <v>101</v>
      </c>
    </row>
    <row r="135" spans="5:8" x14ac:dyDescent="0.35">
      <c r="E135" s="153" t="s">
        <v>286</v>
      </c>
      <c r="F135" s="363"/>
      <c r="G135" s="154" t="s">
        <v>292</v>
      </c>
      <c r="H135" s="152" t="s">
        <v>102</v>
      </c>
    </row>
    <row r="136" spans="5:8" x14ac:dyDescent="0.35">
      <c r="E136" s="153" t="s">
        <v>289</v>
      </c>
      <c r="F136" s="363"/>
      <c r="G136" s="151" t="s">
        <v>293</v>
      </c>
      <c r="H136" s="152" t="s">
        <v>103</v>
      </c>
    </row>
    <row r="137" spans="5:8" x14ac:dyDescent="0.35">
      <c r="E137" s="153" t="s">
        <v>294</v>
      </c>
      <c r="F137" s="36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63"/>
      <c r="G138" s="154" t="s">
        <v>298</v>
      </c>
      <c r="H138" s="152" t="s">
        <v>100</v>
      </c>
    </row>
    <row r="139" spans="5:8" x14ac:dyDescent="0.35">
      <c r="E139" s="153" t="s">
        <v>297</v>
      </c>
      <c r="F139" s="363"/>
      <c r="G139" s="154" t="s">
        <v>299</v>
      </c>
      <c r="H139" s="152" t="s">
        <v>98</v>
      </c>
    </row>
    <row r="140" spans="5:8" x14ac:dyDescent="0.35">
      <c r="E140" s="153" t="s">
        <v>297</v>
      </c>
      <c r="F140" s="363"/>
      <c r="G140" s="154" t="s">
        <v>300</v>
      </c>
      <c r="H140" s="152" t="s">
        <v>101</v>
      </c>
    </row>
    <row r="141" spans="5:8" x14ac:dyDescent="0.35">
      <c r="E141" s="153" t="s">
        <v>297</v>
      </c>
      <c r="F141" s="363"/>
      <c r="G141" s="154" t="s">
        <v>301</v>
      </c>
      <c r="H141" s="152" t="s">
        <v>102</v>
      </c>
    </row>
    <row r="142" spans="5:8" x14ac:dyDescent="0.35">
      <c r="E142" s="153" t="s">
        <v>294</v>
      </c>
      <c r="F142" s="363"/>
      <c r="G142" s="151" t="s">
        <v>302</v>
      </c>
      <c r="H142" s="152" t="s">
        <v>103</v>
      </c>
    </row>
    <row r="143" spans="5:8" x14ac:dyDescent="0.35">
      <c r="E143" s="153" t="s">
        <v>303</v>
      </c>
      <c r="F143" s="36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63"/>
      <c r="G144" s="154" t="s">
        <v>306</v>
      </c>
      <c r="H144" s="152" t="s">
        <v>100</v>
      </c>
    </row>
    <row r="145" spans="5:8" x14ac:dyDescent="0.35">
      <c r="E145" s="153" t="s">
        <v>303</v>
      </c>
      <c r="F145" s="363"/>
      <c r="G145" s="154" t="s">
        <v>307</v>
      </c>
      <c r="H145" s="152" t="s">
        <v>98</v>
      </c>
    </row>
    <row r="146" spans="5:8" x14ac:dyDescent="0.35">
      <c r="E146" s="153" t="s">
        <v>303</v>
      </c>
      <c r="F146" s="363"/>
      <c r="G146" s="154" t="s">
        <v>308</v>
      </c>
      <c r="H146" s="152" t="s">
        <v>101</v>
      </c>
    </row>
    <row r="147" spans="5:8" x14ac:dyDescent="0.35">
      <c r="E147" s="153" t="s">
        <v>305</v>
      </c>
      <c r="F147" s="363"/>
      <c r="G147" s="154" t="s">
        <v>309</v>
      </c>
      <c r="H147" s="152" t="s">
        <v>102</v>
      </c>
    </row>
    <row r="148" spans="5:8" x14ac:dyDescent="0.35">
      <c r="E148" s="153" t="s">
        <v>305</v>
      </c>
      <c r="F148" s="363"/>
      <c r="G148" s="151" t="s">
        <v>310</v>
      </c>
      <c r="H148" s="152" t="s">
        <v>103</v>
      </c>
    </row>
    <row r="149" spans="5:8" x14ac:dyDescent="0.35">
      <c r="E149" s="153" t="s">
        <v>311</v>
      </c>
      <c r="F149" s="36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63"/>
      <c r="G150" s="154" t="s">
        <v>314</v>
      </c>
      <c r="H150" s="152" t="s">
        <v>100</v>
      </c>
    </row>
    <row r="151" spans="5:8" x14ac:dyDescent="0.35">
      <c r="E151" s="153" t="s">
        <v>315</v>
      </c>
      <c r="F151" s="363"/>
      <c r="G151" s="154" t="s">
        <v>316</v>
      </c>
      <c r="H151" s="152" t="s">
        <v>98</v>
      </c>
    </row>
    <row r="152" spans="5:8" x14ac:dyDescent="0.35">
      <c r="E152" s="153" t="s">
        <v>315</v>
      </c>
      <c r="F152" s="363"/>
      <c r="G152" s="154" t="s">
        <v>317</v>
      </c>
      <c r="H152" s="152" t="s">
        <v>101</v>
      </c>
    </row>
    <row r="153" spans="5:8" x14ac:dyDescent="0.35">
      <c r="E153" s="153" t="s">
        <v>315</v>
      </c>
      <c r="F153" s="363"/>
      <c r="G153" s="154" t="s">
        <v>318</v>
      </c>
      <c r="H153" s="152" t="s">
        <v>102</v>
      </c>
    </row>
    <row r="154" spans="5:8" x14ac:dyDescent="0.35">
      <c r="E154" s="153" t="s">
        <v>315</v>
      </c>
      <c r="F154" s="363"/>
      <c r="G154" s="158" t="s">
        <v>319</v>
      </c>
      <c r="H154" s="152" t="s">
        <v>103</v>
      </c>
    </row>
    <row r="155" spans="5:8" x14ac:dyDescent="0.35">
      <c r="E155" s="153" t="s">
        <v>320</v>
      </c>
      <c r="F155" s="36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63"/>
      <c r="G156" s="154" t="s">
        <v>324</v>
      </c>
      <c r="H156" s="152" t="s">
        <v>100</v>
      </c>
    </row>
    <row r="157" spans="5:8" x14ac:dyDescent="0.35">
      <c r="E157" s="153" t="s">
        <v>320</v>
      </c>
      <c r="F157" s="363"/>
      <c r="G157" s="154" t="s">
        <v>325</v>
      </c>
      <c r="H157" s="152" t="s">
        <v>98</v>
      </c>
    </row>
    <row r="158" spans="5:8" x14ac:dyDescent="0.35">
      <c r="E158" s="153" t="s">
        <v>320</v>
      </c>
      <c r="F158" s="363"/>
      <c r="G158" s="154" t="s">
        <v>321</v>
      </c>
      <c r="H158" s="152" t="s">
        <v>101</v>
      </c>
    </row>
    <row r="159" spans="5:8" x14ac:dyDescent="0.35">
      <c r="E159" s="153" t="s">
        <v>320</v>
      </c>
      <c r="F159" s="363"/>
      <c r="G159" s="158" t="s">
        <v>326</v>
      </c>
      <c r="H159" s="152" t="s">
        <v>102</v>
      </c>
    </row>
    <row r="160" spans="5:8" x14ac:dyDescent="0.35">
      <c r="E160" s="153" t="s">
        <v>320</v>
      </c>
      <c r="F160" s="363"/>
      <c r="G160" s="154" t="s">
        <v>327</v>
      </c>
      <c r="H160" s="152" t="s">
        <v>103</v>
      </c>
    </row>
    <row r="161" spans="5:8" x14ac:dyDescent="0.35">
      <c r="E161" s="153" t="s">
        <v>328</v>
      </c>
      <c r="F161" s="36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63"/>
      <c r="G162" s="154" t="s">
        <v>331</v>
      </c>
      <c r="H162" s="152" t="s">
        <v>100</v>
      </c>
    </row>
    <row r="163" spans="5:8" x14ac:dyDescent="0.35">
      <c r="E163" s="153" t="s">
        <v>332</v>
      </c>
      <c r="F163" s="363"/>
      <c r="G163" s="154" t="s">
        <v>333</v>
      </c>
      <c r="H163" s="152" t="s">
        <v>98</v>
      </c>
    </row>
    <row r="164" spans="5:8" x14ac:dyDescent="0.35">
      <c r="E164" s="153" t="s">
        <v>328</v>
      </c>
      <c r="F164" s="363"/>
      <c r="G164" s="154" t="s">
        <v>334</v>
      </c>
      <c r="H164" s="152" t="s">
        <v>101</v>
      </c>
    </row>
    <row r="165" spans="5:8" x14ac:dyDescent="0.35">
      <c r="E165" s="153" t="s">
        <v>332</v>
      </c>
      <c r="F165" s="363"/>
      <c r="G165" s="154" t="s">
        <v>329</v>
      </c>
      <c r="H165" s="152" t="s">
        <v>102</v>
      </c>
    </row>
    <row r="166" spans="5:8" x14ac:dyDescent="0.35">
      <c r="E166" s="153" t="s">
        <v>332</v>
      </c>
      <c r="F166" s="363"/>
      <c r="G166" s="154" t="s">
        <v>335</v>
      </c>
      <c r="H166" s="152" t="s">
        <v>103</v>
      </c>
    </row>
    <row r="167" spans="5:8" x14ac:dyDescent="0.35">
      <c r="E167" s="153" t="s">
        <v>336</v>
      </c>
      <c r="F167" s="36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63"/>
      <c r="G168" s="154" t="s">
        <v>339</v>
      </c>
      <c r="H168" s="152" t="s">
        <v>100</v>
      </c>
    </row>
    <row r="169" spans="5:8" x14ac:dyDescent="0.35">
      <c r="E169" s="153" t="s">
        <v>338</v>
      </c>
      <c r="F169" s="363"/>
      <c r="G169" s="154" t="s">
        <v>340</v>
      </c>
      <c r="H169" s="152" t="s">
        <v>98</v>
      </c>
    </row>
    <row r="170" spans="5:8" x14ac:dyDescent="0.35">
      <c r="E170" s="153" t="s">
        <v>338</v>
      </c>
      <c r="F170" s="363"/>
      <c r="G170" s="154" t="s">
        <v>341</v>
      </c>
      <c r="H170" s="152" t="s">
        <v>101</v>
      </c>
    </row>
    <row r="171" spans="5:8" x14ac:dyDescent="0.35">
      <c r="E171" s="153" t="s">
        <v>338</v>
      </c>
      <c r="F171" s="363"/>
      <c r="G171" s="154" t="s">
        <v>342</v>
      </c>
      <c r="H171" s="152" t="s">
        <v>102</v>
      </c>
    </row>
    <row r="172" spans="5:8" x14ac:dyDescent="0.35">
      <c r="E172" s="153" t="s">
        <v>338</v>
      </c>
      <c r="F172" s="363"/>
      <c r="G172" s="158" t="s">
        <v>343</v>
      </c>
      <c r="H172" s="152" t="s">
        <v>103</v>
      </c>
    </row>
    <row r="173" spans="5:8" x14ac:dyDescent="0.35">
      <c r="E173" s="153" t="s">
        <v>344</v>
      </c>
      <c r="F173" s="36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63"/>
      <c r="G174" s="154" t="s">
        <v>347</v>
      </c>
      <c r="H174" s="152" t="s">
        <v>100</v>
      </c>
    </row>
    <row r="175" spans="5:8" x14ac:dyDescent="0.35">
      <c r="E175" s="153" t="s">
        <v>344</v>
      </c>
      <c r="F175" s="363"/>
      <c r="G175" s="154" t="s">
        <v>348</v>
      </c>
      <c r="H175" s="152" t="s">
        <v>98</v>
      </c>
    </row>
    <row r="176" spans="5:8" x14ac:dyDescent="0.35">
      <c r="E176" s="153" t="s">
        <v>344</v>
      </c>
      <c r="F176" s="363"/>
      <c r="G176" s="154" t="s">
        <v>349</v>
      </c>
      <c r="H176" s="152" t="s">
        <v>101</v>
      </c>
    </row>
    <row r="177" spans="5:8" x14ac:dyDescent="0.35">
      <c r="E177" s="153" t="s">
        <v>344</v>
      </c>
      <c r="F177" s="363"/>
      <c r="G177" s="154" t="s">
        <v>350</v>
      </c>
      <c r="H177" s="152" t="s">
        <v>102</v>
      </c>
    </row>
    <row r="178" spans="5:8" x14ac:dyDescent="0.35">
      <c r="E178" s="153" t="s">
        <v>344</v>
      </c>
      <c r="F178" s="363"/>
      <c r="G178" s="158" t="s">
        <v>351</v>
      </c>
      <c r="H178" s="152" t="s">
        <v>103</v>
      </c>
    </row>
    <row r="179" spans="5:8" x14ac:dyDescent="0.35">
      <c r="E179" s="156" t="s">
        <v>352</v>
      </c>
      <c r="F179" s="36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63"/>
      <c r="G180" s="154" t="s">
        <v>355</v>
      </c>
      <c r="H180" s="152" t="s">
        <v>100</v>
      </c>
    </row>
    <row r="181" spans="5:8" x14ac:dyDescent="0.35">
      <c r="E181" s="156" t="s">
        <v>352</v>
      </c>
      <c r="F181" s="363"/>
      <c r="G181" s="154" t="s">
        <v>356</v>
      </c>
      <c r="H181" s="152" t="s">
        <v>98</v>
      </c>
    </row>
    <row r="182" spans="5:8" x14ac:dyDescent="0.35">
      <c r="E182" s="156" t="s">
        <v>352</v>
      </c>
      <c r="F182" s="363"/>
      <c r="G182" s="154" t="s">
        <v>357</v>
      </c>
      <c r="H182" s="152" t="s">
        <v>101</v>
      </c>
    </row>
    <row r="183" spans="5:8" x14ac:dyDescent="0.35">
      <c r="E183" s="156" t="s">
        <v>352</v>
      </c>
      <c r="F183" s="363"/>
      <c r="G183" s="154" t="s">
        <v>358</v>
      </c>
      <c r="H183" s="152" t="s">
        <v>102</v>
      </c>
    </row>
    <row r="184" spans="5:8" x14ac:dyDescent="0.35">
      <c r="E184" s="156" t="s">
        <v>352</v>
      </c>
      <c r="F184" s="363"/>
      <c r="G184" s="158" t="s">
        <v>359</v>
      </c>
      <c r="H184" s="152" t="s">
        <v>103</v>
      </c>
    </row>
    <row r="185" spans="5:8" x14ac:dyDescent="0.35">
      <c r="E185" s="148" t="s">
        <v>360</v>
      </c>
      <c r="F185" s="36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63"/>
      <c r="G186" s="151" t="s">
        <v>363</v>
      </c>
      <c r="H186" s="152" t="s">
        <v>100</v>
      </c>
    </row>
    <row r="187" spans="5:8" x14ac:dyDescent="0.35">
      <c r="E187" s="148" t="s">
        <v>360</v>
      </c>
      <c r="F187" s="363"/>
      <c r="G187" s="151" t="s">
        <v>364</v>
      </c>
      <c r="H187" s="152" t="s">
        <v>98</v>
      </c>
    </row>
    <row r="188" spans="5:8" x14ac:dyDescent="0.35">
      <c r="E188" s="148" t="s">
        <v>360</v>
      </c>
      <c r="F188" s="363"/>
      <c r="G188" s="151" t="s">
        <v>365</v>
      </c>
      <c r="H188" s="152" t="s">
        <v>101</v>
      </c>
    </row>
    <row r="189" spans="5:8" x14ac:dyDescent="0.35">
      <c r="E189" s="148" t="s">
        <v>360</v>
      </c>
      <c r="F189" s="363"/>
      <c r="G189" s="151" t="s">
        <v>366</v>
      </c>
      <c r="H189" s="152" t="s">
        <v>102</v>
      </c>
    </row>
    <row r="190" spans="5:8" x14ac:dyDescent="0.35">
      <c r="E190" s="148" t="s">
        <v>360</v>
      </c>
      <c r="F190" s="363"/>
      <c r="G190" s="151" t="s">
        <v>367</v>
      </c>
      <c r="H190" s="152" t="s">
        <v>103</v>
      </c>
    </row>
    <row r="191" spans="5:8" x14ac:dyDescent="0.35">
      <c r="E191" s="153" t="s">
        <v>368</v>
      </c>
      <c r="F191" s="36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63"/>
      <c r="G192" s="154" t="s">
        <v>370</v>
      </c>
      <c r="H192" s="152" t="s">
        <v>100</v>
      </c>
    </row>
    <row r="193" spans="5:8" x14ac:dyDescent="0.35">
      <c r="E193" s="153" t="s">
        <v>368</v>
      </c>
      <c r="F193" s="363"/>
      <c r="G193" s="154" t="s">
        <v>371</v>
      </c>
      <c r="H193" s="152" t="s">
        <v>98</v>
      </c>
    </row>
    <row r="194" spans="5:8" x14ac:dyDescent="0.35">
      <c r="E194" s="153" t="s">
        <v>368</v>
      </c>
      <c r="F194" s="363"/>
      <c r="G194" s="154" t="s">
        <v>372</v>
      </c>
      <c r="H194" s="152" t="s">
        <v>101</v>
      </c>
    </row>
    <row r="195" spans="5:8" x14ac:dyDescent="0.35">
      <c r="E195" s="153" t="s">
        <v>368</v>
      </c>
      <c r="F195" s="363"/>
      <c r="G195" s="154" t="s">
        <v>373</v>
      </c>
      <c r="H195" s="152" t="s">
        <v>102</v>
      </c>
    </row>
    <row r="196" spans="5:8" x14ac:dyDescent="0.35">
      <c r="E196" s="153" t="s">
        <v>368</v>
      </c>
      <c r="F196" s="363"/>
      <c r="G196" s="151" t="s">
        <v>374</v>
      </c>
      <c r="H196" s="152" t="s">
        <v>103</v>
      </c>
    </row>
    <row r="197" spans="5:8" x14ac:dyDescent="0.35">
      <c r="E197" s="153" t="s">
        <v>375</v>
      </c>
      <c r="F197" s="36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63"/>
      <c r="G198" s="154" t="s">
        <v>378</v>
      </c>
      <c r="H198" s="152" t="s">
        <v>100</v>
      </c>
    </row>
    <row r="199" spans="5:8" x14ac:dyDescent="0.35">
      <c r="E199" s="153" t="s">
        <v>375</v>
      </c>
      <c r="F199" s="363"/>
      <c r="G199" s="154" t="s">
        <v>379</v>
      </c>
      <c r="H199" s="152" t="s">
        <v>98</v>
      </c>
    </row>
    <row r="200" spans="5:8" x14ac:dyDescent="0.35">
      <c r="E200" s="153" t="s">
        <v>375</v>
      </c>
      <c r="F200" s="363"/>
      <c r="G200" s="154" t="s">
        <v>380</v>
      </c>
      <c r="H200" s="152" t="s">
        <v>101</v>
      </c>
    </row>
    <row r="201" spans="5:8" x14ac:dyDescent="0.35">
      <c r="E201" s="153" t="s">
        <v>375</v>
      </c>
      <c r="F201" s="363"/>
      <c r="G201" s="154" t="s">
        <v>381</v>
      </c>
      <c r="H201" s="152" t="s">
        <v>102</v>
      </c>
    </row>
    <row r="202" spans="5:8" x14ac:dyDescent="0.35">
      <c r="E202" s="153" t="s">
        <v>375</v>
      </c>
      <c r="F202" s="363"/>
      <c r="G202" s="151" t="s">
        <v>382</v>
      </c>
      <c r="H202" s="152" t="s">
        <v>103</v>
      </c>
    </row>
    <row r="203" spans="5:8" x14ac:dyDescent="0.35">
      <c r="E203" s="153" t="s">
        <v>383</v>
      </c>
      <c r="F203" s="36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63"/>
      <c r="G204" s="154" t="s">
        <v>386</v>
      </c>
      <c r="H204" s="152" t="s">
        <v>100</v>
      </c>
    </row>
    <row r="205" spans="5:8" x14ac:dyDescent="0.35">
      <c r="E205" s="153" t="s">
        <v>383</v>
      </c>
      <c r="F205" s="363"/>
      <c r="G205" s="154" t="s">
        <v>384</v>
      </c>
      <c r="H205" s="152" t="s">
        <v>98</v>
      </c>
    </row>
    <row r="206" spans="5:8" x14ac:dyDescent="0.35">
      <c r="E206" s="153" t="s">
        <v>383</v>
      </c>
      <c r="F206" s="363"/>
      <c r="G206" s="154" t="s">
        <v>387</v>
      </c>
      <c r="H206" s="152" t="s">
        <v>101</v>
      </c>
    </row>
    <row r="207" spans="5:8" x14ac:dyDescent="0.35">
      <c r="E207" s="153" t="s">
        <v>383</v>
      </c>
      <c r="F207" s="363"/>
      <c r="G207" s="154" t="s">
        <v>388</v>
      </c>
      <c r="H207" s="152" t="s">
        <v>102</v>
      </c>
    </row>
    <row r="208" spans="5:8" x14ac:dyDescent="0.35">
      <c r="E208" s="153" t="s">
        <v>383</v>
      </c>
      <c r="F208" s="363"/>
      <c r="G208" s="151" t="s">
        <v>389</v>
      </c>
      <c r="H208" s="152" t="s">
        <v>103</v>
      </c>
    </row>
    <row r="209" spans="5:8" x14ac:dyDescent="0.35">
      <c r="E209" s="153" t="s">
        <v>390</v>
      </c>
      <c r="F209" s="36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63"/>
      <c r="G210" s="154" t="s">
        <v>393</v>
      </c>
      <c r="H210" s="152" t="s">
        <v>100</v>
      </c>
    </row>
    <row r="211" spans="5:8" x14ac:dyDescent="0.35">
      <c r="E211" s="153" t="s">
        <v>390</v>
      </c>
      <c r="F211" s="363"/>
      <c r="G211" s="154" t="s">
        <v>394</v>
      </c>
      <c r="H211" s="152" t="s">
        <v>98</v>
      </c>
    </row>
    <row r="212" spans="5:8" x14ac:dyDescent="0.35">
      <c r="E212" s="153" t="s">
        <v>390</v>
      </c>
      <c r="F212" s="363"/>
      <c r="G212" s="154" t="s">
        <v>395</v>
      </c>
      <c r="H212" s="152" t="s">
        <v>101</v>
      </c>
    </row>
    <row r="213" spans="5:8" x14ac:dyDescent="0.35">
      <c r="E213" s="153" t="s">
        <v>390</v>
      </c>
      <c r="F213" s="363"/>
      <c r="G213" s="154" t="s">
        <v>396</v>
      </c>
      <c r="H213" s="152" t="s">
        <v>102</v>
      </c>
    </row>
    <row r="214" spans="5:8" x14ac:dyDescent="0.35">
      <c r="E214" s="153" t="s">
        <v>390</v>
      </c>
      <c r="F214" s="363"/>
      <c r="G214" s="158" t="s">
        <v>397</v>
      </c>
      <c r="H214" s="152" t="s">
        <v>103</v>
      </c>
    </row>
    <row r="215" spans="5:8" x14ac:dyDescent="0.35">
      <c r="E215" s="153" t="s">
        <v>398</v>
      </c>
      <c r="F215" s="36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63"/>
      <c r="G216" s="154" t="s">
        <v>401</v>
      </c>
      <c r="H216" s="152" t="s">
        <v>100</v>
      </c>
    </row>
    <row r="217" spans="5:8" x14ac:dyDescent="0.35">
      <c r="E217" s="153" t="s">
        <v>398</v>
      </c>
      <c r="F217" s="363"/>
      <c r="G217" s="154" t="s">
        <v>399</v>
      </c>
      <c r="H217" s="152" t="s">
        <v>98</v>
      </c>
    </row>
    <row r="218" spans="5:8" x14ac:dyDescent="0.35">
      <c r="E218" s="153" t="s">
        <v>398</v>
      </c>
      <c r="F218" s="363"/>
      <c r="G218" s="154" t="s">
        <v>402</v>
      </c>
      <c r="H218" s="152" t="s">
        <v>101</v>
      </c>
    </row>
    <row r="219" spans="5:8" x14ac:dyDescent="0.35">
      <c r="E219" s="153" t="s">
        <v>398</v>
      </c>
      <c r="F219" s="363"/>
      <c r="G219" s="158" t="s">
        <v>403</v>
      </c>
      <c r="H219" s="152" t="s">
        <v>102</v>
      </c>
    </row>
    <row r="220" spans="5:8" x14ac:dyDescent="0.35">
      <c r="E220" s="153" t="s">
        <v>398</v>
      </c>
      <c r="F220" s="363"/>
      <c r="G220" s="154" t="s">
        <v>404</v>
      </c>
      <c r="H220" s="152" t="s">
        <v>103</v>
      </c>
    </row>
    <row r="221" spans="5:8" x14ac:dyDescent="0.35">
      <c r="E221" s="153" t="s">
        <v>405</v>
      </c>
      <c r="F221" s="36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63"/>
      <c r="G222" s="154" t="s">
        <v>408</v>
      </c>
      <c r="H222" s="152" t="s">
        <v>100</v>
      </c>
    </row>
    <row r="223" spans="5:8" x14ac:dyDescent="0.35">
      <c r="E223" s="153" t="s">
        <v>405</v>
      </c>
      <c r="F223" s="363"/>
      <c r="G223" s="154" t="s">
        <v>409</v>
      </c>
      <c r="H223" s="152" t="s">
        <v>98</v>
      </c>
    </row>
    <row r="224" spans="5:8" x14ac:dyDescent="0.35">
      <c r="E224" s="153" t="s">
        <v>405</v>
      </c>
      <c r="F224" s="363"/>
      <c r="G224" s="154" t="s">
        <v>406</v>
      </c>
      <c r="H224" s="152" t="s">
        <v>101</v>
      </c>
    </row>
    <row r="225" spans="5:8" x14ac:dyDescent="0.35">
      <c r="E225" s="153" t="s">
        <v>405</v>
      </c>
      <c r="F225" s="363"/>
      <c r="G225" s="154" t="s">
        <v>410</v>
      </c>
      <c r="H225" s="152" t="s">
        <v>102</v>
      </c>
    </row>
    <row r="226" spans="5:8" x14ac:dyDescent="0.35">
      <c r="E226" s="153" t="s">
        <v>405</v>
      </c>
      <c r="F226" s="363"/>
      <c r="G226" s="154" t="s">
        <v>411</v>
      </c>
      <c r="H226" s="152" t="s">
        <v>103</v>
      </c>
    </row>
    <row r="227" spans="5:8" x14ac:dyDescent="0.35">
      <c r="E227" s="153" t="s">
        <v>412</v>
      </c>
      <c r="F227" s="36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63"/>
      <c r="G228" s="154" t="s">
        <v>415</v>
      </c>
      <c r="H228" s="152" t="s">
        <v>100</v>
      </c>
    </row>
    <row r="229" spans="5:8" x14ac:dyDescent="0.35">
      <c r="E229" s="153" t="s">
        <v>412</v>
      </c>
      <c r="F229" s="363"/>
      <c r="G229" s="154" t="s">
        <v>416</v>
      </c>
      <c r="H229" s="152" t="s">
        <v>98</v>
      </c>
    </row>
    <row r="230" spans="5:8" x14ac:dyDescent="0.35">
      <c r="E230" s="153" t="s">
        <v>412</v>
      </c>
      <c r="F230" s="363"/>
      <c r="G230" s="154" t="s">
        <v>417</v>
      </c>
      <c r="H230" s="152" t="s">
        <v>101</v>
      </c>
    </row>
    <row r="231" spans="5:8" x14ac:dyDescent="0.35">
      <c r="E231" s="153" t="s">
        <v>412</v>
      </c>
      <c r="F231" s="363"/>
      <c r="G231" s="154" t="s">
        <v>418</v>
      </c>
      <c r="H231" s="152" t="s">
        <v>102</v>
      </c>
    </row>
    <row r="232" spans="5:8" x14ac:dyDescent="0.35">
      <c r="E232" s="153" t="s">
        <v>412</v>
      </c>
      <c r="F232" s="363"/>
      <c r="G232" s="158" t="s">
        <v>419</v>
      </c>
      <c r="H232" s="152" t="s">
        <v>103</v>
      </c>
    </row>
    <row r="233" spans="5:8" x14ac:dyDescent="0.35">
      <c r="E233" s="153" t="s">
        <v>420</v>
      </c>
      <c r="F233" s="36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63"/>
      <c r="G234" s="154" t="s">
        <v>423</v>
      </c>
      <c r="H234" s="152" t="s">
        <v>100</v>
      </c>
    </row>
    <row r="235" spans="5:8" x14ac:dyDescent="0.35">
      <c r="E235" s="153" t="s">
        <v>420</v>
      </c>
      <c r="F235" s="363"/>
      <c r="G235" s="154" t="s">
        <v>424</v>
      </c>
      <c r="H235" s="152" t="s">
        <v>98</v>
      </c>
    </row>
    <row r="236" spans="5:8" x14ac:dyDescent="0.35">
      <c r="E236" s="153" t="s">
        <v>420</v>
      </c>
      <c r="F236" s="363"/>
      <c r="G236" s="154" t="s">
        <v>425</v>
      </c>
      <c r="H236" s="152" t="s">
        <v>101</v>
      </c>
    </row>
    <row r="237" spans="5:8" x14ac:dyDescent="0.35">
      <c r="E237" s="153" t="s">
        <v>420</v>
      </c>
      <c r="F237" s="363"/>
      <c r="G237" s="154" t="s">
        <v>426</v>
      </c>
      <c r="H237" s="152" t="s">
        <v>102</v>
      </c>
    </row>
    <row r="238" spans="5:8" x14ac:dyDescent="0.35">
      <c r="E238" s="153" t="s">
        <v>420</v>
      </c>
      <c r="F238" s="363"/>
      <c r="G238" s="158" t="s">
        <v>427</v>
      </c>
      <c r="H238" s="152" t="s">
        <v>103</v>
      </c>
    </row>
    <row r="239" spans="5:8" x14ac:dyDescent="0.35">
      <c r="E239" s="159" t="s">
        <v>428</v>
      </c>
      <c r="F239" s="36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64"/>
      <c r="G240" s="160" t="s">
        <v>431</v>
      </c>
      <c r="H240" s="161" t="s">
        <v>100</v>
      </c>
    </row>
    <row r="241" spans="5:8" x14ac:dyDescent="0.35">
      <c r="E241" s="159" t="s">
        <v>428</v>
      </c>
      <c r="F241" s="364"/>
      <c r="G241" s="160" t="s">
        <v>432</v>
      </c>
      <c r="H241" s="161" t="s">
        <v>98</v>
      </c>
    </row>
    <row r="242" spans="5:8" x14ac:dyDescent="0.35">
      <c r="E242" s="159" t="s">
        <v>428</v>
      </c>
      <c r="F242" s="364"/>
      <c r="G242" s="160" t="s">
        <v>433</v>
      </c>
      <c r="H242" s="161" t="s">
        <v>101</v>
      </c>
    </row>
    <row r="243" spans="5:8" x14ac:dyDescent="0.35">
      <c r="E243" s="159" t="s">
        <v>428</v>
      </c>
      <c r="F243" s="364"/>
      <c r="G243" s="160" t="s">
        <v>434</v>
      </c>
      <c r="H243" s="161" t="s">
        <v>102</v>
      </c>
    </row>
    <row r="244" spans="5:8" x14ac:dyDescent="0.35">
      <c r="E244" s="159" t="s">
        <v>428</v>
      </c>
      <c r="F244" s="36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Dist Price List (2)</vt:lpstr>
      <vt:lpstr>Dist Price List</vt:lpstr>
      <vt:lpstr>Cust. Price List</vt:lpstr>
      <vt:lpstr>1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2026-09-16T10:47:53Z</dcterms:modified>
</cp:coreProperties>
</file>