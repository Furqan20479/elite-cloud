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3FD5847-1AE3-4E09-A69D-65EB71627C03}" xr6:coauthVersionLast="47" xr6:coauthVersionMax="47" xr10:uidLastSave="{00000000-0000-0000-0000-000000000000}"/>
  <bookViews>
    <workbookView xWindow="-110" yWindow="-110" windowWidth="19420" windowHeight="10420" tabRatio="860" activeTab="27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8" i="26" l="1"/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Z17" i="27" l="1"/>
  <c r="V17" i="24" l="1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<sst xmlns="http://schemas.openxmlformats.org/spreadsheetml/2006/main" count="1690" uniqueCount="59">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</sst>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X11" sqref="X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>
        <v>15</v>
      </c>
      <c r="Q8" s="11">
        <v>55</v>
      </c>
      <c r="R8" s="11">
        <v>102</v>
      </c>
      <c r="S8" s="11">
        <v>42</v>
      </c>
      <c r="T8" s="11">
        <v>70</v>
      </c>
      <c r="U8" s="11">
        <v>192</v>
      </c>
      <c r="V8" s="15">
        <f>SUM(O8:U8)/40</f>
        <v>11.9</v>
      </c>
      <c r="W8" s="12">
        <v>21</v>
      </c>
      <c r="Y8" s="36">
        <f>J8</f>
        <v>11.9</v>
      </c>
      <c r="Z8" s="37">
        <f>V8</f>
        <v>11.9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>
        <v>15</v>
      </c>
      <c r="Q10" s="11">
        <v>12</v>
      </c>
      <c r="R10" s="11">
        <v>13</v>
      </c>
      <c r="S10" s="11">
        <v>86</v>
      </c>
      <c r="T10" s="11">
        <v>87</v>
      </c>
      <c r="U10" s="11">
        <v>85</v>
      </c>
      <c r="V10" s="15">
        <f t="shared" si="1"/>
        <v>7.45</v>
      </c>
      <c r="W10" s="12">
        <v>8</v>
      </c>
      <c r="Y10" s="36">
        <f t="shared" si="2"/>
        <v>7.95</v>
      </c>
      <c r="Z10" s="37">
        <f t="shared" si="3"/>
        <v>7.45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>
        <v>20</v>
      </c>
      <c r="Q11" s="11">
        <v>0</v>
      </c>
      <c r="R11" s="11">
        <v>20</v>
      </c>
      <c r="S11" s="11">
        <v>27</v>
      </c>
      <c r="T11" s="11">
        <v>10</v>
      </c>
      <c r="U11" s="11">
        <v>67</v>
      </c>
      <c r="V11" s="15">
        <f t="shared" si="1"/>
        <v>3.6</v>
      </c>
      <c r="W11" s="12">
        <v>4</v>
      </c>
      <c r="Y11" s="36">
        <f t="shared" si="2"/>
        <v>4.5999999999999996</v>
      </c>
      <c r="Z11" s="37">
        <f t="shared" si="3"/>
        <v>3.6</v>
      </c>
      <c r="AA11" s="38">
        <f t="shared" si="4"/>
        <v>0.99999999999999956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>
        <v>8</v>
      </c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1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122</v>
      </c>
      <c r="Q18" s="25">
        <f t="shared" si="6"/>
        <v>150</v>
      </c>
      <c r="R18" s="25">
        <f t="shared" si="6"/>
        <v>234</v>
      </c>
      <c r="S18" s="25">
        <f t="shared" si="6"/>
        <v>288</v>
      </c>
      <c r="T18" s="25">
        <f t="shared" si="6"/>
        <v>267</v>
      </c>
      <c r="U18" s="25">
        <f t="shared" si="6"/>
        <v>451</v>
      </c>
      <c r="V18" s="26">
        <f>SUM(O18:U18)</f>
        <v>1512</v>
      </c>
      <c r="W18" s="28"/>
      <c r="Y18" s="33">
        <f>SUM(Y8:Y17)</f>
        <v>32.6</v>
      </c>
      <c r="Z18" s="34">
        <f>SUM(Z8:Z17)</f>
        <v>31.800000000000004</v>
      </c>
      <c r="AA18" s="35">
        <f>SUM(AA8:AA17)</f>
        <v>0.80000000000000027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3.05</v>
      </c>
      <c r="Q19" s="21">
        <f t="shared" si="8"/>
        <v>3.75</v>
      </c>
      <c r="R19" s="21">
        <f t="shared" si="8"/>
        <v>5.85</v>
      </c>
      <c r="S19" s="21">
        <f t="shared" si="8"/>
        <v>7.2</v>
      </c>
      <c r="T19" s="21">
        <f t="shared" si="8"/>
        <v>6.6749999999999998</v>
      </c>
      <c r="U19" s="21">
        <f t="shared" si="8"/>
        <v>11.275</v>
      </c>
      <c r="V19" s="22">
        <f t="shared" si="8"/>
        <v>37.799999999999997</v>
      </c>
      <c r="W19" s="23"/>
      <c r="Y19" s="39">
        <f>Y18/40</f>
        <v>0.81500000000000006</v>
      </c>
      <c r="Z19" s="40">
        <f>Z18/40</f>
        <v>0.79500000000000015</v>
      </c>
      <c r="AA19" s="41">
        <f>AA18/40</f>
        <v>2.0000000000000007E-2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K7" sqref="K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abSelected="1" workbookViewId="0"/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41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41</v>
      </c>
      <c r="O9" s="11"/>
      <c r="P9" s="11">
        <v>95</v>
      </c>
      <c r="Q9" s="11">
        <v>70</v>
      </c>
      <c r="R9" s="11">
        <v>55</v>
      </c>
      <c r="S9" s="11">
        <v>50</v>
      </c>
      <c r="T9" s="11">
        <v>10</v>
      </c>
      <c r="U9" s="11">
        <v>40</v>
      </c>
      <c r="V9" s="15">
        <f t="shared" ref="V9:V16" si="1">SUM(O9:U9)/40</f>
        <v>8</v>
      </c>
      <c r="W9" s="12">
        <v>18</v>
      </c>
      <c r="Y9" s="36">
        <f t="shared" ref="Y9:Y17" si="2">J9</f>
        <v>9.5</v>
      </c>
      <c r="Z9" s="37">
        <f t="shared" ref="Z9:Z17" si="3">V9</f>
        <v>8</v>
      </c>
      <c r="AA9" s="38">
        <f t="shared" ref="AA9:AA17" si="4">Y9-Z9</f>
        <v>1.5</v>
      </c>
    </row>
    <row r="10" spans="1:27" x14ac:dyDescent="0.35">
      <c r="A10" s="14"/>
      <c r="B10" s="7" t="s">
        <v>42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42</v>
      </c>
      <c r="O10" s="11"/>
      <c r="P10" s="11">
        <v>26</v>
      </c>
      <c r="Q10" s="11">
        <v>25</v>
      </c>
      <c r="R10" s="11">
        <v>105</v>
      </c>
      <c r="S10" s="11">
        <v>147</v>
      </c>
      <c r="T10" s="11">
        <v>164</v>
      </c>
      <c r="U10" s="11">
        <v>125</v>
      </c>
      <c r="V10" s="15">
        <f t="shared" si="1"/>
        <v>14.8</v>
      </c>
      <c r="W10" s="12">
        <v>8</v>
      </c>
      <c r="Y10" s="36">
        <f t="shared" si="2"/>
        <v>16.8</v>
      </c>
      <c r="Z10" s="37">
        <f t="shared" si="3"/>
        <v>14.8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37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37</v>
      </c>
      <c r="O12" s="11"/>
      <c r="P12" s="11">
        <v>22</v>
      </c>
      <c r="Q12" s="11">
        <v>22</v>
      </c>
      <c r="R12" s="11">
        <v>22</v>
      </c>
      <c r="S12" s="11">
        <v>80</v>
      </c>
      <c r="T12" s="11">
        <v>0</v>
      </c>
      <c r="U12" s="11">
        <v>80</v>
      </c>
      <c r="V12" s="15">
        <f t="shared" si="1"/>
        <v>5.65</v>
      </c>
      <c r="W12" s="12">
        <v>3</v>
      </c>
      <c r="Y12" s="36">
        <f t="shared" si="2"/>
        <v>6.55</v>
      </c>
      <c r="Z12" s="37">
        <f t="shared" si="3"/>
        <v>5.65</v>
      </c>
      <c r="AA12" s="38">
        <f t="shared" si="4"/>
        <v>0.89999999999999947</v>
      </c>
    </row>
    <row r="13" spans="1:27" x14ac:dyDescent="0.35">
      <c r="A13" s="16"/>
      <c r="B13" s="17" t="s">
        <v>16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143</v>
      </c>
      <c r="Q21" s="25">
        <f t="shared" si="6"/>
        <v>117</v>
      </c>
      <c r="R21" s="25">
        <f t="shared" si="6"/>
        <v>182</v>
      </c>
      <c r="S21" s="25">
        <f t="shared" si="6"/>
        <v>277</v>
      </c>
      <c r="T21" s="25">
        <f t="shared" si="6"/>
        <v>174</v>
      </c>
      <c r="U21" s="25">
        <f t="shared" si="6"/>
        <v>245</v>
      </c>
      <c r="V21" s="26">
        <f>SUM(O21:U21)</f>
        <v>1138</v>
      </c>
      <c r="W21" s="28"/>
      <c r="Y21" s="33">
        <f>SUM(Y8:Y17)</f>
        <v>94.85</v>
      </c>
      <c r="Z21" s="34">
        <f>SUM(Z8:Z17)</f>
        <v>28.450000000000003</v>
      </c>
      <c r="AA21" s="35">
        <f>SUM(AA8:AA17)</f>
        <v>66.400000000000006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3.5750000000000002</v>
      </c>
      <c r="Q22" s="21">
        <f t="shared" si="8"/>
        <v>2.9249999999999998</v>
      </c>
      <c r="R22" s="21">
        <f t="shared" si="8"/>
        <v>4.55</v>
      </c>
      <c r="S22" s="21">
        <f t="shared" si="8"/>
        <v>6.9249999999999998</v>
      </c>
      <c r="T22" s="21">
        <f t="shared" si="8"/>
        <v>4.3499999999999996</v>
      </c>
      <c r="U22" s="21">
        <f t="shared" si="8"/>
        <v>6.125</v>
      </c>
      <c r="V22" s="22">
        <f t="shared" si="8"/>
        <v>28.45</v>
      </c>
      <c r="W22" s="23"/>
      <c r="Y22" s="39">
        <f>Y21/40</f>
        <v>2.3712499999999999</v>
      </c>
      <c r="Z22" s="40">
        <f>Z21/40</f>
        <v>0.71125000000000005</v>
      </c>
      <c r="AA22" s="41">
        <f>AA21/40</f>
        <v>1.6600000000000001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41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42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39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16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2026-09-28T12:18:49Z</dcterms:modified>
</cp:coreProperties>
</file>