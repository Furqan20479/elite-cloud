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0F8650A-897E-4D1C-A887-347BC21A5BB7}" xr6:coauthVersionLast="47" xr6:coauthVersionMax="47" xr10:uidLastSave="{00000000-0000-0000-0000-000000000000}"/>
  <bookViews>
    <workbookView xWindow="-110" yWindow="-110" windowWidth="19420" windowHeight="10420" tabRatio="86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2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2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2" i="7"/>
  <c r="J13" i="7"/>
  <c r="J14" i="7"/>
  <c r="J15" i="7"/>
  <c r="J16" i="7"/>
  <c r="J12" i="8"/>
  <c r="J13" i="8"/>
  <c r="J14" i="8"/>
  <c r="J15" i="8"/>
  <c r="J16" i="8"/>
  <c r="J12" i="9"/>
  <c r="J13" i="9"/>
  <c r="J14" i="9"/>
  <c r="J15" i="9"/>
  <c r="J16" i="9"/>
  <c r="J12" i="10"/>
  <c r="J13" i="10"/>
  <c r="J14" i="10"/>
  <c r="J15" i="10"/>
  <c r="J16" i="10"/>
  <c r="J12" i="11"/>
  <c r="J13" i="11"/>
  <c r="J14" i="11"/>
  <c r="J15" i="11"/>
  <c r="J16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4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V17" i="25"/>
  <c r="O17" i="25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U12" i="12" l="1"/>
  <c r="T12" i="12"/>
  <c r="S12" i="12"/>
  <c r="V17" i="13"/>
  <c r="J17" i="15" l="1"/>
  <c r="J17" i="13" l="1"/>
  <c r="V17" i="12"/>
  <c r="V17" i="11"/>
  <c r="J17" i="12"/>
  <c r="U12" i="7"/>
  <c r="T12" i="7"/>
  <c r="S12" i="7"/>
  <c r="P12" i="7"/>
  <c r="J17" i="11" l="1"/>
  <c r="V17" i="6" l="1"/>
  <c r="U12" i="5" l="1"/>
  <c r="T12" i="5"/>
  <c r="R12" i="5"/>
  <c r="J9" i="4" l="1"/>
  <c r="AA17" i="9" l="1"/>
  <c r="AA17" i="18"/>
  <c r="AA17" i="25"/>
  <c r="Z17" i="2"/>
  <c r="Z17" i="3"/>
  <c r="Z12" i="4"/>
  <c r="Z17" i="4"/>
  <c r="Z17" i="5"/>
  <c r="Z17" i="6"/>
  <c r="AA17" i="6" s="1"/>
  <c r="Z17" i="7"/>
  <c r="Z17" i="8"/>
  <c r="Z9" i="9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AA17" i="24" s="1"/>
  <c r="Z17" i="25"/>
  <c r="Z17" i="26"/>
  <c r="Z20" i="27"/>
  <c r="Z17" i="28"/>
  <c r="Z20" i="29"/>
  <c r="Z21" i="30"/>
  <c r="Z17" i="1"/>
  <c r="Z8" i="16"/>
  <c r="Y17" i="2"/>
  <c r="AA17" i="2" s="1"/>
  <c r="Y17" i="3"/>
  <c r="AA17" i="3" s="1"/>
  <c r="Y17" i="4"/>
  <c r="AA17" i="4" s="1"/>
  <c r="Y17" i="5"/>
  <c r="AA17" i="5" s="1"/>
  <c r="Y17" i="6"/>
  <c r="Y17" i="7"/>
  <c r="AA17" i="7" s="1"/>
  <c r="Y17" i="8"/>
  <c r="AA17" i="8" s="1"/>
  <c r="Y17" i="9"/>
  <c r="Y17" i="10"/>
  <c r="AA17" i="10" s="1"/>
  <c r="Y17" i="11"/>
  <c r="AA17" i="11" s="1"/>
  <c r="Y17" i="12"/>
  <c r="Y17" i="13"/>
  <c r="Y10" i="14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AA17" i="21" s="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Y8" i="14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8" i="7"/>
  <c r="U19" i="7" s="1"/>
  <c r="T18" i="7"/>
  <c r="T19" i="7" s="1"/>
  <c r="S18" i="7"/>
  <c r="S19" i="7" s="1"/>
  <c r="R18" i="7"/>
  <c r="R19" i="7" s="1"/>
  <c r="Q18" i="7"/>
  <c r="Q19" i="7" s="1"/>
  <c r="P18" i="7"/>
  <c r="P19" i="7" s="1"/>
  <c r="O18" i="7"/>
  <c r="O19" i="7" s="1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G19" i="26"/>
  <c r="F19" i="16"/>
  <c r="C19" i="23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9" i="3" s="1"/>
  <c r="J10" i="3"/>
  <c r="Y10" i="3" s="1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9" i="7" s="1"/>
  <c r="J10" i="7"/>
  <c r="Y10" i="7" s="1"/>
  <c r="J11" i="7"/>
  <c r="Y11" i="7" s="1"/>
  <c r="Y12" i="7"/>
  <c r="J9" i="8"/>
  <c r="Y9" i="8" s="1"/>
  <c r="J10" i="8"/>
  <c r="Y10" i="8" s="1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J8" i="3"/>
  <c r="Y8" i="3" s="1"/>
  <c r="J8" i="4"/>
  <c r="Y8" i="4" s="1"/>
  <c r="J8" i="5"/>
  <c r="Y8" i="5" s="1"/>
  <c r="J8" i="6"/>
  <c r="Y8" i="6" s="1"/>
  <c r="J8" i="7"/>
  <c r="Y8" i="7" s="1"/>
  <c r="J8" i="8"/>
  <c r="Y8" i="8" s="1"/>
  <c r="J8" i="9"/>
  <c r="Y8" i="9" s="1"/>
  <c r="J8" i="10"/>
  <c r="Y8" i="10" s="1"/>
  <c r="J8" i="11"/>
  <c r="Y8" i="11" s="1"/>
  <c r="J8" i="12"/>
  <c r="Y8" i="12" s="1"/>
  <c r="J8" i="13"/>
  <c r="Y8" i="13" s="1"/>
  <c r="J8" i="14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3" l="1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Y21" i="29"/>
  <c r="Y22" i="29" s="1"/>
  <c r="AA8" i="29"/>
  <c r="AA12" i="29"/>
  <c r="Y9" i="28"/>
  <c r="AA9" i="28" s="1"/>
  <c r="J22" i="28"/>
  <c r="Z21" i="28"/>
  <c r="Z22" i="28" s="1"/>
  <c r="AA8" i="28"/>
  <c r="AA11" i="28"/>
  <c r="AA12" i="28"/>
  <c r="AA10" i="28"/>
  <c r="Y21" i="28"/>
  <c r="Y22" i="28" s="1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9" i="7"/>
  <c r="Y18" i="7"/>
  <c r="Y19" i="7" s="1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AA9" i="3"/>
  <c r="Y18" i="3"/>
  <c r="Y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9" i="11" s="1"/>
  <c r="J18" i="7"/>
  <c r="J19" i="7" s="1"/>
  <c r="J18" i="3"/>
  <c r="J19" i="3" s="1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9" i="8" s="1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9" i="9" s="1"/>
  <c r="J18" i="5"/>
  <c r="J19" i="5" s="1"/>
  <c r="AA18" i="11" l="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9"/>
  <c r="AA22" i="29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<sst xmlns="http://schemas.openxmlformats.org/spreadsheetml/2006/main" count="1676" uniqueCount="49">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</sst>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tabSelected="1" topLeftCell="A4" workbookViewId="0">
      <selection activeCell="K16" sqref="K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40</v>
      </c>
      <c r="E8" s="11">
        <v>80</v>
      </c>
      <c r="F8" s="11">
        <v>80</v>
      </c>
      <c r="G8" s="11">
        <v>120</v>
      </c>
      <c r="H8" s="11">
        <v>12</v>
      </c>
      <c r="I8" s="11">
        <v>20</v>
      </c>
      <c r="J8" s="15">
        <f>SUM(C8:I8)/40</f>
        <v>9.8000000000000007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9.8000000000000007</v>
      </c>
      <c r="Z8" s="37">
        <f>V8</f>
        <v>0</v>
      </c>
      <c r="AA8" s="38">
        <f>Y8-Z8</f>
        <v>9.8000000000000007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6.0750000000000002</v>
      </c>
      <c r="Z9" s="37">
        <f t="shared" ref="Z9:Z17" si="3">V9</f>
        <v>0</v>
      </c>
      <c r="AA9" s="38">
        <f t="shared" ref="AA9:AA17" si="4">Y9-Z9</f>
        <v>6.0750000000000002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4.9000000000000004</v>
      </c>
      <c r="Z11" s="37">
        <f t="shared" si="3"/>
        <v>0</v>
      </c>
      <c r="AA11" s="38">
        <f t="shared" si="4"/>
        <v>4.9000000000000004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7.9</v>
      </c>
      <c r="Z12" s="37">
        <f t="shared" si="3"/>
        <v>0</v>
      </c>
      <c r="AA12" s="38">
        <f t="shared" si="4"/>
        <v>7.9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302</v>
      </c>
      <c r="D18" s="24">
        <f t="shared" si="5"/>
        <v>982</v>
      </c>
      <c r="E18" s="24">
        <f t="shared" si="5"/>
        <v>968</v>
      </c>
      <c r="F18" s="24">
        <f t="shared" si="5"/>
        <v>1121</v>
      </c>
      <c r="G18" s="24">
        <f t="shared" si="5"/>
        <v>1070</v>
      </c>
      <c r="H18" s="24">
        <f t="shared" si="5"/>
        <v>918</v>
      </c>
      <c r="I18" s="24">
        <f t="shared" si="5"/>
        <v>946</v>
      </c>
      <c r="J18" s="19">
        <f>SUM(C18:I18)</f>
        <v>6307</v>
      </c>
      <c r="K18" s="27"/>
      <c r="M18" s="1"/>
      <c r="N18" s="7"/>
      <c r="O18" s="24">
        <f t="shared" ref="O18:U18" si="6">SUM(O8:O17)</f>
        <v>0</v>
      </c>
      <c r="P18" s="24">
        <f t="shared" si="6"/>
        <v>0</v>
      </c>
      <c r="Q18" s="24">
        <f t="shared" si="6"/>
        <v>0</v>
      </c>
      <c r="R18" s="24">
        <f t="shared" si="6"/>
        <v>0</v>
      </c>
      <c r="S18" s="24">
        <f t="shared" si="6"/>
        <v>0</v>
      </c>
      <c r="T18" s="24">
        <f t="shared" si="6"/>
        <v>0</v>
      </c>
      <c r="U18" s="24">
        <f t="shared" si="6"/>
        <v>0</v>
      </c>
      <c r="V18" s="19">
        <f>SUM(O18:U18)</f>
        <v>0</v>
      </c>
      <c r="W18" s="27"/>
      <c r="Y18" s="31">
        <f>SUM(Y8:Y17)</f>
        <v>28.674999999999997</v>
      </c>
      <c r="Z18" s="32">
        <f>SUM(Z8:Z17)</f>
        <v>0</v>
      </c>
      <c r="AA18" s="42">
        <f>SUM(AA8:AA17)</f>
        <v>28.674999999999997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7.55</v>
      </c>
      <c r="D19" s="21">
        <f t="shared" si="7"/>
        <v>24.55</v>
      </c>
      <c r="E19" s="21">
        <f t="shared" si="7"/>
        <v>24.2</v>
      </c>
      <c r="F19" s="21">
        <f t="shared" si="7"/>
        <v>28.024999999999999</v>
      </c>
      <c r="G19" s="21">
        <f t="shared" si="7"/>
        <v>26.75</v>
      </c>
      <c r="H19" s="21">
        <f t="shared" si="7"/>
        <v>22.95</v>
      </c>
      <c r="I19" s="21">
        <f t="shared" si="7"/>
        <v>23.65</v>
      </c>
      <c r="J19" s="22">
        <f t="shared" si="7"/>
        <v>157.67500000000001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0.71687499999999993</v>
      </c>
      <c r="Z19" s="40">
        <f>Z18/40</f>
        <v>0</v>
      </c>
      <c r="AA19" s="41">
        <f>AA18/40</f>
        <v>0.71687499999999993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/>
      <c r="Y12" s="36">
        <f t="shared" si="2"/>
        <v>0</v>
      </c>
      <c r="Z12" s="37">
        <f t="shared" si="3"/>
        <v>29</v>
      </c>
      <c r="AA12" s="38">
        <f t="shared" si="4"/>
        <v>-29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120</v>
      </c>
      <c r="R18" s="25">
        <f t="shared" si="6"/>
        <v>240</v>
      </c>
      <c r="S18" s="25">
        <f t="shared" si="6"/>
        <v>200</v>
      </c>
      <c r="T18" s="25">
        <f t="shared" si="6"/>
        <v>240</v>
      </c>
      <c r="U18" s="25">
        <f t="shared" si="6"/>
        <v>240</v>
      </c>
      <c r="V18" s="26">
        <f>SUM(O18:U18)</f>
        <v>1160</v>
      </c>
      <c r="W18" s="28"/>
      <c r="Y18" s="33">
        <f>SUM(Y8:Y17)</f>
        <v>0</v>
      </c>
      <c r="Z18" s="34">
        <f>SUM(Z8:Z17)</f>
        <v>29</v>
      </c>
      <c r="AA18" s="35">
        <f>SUM(AA8:AA17)</f>
        <v>-29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3</v>
      </c>
      <c r="R19" s="21">
        <f t="shared" si="8"/>
        <v>6</v>
      </c>
      <c r="S19" s="21">
        <f t="shared" si="8"/>
        <v>5</v>
      </c>
      <c r="T19" s="21">
        <f t="shared" si="8"/>
        <v>6</v>
      </c>
      <c r="U19" s="21">
        <f t="shared" si="8"/>
        <v>6</v>
      </c>
      <c r="V19" s="22">
        <f t="shared" si="8"/>
        <v>29</v>
      </c>
      <c r="W19" s="23"/>
      <c r="Y19" s="39">
        <f>Y18/40</f>
        <v>0</v>
      </c>
      <c r="Z19" s="40">
        <f>Z18/40</f>
        <v>0.72499999999999998</v>
      </c>
      <c r="AA19" s="41">
        <f>AA18/40</f>
        <v>-0.72499999999999998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70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70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70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70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0">
        <f t="shared" si="1"/>
        <v>113.875</v>
      </c>
      <c r="W12" s="12"/>
      <c r="Y12" s="36">
        <f t="shared" si="2"/>
        <v>0</v>
      </c>
      <c r="Z12" s="37">
        <f t="shared" si="3"/>
        <v>113.875</v>
      </c>
      <c r="AA12" s="38">
        <f t="shared" si="4"/>
        <v>-113.875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70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70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70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70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70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800</v>
      </c>
      <c r="U17" s="11">
        <v>1000</v>
      </c>
      <c r="V17" s="70">
        <f t="shared" si="1"/>
        <v>100</v>
      </c>
      <c r="W17" s="12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1880</v>
      </c>
      <c r="P18" s="25">
        <f t="shared" si="6"/>
        <v>638</v>
      </c>
      <c r="Q18" s="25">
        <f t="shared" si="6"/>
        <v>480</v>
      </c>
      <c r="R18" s="25">
        <f t="shared" si="6"/>
        <v>679</v>
      </c>
      <c r="S18" s="25">
        <f t="shared" si="6"/>
        <v>1360</v>
      </c>
      <c r="T18" s="25">
        <f t="shared" si="6"/>
        <v>1440</v>
      </c>
      <c r="U18" s="25">
        <f t="shared" si="6"/>
        <v>2078</v>
      </c>
      <c r="V18" s="26">
        <f>SUM(O18:U18)</f>
        <v>8555</v>
      </c>
      <c r="W18" s="28"/>
      <c r="Y18" s="33">
        <f>SUM(Y8:Y17)</f>
        <v>0</v>
      </c>
      <c r="Z18" s="34">
        <f>SUM(Z8:Z17)</f>
        <v>213.875</v>
      </c>
      <c r="AA18" s="35">
        <f>SUM(AA8:AA17)</f>
        <v>-213.875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47</v>
      </c>
      <c r="P19" s="21">
        <f t="shared" si="8"/>
        <v>15.95</v>
      </c>
      <c r="Q19" s="21">
        <f t="shared" si="8"/>
        <v>12</v>
      </c>
      <c r="R19" s="21">
        <f t="shared" si="8"/>
        <v>16.975000000000001</v>
      </c>
      <c r="S19" s="21">
        <f t="shared" si="8"/>
        <v>34</v>
      </c>
      <c r="T19" s="21">
        <f t="shared" si="8"/>
        <v>36</v>
      </c>
      <c r="U19" s="21">
        <f t="shared" si="8"/>
        <v>51.95</v>
      </c>
      <c r="V19" s="69">
        <f t="shared" si="8"/>
        <v>213.875</v>
      </c>
      <c r="W19" s="23"/>
      <c r="Y19" s="39">
        <f>Y18/40</f>
        <v>0</v>
      </c>
      <c r="Z19" s="40">
        <f>Z18/40</f>
        <v>5.3468749999999998</v>
      </c>
      <c r="AA19" s="41">
        <f>AA18/40</f>
        <v>-5.3468749999999998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/>
      <c r="Y12" s="36">
        <f t="shared" si="2"/>
        <v>0</v>
      </c>
      <c r="Z12" s="37">
        <f t="shared" si="3"/>
        <v>49.325000000000003</v>
      </c>
      <c r="AA12" s="38">
        <f t="shared" si="4"/>
        <v>-49.325000000000003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3</v>
      </c>
      <c r="P18" s="25">
        <f t="shared" si="6"/>
        <v>241</v>
      </c>
      <c r="Q18" s="25">
        <f t="shared" si="6"/>
        <v>403</v>
      </c>
      <c r="R18" s="25">
        <f t="shared" si="6"/>
        <v>161</v>
      </c>
      <c r="S18" s="25">
        <f t="shared" si="6"/>
        <v>363</v>
      </c>
      <c r="T18" s="25">
        <f t="shared" si="6"/>
        <v>261</v>
      </c>
      <c r="U18" s="25">
        <f t="shared" si="6"/>
        <v>541</v>
      </c>
      <c r="V18" s="26">
        <f>SUM(O18:U18)</f>
        <v>1973</v>
      </c>
      <c r="W18" s="28"/>
      <c r="Y18" s="33">
        <f>SUM(Y8:Y17)</f>
        <v>0</v>
      </c>
      <c r="Z18" s="34">
        <f>SUM(Z8:Z17)</f>
        <v>49.325000000000003</v>
      </c>
      <c r="AA18" s="35">
        <f>SUM(AA8:AA17)</f>
        <v>-49.325000000000003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7.4999999999999997E-2</v>
      </c>
      <c r="P19" s="21">
        <f t="shared" si="8"/>
        <v>6.0250000000000004</v>
      </c>
      <c r="Q19" s="21">
        <f t="shared" si="8"/>
        <v>10.074999999999999</v>
      </c>
      <c r="R19" s="21">
        <f t="shared" si="8"/>
        <v>4.0250000000000004</v>
      </c>
      <c r="S19" s="21">
        <f t="shared" si="8"/>
        <v>9.0749999999999993</v>
      </c>
      <c r="T19" s="21">
        <f t="shared" si="8"/>
        <v>6.5250000000000004</v>
      </c>
      <c r="U19" s="21">
        <f t="shared" si="8"/>
        <v>13.525</v>
      </c>
      <c r="V19" s="22">
        <f t="shared" si="8"/>
        <v>49.325000000000003</v>
      </c>
      <c r="W19" s="23"/>
      <c r="Y19" s="39">
        <f>Y18/40</f>
        <v>0</v>
      </c>
      <c r="Z19" s="40">
        <f>Z18/40</f>
        <v>1.233125</v>
      </c>
      <c r="AA19" s="41">
        <f>AA18/40</f>
        <v>-1.233125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/>
      <c r="Y12" s="36">
        <f t="shared" si="2"/>
        <v>0</v>
      </c>
      <c r="Z12" s="37">
        <f t="shared" si="3"/>
        <v>267.52499999999998</v>
      </c>
      <c r="AA12" s="38">
        <f t="shared" si="4"/>
        <v>-267.52499999999998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864</v>
      </c>
      <c r="Q18" s="25">
        <f t="shared" si="6"/>
        <v>1004</v>
      </c>
      <c r="R18" s="25">
        <f t="shared" si="6"/>
        <v>3399</v>
      </c>
      <c r="S18" s="25">
        <f t="shared" si="6"/>
        <v>1158</v>
      </c>
      <c r="T18" s="25">
        <f t="shared" si="6"/>
        <v>1436</v>
      </c>
      <c r="U18" s="25">
        <f t="shared" si="6"/>
        <v>2720</v>
      </c>
      <c r="V18" s="26">
        <f>SUM(O18:U18)</f>
        <v>10701</v>
      </c>
      <c r="W18" s="28"/>
      <c r="Y18" s="33">
        <f>SUM(Y8:Y17)</f>
        <v>0</v>
      </c>
      <c r="Z18" s="34">
        <f>SUM(Z8:Z17)</f>
        <v>267.52499999999998</v>
      </c>
      <c r="AA18" s="35">
        <f>SUM(AA8:AA17)</f>
        <v>-267.52499999999998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21.6</v>
      </c>
      <c r="Q19" s="21">
        <f t="shared" si="8"/>
        <v>25.1</v>
      </c>
      <c r="R19" s="21">
        <f t="shared" si="8"/>
        <v>84.974999999999994</v>
      </c>
      <c r="S19" s="21">
        <f t="shared" si="8"/>
        <v>28.95</v>
      </c>
      <c r="T19" s="21">
        <f t="shared" si="8"/>
        <v>35.9</v>
      </c>
      <c r="U19" s="21">
        <f t="shared" si="8"/>
        <v>68</v>
      </c>
      <c r="V19" s="22">
        <f t="shared" si="8"/>
        <v>267.52499999999998</v>
      </c>
      <c r="W19" s="23"/>
      <c r="Y19" s="39">
        <f>Y18/40</f>
        <v>0</v>
      </c>
      <c r="Z19" s="40">
        <f>Z18/40</f>
        <v>6.6881249999999994</v>
      </c>
      <c r="AA19" s="41">
        <f>AA18/40</f>
        <v>-6.6881249999999994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1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1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1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1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1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1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1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1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1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1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/>
      <c r="Y12" s="36">
        <f t="shared" si="2"/>
        <v>0</v>
      </c>
      <c r="Z12" s="37">
        <f t="shared" si="3"/>
        <v>78</v>
      </c>
      <c r="AA12" s="38">
        <f t="shared" si="4"/>
        <v>-78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>
        <v>10</v>
      </c>
      <c r="Q17" s="11">
        <v>20</v>
      </c>
      <c r="R17" s="11">
        <v>10</v>
      </c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210</v>
      </c>
      <c r="Q18" s="25">
        <f t="shared" si="6"/>
        <v>460</v>
      </c>
      <c r="R18" s="25">
        <f t="shared" si="6"/>
        <v>770</v>
      </c>
      <c r="S18" s="25">
        <f t="shared" si="6"/>
        <v>400</v>
      </c>
      <c r="T18" s="25">
        <f t="shared" si="6"/>
        <v>520</v>
      </c>
      <c r="U18" s="25">
        <f t="shared" si="6"/>
        <v>800</v>
      </c>
      <c r="V18" s="26">
        <f>SUM(O18:U18)</f>
        <v>3160</v>
      </c>
      <c r="W18" s="28"/>
      <c r="Y18" s="33">
        <f>SUM(Y8:Y17)</f>
        <v>0</v>
      </c>
      <c r="Z18" s="34">
        <f>SUM(Z8:Z17)</f>
        <v>78</v>
      </c>
      <c r="AA18" s="35">
        <f>SUM(AA8:AA17)</f>
        <v>-78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5.25</v>
      </c>
      <c r="Q19" s="21">
        <f t="shared" si="8"/>
        <v>11.5</v>
      </c>
      <c r="R19" s="21">
        <f t="shared" si="8"/>
        <v>19.25</v>
      </c>
      <c r="S19" s="21">
        <f t="shared" si="8"/>
        <v>10</v>
      </c>
      <c r="T19" s="21">
        <f t="shared" si="8"/>
        <v>13</v>
      </c>
      <c r="U19" s="21">
        <f t="shared" si="8"/>
        <v>20</v>
      </c>
      <c r="V19" s="22">
        <f t="shared" si="8"/>
        <v>79</v>
      </c>
      <c r="W19" s="23"/>
      <c r="Y19" s="39">
        <f>Y18/40</f>
        <v>0</v>
      </c>
      <c r="Z19" s="40">
        <f>Z18/40</f>
        <v>1.95</v>
      </c>
      <c r="AA19" s="41">
        <f>AA18/40</f>
        <v>-1.95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/>
      <c r="Y12" s="36">
        <f t="shared" si="2"/>
        <v>0</v>
      </c>
      <c r="Z12" s="37">
        <f t="shared" si="3"/>
        <v>20.975000000000001</v>
      </c>
      <c r="AA12" s="38">
        <f t="shared" si="4"/>
        <v>-20.975000000000001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32</v>
      </c>
      <c r="O17" s="11">
        <v>20</v>
      </c>
      <c r="P17" s="11">
        <v>0</v>
      </c>
      <c r="Q17" s="11">
        <v>0</v>
      </c>
      <c r="R17" s="11"/>
      <c r="S17" s="11">
        <v>10</v>
      </c>
      <c r="T17" s="11">
        <v>10</v>
      </c>
      <c r="U17" s="11">
        <v>20</v>
      </c>
      <c r="V17" s="15">
        <f t="shared" si="1"/>
        <v>1.5</v>
      </c>
      <c r="W17" s="12">
        <v>1</v>
      </c>
      <c r="Y17" s="36">
        <f t="shared" si="2"/>
        <v>0</v>
      </c>
      <c r="Z17" s="37">
        <f t="shared" si="3"/>
        <v>1.5</v>
      </c>
      <c r="AA17" s="38">
        <f t="shared" si="4"/>
        <v>-1.5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</v>
      </c>
      <c r="P18" s="25">
        <f t="shared" si="6"/>
        <v>79</v>
      </c>
      <c r="Q18" s="25">
        <f t="shared" si="6"/>
        <v>120</v>
      </c>
      <c r="R18" s="25">
        <f t="shared" si="6"/>
        <v>120</v>
      </c>
      <c r="S18" s="25">
        <f t="shared" si="6"/>
        <v>170</v>
      </c>
      <c r="T18" s="25">
        <f t="shared" si="6"/>
        <v>210</v>
      </c>
      <c r="U18" s="25">
        <f t="shared" si="6"/>
        <v>180</v>
      </c>
      <c r="V18" s="26">
        <f>SUM(O18:U18)</f>
        <v>899</v>
      </c>
      <c r="W18" s="28"/>
      <c r="Y18" s="33">
        <f>SUM(Y8:Y17)</f>
        <v>0</v>
      </c>
      <c r="Z18" s="34">
        <f>SUM(Z8:Z17)</f>
        <v>22.475000000000001</v>
      </c>
      <c r="AA18" s="35">
        <f>SUM(AA8:AA17)</f>
        <v>-22.475000000000001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0.5</v>
      </c>
      <c r="P19" s="21">
        <f t="shared" si="8"/>
        <v>1.9750000000000001</v>
      </c>
      <c r="Q19" s="21">
        <f t="shared" si="8"/>
        <v>3</v>
      </c>
      <c r="R19" s="21">
        <f t="shared" si="8"/>
        <v>3</v>
      </c>
      <c r="S19" s="21">
        <f t="shared" si="8"/>
        <v>4.25</v>
      </c>
      <c r="T19" s="21">
        <f t="shared" si="8"/>
        <v>5.25</v>
      </c>
      <c r="U19" s="21">
        <f t="shared" si="8"/>
        <v>4.5</v>
      </c>
      <c r="V19" s="22">
        <f t="shared" si="8"/>
        <v>22.475000000000001</v>
      </c>
      <c r="W19" s="23"/>
      <c r="Y19" s="39">
        <f>Y18/40</f>
        <v>0</v>
      </c>
      <c r="Z19" s="40">
        <f>Z18/40</f>
        <v>0.56187500000000001</v>
      </c>
      <c r="AA19" s="41">
        <f>AA18/40</f>
        <v>-0.56187500000000001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topLeftCell="A2"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/>
      <c r="Y12" s="36">
        <f t="shared" si="2"/>
        <v>0</v>
      </c>
      <c r="Z12" s="37">
        <f t="shared" si="3"/>
        <v>634.5</v>
      </c>
      <c r="AA12" s="38">
        <f t="shared" si="4"/>
        <v>-634.5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>
        <v>24</v>
      </c>
      <c r="P17" s="11">
        <v>16</v>
      </c>
      <c r="Q17" s="11">
        <v>16</v>
      </c>
      <c r="R17" s="11">
        <v>4</v>
      </c>
      <c r="S17" s="11">
        <v>4</v>
      </c>
      <c r="T17" s="11">
        <v>4</v>
      </c>
      <c r="U17" s="11">
        <v>4</v>
      </c>
      <c r="V17" s="15">
        <f t="shared" si="1"/>
        <v>1.8</v>
      </c>
      <c r="W17" s="12">
        <v>2</v>
      </c>
      <c r="Y17" s="36">
        <f t="shared" si="2"/>
        <v>0</v>
      </c>
      <c r="Z17" s="37">
        <f t="shared" si="3"/>
        <v>1.8</v>
      </c>
      <c r="AA17" s="38">
        <f t="shared" si="4"/>
        <v>-1.8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4064</v>
      </c>
      <c r="P18" s="25">
        <f t="shared" si="6"/>
        <v>2216</v>
      </c>
      <c r="Q18" s="25">
        <f t="shared" si="6"/>
        <v>1976</v>
      </c>
      <c r="R18" s="25">
        <f t="shared" si="6"/>
        <v>1284</v>
      </c>
      <c r="S18" s="25">
        <f t="shared" si="6"/>
        <v>5404</v>
      </c>
      <c r="T18" s="25">
        <f t="shared" si="6"/>
        <v>4224</v>
      </c>
      <c r="U18" s="25">
        <f t="shared" si="6"/>
        <v>6284</v>
      </c>
      <c r="V18" s="26">
        <f>SUM(O18:U18)</f>
        <v>25452</v>
      </c>
      <c r="W18" s="28"/>
      <c r="Y18" s="33">
        <f>SUM(Y8:Y17)</f>
        <v>0</v>
      </c>
      <c r="Z18" s="34">
        <f>SUM(Z8:Z17)</f>
        <v>636.29999999999995</v>
      </c>
      <c r="AA18" s="35">
        <f>SUM(AA8:AA17)</f>
        <v>-636.29999999999995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101.6</v>
      </c>
      <c r="P19" s="21">
        <f t="shared" si="8"/>
        <v>55.4</v>
      </c>
      <c r="Q19" s="21">
        <f t="shared" si="8"/>
        <v>49.4</v>
      </c>
      <c r="R19" s="21">
        <f t="shared" si="8"/>
        <v>32.1</v>
      </c>
      <c r="S19" s="21">
        <f t="shared" si="8"/>
        <v>135.1</v>
      </c>
      <c r="T19" s="21">
        <f t="shared" si="8"/>
        <v>105.6</v>
      </c>
      <c r="U19" s="21">
        <f t="shared" si="8"/>
        <v>157.1</v>
      </c>
      <c r="V19" s="22">
        <f t="shared" si="8"/>
        <v>636.29999999999995</v>
      </c>
      <c r="W19" s="23"/>
      <c r="Y19" s="39">
        <f>Y18/40</f>
        <v>0</v>
      </c>
      <c r="Z19" s="40">
        <f>Z18/40</f>
        <v>15.907499999999999</v>
      </c>
      <c r="AA19" s="41">
        <f>AA18/40</f>
        <v>-15.907499999999999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2026-09-01T13:01:49Z</dcterms:modified>
</cp:coreProperties>
</file>