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68099E7-34C8-4ED2-8E57-5E3DBED2752E}" xr6:coauthVersionLast="47" xr6:coauthVersionMax="47" xr10:uidLastSave="{00000000-0000-0000-0000-000000000000}"/>
  <bookViews>
    <workbookView xWindow="-110" yWindow="-110" windowWidth="19420" windowHeight="10420" tabRatio="860" activeTab="2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9" i="25" l="1"/>
  <c r="V10" i="25"/>
  <c r="V11" i="25"/>
  <c r="V12" i="25"/>
  <c r="V13" i="25"/>
  <c r="V14" i="25"/>
  <c r="V15" i="25"/>
  <c r="V16" i="25"/>
  <c r="V17" i="25"/>
  <c r="J10" i="25"/>
  <c r="V19" i="22"/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9" i="22" l="1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<sst xmlns="http://schemas.openxmlformats.org/spreadsheetml/2006/main" count="1690" uniqueCount="59">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</sst>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3" t="s">
        <v>53</v>
      </c>
      <c r="P10" s="73" t="s">
        <v>54</v>
      </c>
      <c r="Q10" s="73" t="s">
        <v>55</v>
      </c>
      <c r="R10" s="73" t="s">
        <v>56</v>
      </c>
      <c r="S10" s="73" t="s">
        <v>57</v>
      </c>
      <c r="T10" s="73" t="s">
        <v>55</v>
      </c>
      <c r="U10" s="73" t="s">
        <v>58</v>
      </c>
      <c r="V10" s="74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173</v>
      </c>
      <c r="Q13" s="11">
        <v>213</v>
      </c>
      <c r="R13" s="11">
        <v>294</v>
      </c>
      <c r="S13" s="11">
        <v>573</v>
      </c>
      <c r="T13" s="11">
        <v>413</v>
      </c>
      <c r="U13" s="11">
        <v>334</v>
      </c>
      <c r="V13" s="15">
        <f t="shared" si="1"/>
        <v>50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275</v>
      </c>
      <c r="Q18" s="25">
        <f t="shared" si="6"/>
        <v>328</v>
      </c>
      <c r="R18" s="25">
        <f t="shared" si="6"/>
        <v>425</v>
      </c>
      <c r="S18" s="25">
        <f t="shared" si="6"/>
        <v>726</v>
      </c>
      <c r="T18" s="25">
        <f t="shared" si="6"/>
        <v>549</v>
      </c>
      <c r="U18" s="25">
        <f t="shared" si="6"/>
        <v>515</v>
      </c>
      <c r="V18" s="26">
        <f>SUM(O18:U18)</f>
        <v>2858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6.875</v>
      </c>
      <c r="Q19" s="21">
        <f t="shared" si="8"/>
        <v>8.1999999999999993</v>
      </c>
      <c r="R19" s="21">
        <f t="shared" si="8"/>
        <v>10.625</v>
      </c>
      <c r="S19" s="21">
        <f t="shared" si="8"/>
        <v>18.149999999999999</v>
      </c>
      <c r="T19" s="21">
        <f t="shared" si="8"/>
        <v>13.725</v>
      </c>
      <c r="U19" s="21">
        <f t="shared" si="8"/>
        <v>12.875</v>
      </c>
      <c r="V19" s="22">
        <f t="shared" si="8"/>
        <v>71.45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4" sqref="D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>
        <v>15</v>
      </c>
      <c r="Q8" s="11">
        <v>10</v>
      </c>
      <c r="R8" s="11">
        <v>15</v>
      </c>
      <c r="S8" s="11">
        <v>90</v>
      </c>
      <c r="T8" s="11">
        <v>90</v>
      </c>
      <c r="U8" s="11">
        <v>220</v>
      </c>
      <c r="V8" s="15">
        <f>SUM(O8:U8)/40</f>
        <v>11</v>
      </c>
      <c r="W8" s="12">
        <v>12</v>
      </c>
      <c r="Y8" s="36">
        <f>J8</f>
        <v>11</v>
      </c>
      <c r="Z8" s="37">
        <f>V8</f>
        <v>11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43</v>
      </c>
      <c r="T9" s="11">
        <v>42</v>
      </c>
      <c r="U9" s="11">
        <v>59</v>
      </c>
      <c r="V9" s="15">
        <f t="shared" ref="V9:V16" si="1">SUM(O9:U9)/40</f>
        <v>3.6</v>
      </c>
      <c r="W9" s="12">
        <v>19</v>
      </c>
      <c r="Y9" s="36">
        <f t="shared" ref="Y9:Y17" si="2">J9</f>
        <v>6.6</v>
      </c>
      <c r="Z9" s="37">
        <f t="shared" ref="Z9:Z17" si="3">V9</f>
        <v>3.6</v>
      </c>
      <c r="AA9" s="38">
        <f t="shared" ref="AA9:AA17" si="4">Y9-Z9</f>
        <v>2.9999999999999996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20</v>
      </c>
      <c r="S10" s="11">
        <v>50</v>
      </c>
      <c r="T10" s="11">
        <v>0</v>
      </c>
      <c r="U10" s="11">
        <v>30</v>
      </c>
      <c r="V10" s="15">
        <f t="shared" si="1"/>
        <v>2.5</v>
      </c>
      <c r="W10" s="12">
        <v>3</v>
      </c>
      <c r="Y10" s="36">
        <f t="shared" si="2"/>
        <v>4.5</v>
      </c>
      <c r="Z10" s="37">
        <f t="shared" si="3"/>
        <v>2.5</v>
      </c>
      <c r="AA10" s="38">
        <f t="shared" si="4"/>
        <v>2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24</v>
      </c>
      <c r="S11" s="11">
        <v>40</v>
      </c>
      <c r="T11" s="11">
        <v>40</v>
      </c>
      <c r="U11" s="11">
        <v>40</v>
      </c>
      <c r="V11" s="15">
        <f t="shared" si="1"/>
        <v>3.6</v>
      </c>
      <c r="W11" s="12">
        <v>3</v>
      </c>
      <c r="Y11" s="36">
        <f t="shared" si="2"/>
        <v>12.1</v>
      </c>
      <c r="Z11" s="37">
        <f t="shared" si="3"/>
        <v>3.6</v>
      </c>
      <c r="AA11" s="38">
        <f t="shared" si="4"/>
        <v>8.5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200</v>
      </c>
      <c r="Q13" s="11">
        <v>360</v>
      </c>
      <c r="R13" s="11">
        <v>640</v>
      </c>
      <c r="S13" s="11">
        <v>400</v>
      </c>
      <c r="T13" s="11">
        <v>440</v>
      </c>
      <c r="U13" s="11">
        <v>1120</v>
      </c>
      <c r="V13" s="15">
        <f t="shared" si="1"/>
        <v>79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215</v>
      </c>
      <c r="Q18" s="25">
        <f t="shared" si="6"/>
        <v>370</v>
      </c>
      <c r="R18" s="25">
        <f t="shared" si="6"/>
        <v>699</v>
      </c>
      <c r="S18" s="25">
        <f t="shared" si="6"/>
        <v>623</v>
      </c>
      <c r="T18" s="25">
        <f t="shared" si="6"/>
        <v>612</v>
      </c>
      <c r="U18" s="25">
        <f t="shared" si="6"/>
        <v>1469</v>
      </c>
      <c r="V18" s="26">
        <f>SUM(O18:U18)</f>
        <v>3988</v>
      </c>
      <c r="W18" s="28"/>
      <c r="Y18" s="33">
        <f>SUM(Y8:Y17)</f>
        <v>34.200000000000003</v>
      </c>
      <c r="Z18" s="34">
        <f>SUM(Z8:Z17)</f>
        <v>20.700000000000003</v>
      </c>
      <c r="AA18" s="35">
        <f>SUM(AA8:AA17)</f>
        <v>13.5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5.375</v>
      </c>
      <c r="Q19" s="21">
        <f t="shared" si="8"/>
        <v>9.25</v>
      </c>
      <c r="R19" s="21">
        <f t="shared" si="8"/>
        <v>17.475000000000001</v>
      </c>
      <c r="S19" s="21">
        <f t="shared" si="8"/>
        <v>15.574999999999999</v>
      </c>
      <c r="T19" s="21">
        <f t="shared" si="8"/>
        <v>15.3</v>
      </c>
      <c r="U19" s="21">
        <f t="shared" si="8"/>
        <v>36.725000000000001</v>
      </c>
      <c r="V19" s="22">
        <f t="shared" si="8"/>
        <v>99.7</v>
      </c>
      <c r="W19" s="23"/>
      <c r="Y19" s="39">
        <f>Y18/40</f>
        <v>0.85500000000000009</v>
      </c>
      <c r="Z19" s="40">
        <f>Z18/40</f>
        <v>0.51750000000000007</v>
      </c>
      <c r="AA19" s="41">
        <f>AA18/40</f>
        <v>0.33750000000000002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5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1">
        <f>SUM(O8:O18)</f>
        <v>0</v>
      </c>
      <c r="P19" s="71">
        <f t="shared" ref="P19:U19" si="9">SUM(P8:P18)</f>
        <v>0</v>
      </c>
      <c r="Q19" s="71">
        <f t="shared" si="9"/>
        <v>0</v>
      </c>
      <c r="R19" s="71">
        <f t="shared" si="9"/>
        <v>0</v>
      </c>
      <c r="S19" s="71">
        <f t="shared" si="9"/>
        <v>0</v>
      </c>
      <c r="T19" s="71">
        <f t="shared" si="9"/>
        <v>0</v>
      </c>
      <c r="U19" s="71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2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3" sqref="D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20</v>
      </c>
      <c r="T8" s="11">
        <v>20</v>
      </c>
      <c r="U8" s="11"/>
      <c r="V8" s="15">
        <f>SUM(O8:U8)/40</f>
        <v>3</v>
      </c>
      <c r="W8" s="12">
        <v>11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6" si="0">SUM(C9:I9)/40</f>
        <v>6</v>
      </c>
      <c r="K9" s="12">
        <v>10</v>
      </c>
      <c r="L9" s="13"/>
      <c r="M9" s="14"/>
      <c r="N9" s="7" t="s">
        <v>14</v>
      </c>
      <c r="O9" s="11"/>
      <c r="P9" s="11">
        <v>12</v>
      </c>
      <c r="Q9" s="11">
        <v>15</v>
      </c>
      <c r="R9" s="11">
        <v>13</v>
      </c>
      <c r="S9" s="11">
        <v>70</v>
      </c>
      <c r="T9" s="11">
        <v>68</v>
      </c>
      <c r="U9" s="11">
        <v>60</v>
      </c>
      <c r="V9" s="15">
        <f t="shared" ref="V9:V16" si="1">SUM(O9:U9)/40</f>
        <v>5.95</v>
      </c>
      <c r="W9" s="12">
        <v>10</v>
      </c>
      <c r="Y9" s="36">
        <f t="shared" ref="Y9:Y17" si="2">J9</f>
        <v>6</v>
      </c>
      <c r="Z9" s="37">
        <f t="shared" ref="Z9:Z17" si="3">V9</f>
        <v>5.95</v>
      </c>
      <c r="AA9" s="38">
        <f t="shared" ref="AA9:AA17" si="4">Y9-Z9</f>
        <v>4.9999999999999822E-2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104</v>
      </c>
      <c r="T10" s="11">
        <v>50</v>
      </c>
      <c r="U10" s="11">
        <v>64</v>
      </c>
      <c r="V10" s="15">
        <f t="shared" si="1"/>
        <v>5.45</v>
      </c>
      <c r="W10" s="12">
        <v>6</v>
      </c>
      <c r="Y10" s="36">
        <f t="shared" si="2"/>
        <v>5.95</v>
      </c>
      <c r="Z10" s="37">
        <f t="shared" si="3"/>
        <v>5.45</v>
      </c>
      <c r="AA10" s="38">
        <f t="shared" si="4"/>
        <v>0.5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39</v>
      </c>
      <c r="O11" s="11"/>
      <c r="P11" s="11">
        <v>40</v>
      </c>
      <c r="Q11" s="11">
        <v>40</v>
      </c>
      <c r="R11" s="11">
        <v>80</v>
      </c>
      <c r="S11" s="11">
        <v>60</v>
      </c>
      <c r="T11" s="11">
        <v>60</v>
      </c>
      <c r="U11" s="11">
        <v>120</v>
      </c>
      <c r="V11" s="15">
        <f t="shared" si="1"/>
        <v>10</v>
      </c>
      <c r="W11" s="12">
        <v>5</v>
      </c>
      <c r="Y11" s="36">
        <f t="shared" si="2"/>
        <v>13</v>
      </c>
      <c r="Z11" s="37">
        <f t="shared" si="3"/>
        <v>10</v>
      </c>
      <c r="AA11" s="38">
        <f t="shared" si="4"/>
        <v>3</v>
      </c>
    </row>
    <row r="12" spans="1:27" x14ac:dyDescent="0.35">
      <c r="A12" s="16"/>
      <c r="B12" s="17" t="s">
        <v>37</v>
      </c>
      <c r="C12" s="11"/>
      <c r="D12" s="86" t="s">
        <v>50</v>
      </c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72</v>
      </c>
      <c r="Q18" s="25">
        <f t="shared" si="6"/>
        <v>75</v>
      </c>
      <c r="R18" s="25">
        <f t="shared" si="6"/>
        <v>133</v>
      </c>
      <c r="S18" s="25">
        <f t="shared" si="6"/>
        <v>254</v>
      </c>
      <c r="T18" s="25">
        <f t="shared" si="6"/>
        <v>198</v>
      </c>
      <c r="U18" s="25">
        <f t="shared" si="6"/>
        <v>244</v>
      </c>
      <c r="V18" s="26">
        <f>SUM(O18:U18)</f>
        <v>976</v>
      </c>
      <c r="W18" s="28"/>
      <c r="Y18" s="33">
        <f>SUM(Y8:Y17)</f>
        <v>29.95</v>
      </c>
      <c r="Z18" s="34">
        <f>SUM(Z8:Z17)</f>
        <v>24.4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1.8</v>
      </c>
      <c r="Q19" s="21">
        <f t="shared" si="8"/>
        <v>1.875</v>
      </c>
      <c r="R19" s="21">
        <f t="shared" si="8"/>
        <v>3.3250000000000002</v>
      </c>
      <c r="S19" s="21">
        <f t="shared" si="8"/>
        <v>6.35</v>
      </c>
      <c r="T19" s="21">
        <f t="shared" si="8"/>
        <v>4.95</v>
      </c>
      <c r="U19" s="21">
        <f t="shared" si="8"/>
        <v>6.1</v>
      </c>
      <c r="V19" s="22">
        <f t="shared" si="8"/>
        <v>24.4</v>
      </c>
      <c r="W19" s="23"/>
      <c r="Y19" s="39">
        <f>Y18/40</f>
        <v>0.74875000000000003</v>
      </c>
      <c r="Z19" s="40">
        <f>Z18/40</f>
        <v>0.61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>
        <v>126</v>
      </c>
      <c r="Q8" s="11">
        <v>116</v>
      </c>
      <c r="R8" s="11">
        <v>183</v>
      </c>
      <c r="S8" s="11">
        <v>102</v>
      </c>
      <c r="T8" s="11">
        <v>126</v>
      </c>
      <c r="U8" s="11">
        <v>142</v>
      </c>
      <c r="V8" s="15">
        <f>SUM(O8:U8)/40</f>
        <v>19.875</v>
      </c>
      <c r="W8" s="12">
        <v>19</v>
      </c>
      <c r="Y8" s="36">
        <f>J8</f>
        <v>19.875</v>
      </c>
      <c r="Z8" s="37">
        <f>V8</f>
        <v>19.875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7" si="0">SUM(C9:I9)/40</f>
        <v>9.1</v>
      </c>
      <c r="K9" s="12">
        <v>20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90</v>
      </c>
      <c r="S9" s="11">
        <v>76</v>
      </c>
      <c r="T9" s="11">
        <v>26</v>
      </c>
      <c r="U9" s="11">
        <v>89</v>
      </c>
      <c r="V9" s="15">
        <f t="shared" ref="V9:V13" si="1">SUM(O9:U9)/40</f>
        <v>7.0250000000000004</v>
      </c>
      <c r="W9" s="12">
        <v>18</v>
      </c>
      <c r="Y9" s="36">
        <f t="shared" ref="Y9:Y17" si="2">J9</f>
        <v>9.1</v>
      </c>
      <c r="Z9" s="37">
        <f t="shared" ref="Z9:Z17" si="3">V9</f>
        <v>7.0250000000000004</v>
      </c>
      <c r="AA9" s="38">
        <f t="shared" ref="AA9:AA17" si="4">Y9-Z9</f>
        <v>2.0749999999999993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>
        <v>4</v>
      </c>
      <c r="Q10" s="11">
        <v>4</v>
      </c>
      <c r="R10" s="11">
        <v>16</v>
      </c>
      <c r="S10" s="11">
        <v>100</v>
      </c>
      <c r="T10" s="11">
        <v>53</v>
      </c>
      <c r="U10" s="11">
        <v>48</v>
      </c>
      <c r="V10" s="15">
        <f t="shared" si="1"/>
        <v>5.625</v>
      </c>
      <c r="W10" s="12">
        <v>7</v>
      </c>
      <c r="Y10" s="36">
        <f t="shared" si="2"/>
        <v>6.625</v>
      </c>
      <c r="Z10" s="37">
        <f t="shared" si="3"/>
        <v>5.625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39</v>
      </c>
      <c r="O11" s="11"/>
      <c r="P11" s="11">
        <v>38</v>
      </c>
      <c r="Q11" s="11">
        <v>28</v>
      </c>
      <c r="R11" s="11">
        <v>38</v>
      </c>
      <c r="S11" s="11">
        <v>135</v>
      </c>
      <c r="T11" s="11">
        <v>90</v>
      </c>
      <c r="U11" s="11">
        <v>95</v>
      </c>
      <c r="V11" s="15">
        <f t="shared" si="1"/>
        <v>10.6</v>
      </c>
      <c r="W11" s="12">
        <v>7</v>
      </c>
      <c r="Y11" s="36">
        <f t="shared" si="2"/>
        <v>13.9</v>
      </c>
      <c r="Z11" s="37">
        <f t="shared" si="3"/>
        <v>10.6</v>
      </c>
      <c r="AA11" s="38">
        <f t="shared" si="4"/>
        <v>3.3000000000000007</v>
      </c>
    </row>
    <row r="12" spans="1:27" x14ac:dyDescent="0.35">
      <c r="A12" s="16"/>
      <c r="B12" s="17" t="s">
        <v>37</v>
      </c>
      <c r="C12" s="86" t="s">
        <v>50</v>
      </c>
      <c r="D12" s="87"/>
      <c r="E12" s="87"/>
      <c r="F12" s="87"/>
      <c r="G12" s="87"/>
      <c r="H12" s="87"/>
      <c r="I12" s="87"/>
      <c r="J12" s="88"/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16</v>
      </c>
      <c r="O13" s="11"/>
      <c r="P13" s="11">
        <v>1553</v>
      </c>
      <c r="Q13" s="11">
        <v>1517</v>
      </c>
      <c r="R13" s="11">
        <v>1947</v>
      </c>
      <c r="S13" s="11">
        <v>1657</v>
      </c>
      <c r="T13" s="11">
        <v>1600</v>
      </c>
      <c r="U13" s="11">
        <v>2560</v>
      </c>
      <c r="V13" s="15">
        <f t="shared" si="1"/>
        <v>270.85000000000002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1721</v>
      </c>
      <c r="Q18" s="25">
        <f t="shared" si="6"/>
        <v>1665</v>
      </c>
      <c r="R18" s="25">
        <f t="shared" si="6"/>
        <v>2274</v>
      </c>
      <c r="S18" s="25">
        <f t="shared" si="6"/>
        <v>2070</v>
      </c>
      <c r="T18" s="25">
        <f t="shared" si="6"/>
        <v>1895</v>
      </c>
      <c r="U18" s="25">
        <f t="shared" si="6"/>
        <v>2934</v>
      </c>
      <c r="V18" s="26">
        <f>SUM(O18:U18)</f>
        <v>12559</v>
      </c>
      <c r="W18" s="28"/>
      <c r="Y18" s="33">
        <f>SUM(Y8:Y17)</f>
        <v>49.5</v>
      </c>
      <c r="Z18" s="34">
        <f>SUM(Z8:Z17)</f>
        <v>43.125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43.024999999999999</v>
      </c>
      <c r="Q19" s="21">
        <f t="shared" si="8"/>
        <v>41.625</v>
      </c>
      <c r="R19" s="21">
        <f t="shared" si="8"/>
        <v>56.85</v>
      </c>
      <c r="S19" s="21">
        <f t="shared" si="8"/>
        <v>51.75</v>
      </c>
      <c r="T19" s="21">
        <f t="shared" si="8"/>
        <v>47.375</v>
      </c>
      <c r="U19" s="21">
        <f t="shared" si="8"/>
        <v>73.349999999999994</v>
      </c>
      <c r="V19" s="22">
        <f>SUM(V8:V16)</f>
        <v>349.97500000000002</v>
      </c>
      <c r="W19" s="23"/>
      <c r="Y19" s="39">
        <f>Y18/40</f>
        <v>1.2375</v>
      </c>
      <c r="Z19" s="40">
        <f>Z18/40</f>
        <v>1.078125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X2" sqref="X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60</v>
      </c>
      <c r="T8" s="11">
        <v>60</v>
      </c>
      <c r="U8" s="11"/>
      <c r="V8" s="15">
        <f>SUM(O8:U8)/40</f>
        <v>3</v>
      </c>
      <c r="W8" s="12">
        <v>16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86" t="s">
        <v>50</v>
      </c>
      <c r="D9" s="87"/>
      <c r="E9" s="87"/>
      <c r="F9" s="87"/>
      <c r="G9" s="87"/>
      <c r="H9" s="87"/>
      <c r="I9" s="87"/>
      <c r="J9" s="88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5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6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>
        <v>40</v>
      </c>
      <c r="Q10" s="11">
        <v>18</v>
      </c>
      <c r="R10" s="11">
        <v>40</v>
      </c>
      <c r="S10" s="11">
        <v>0</v>
      </c>
      <c r="T10" s="11">
        <v>0</v>
      </c>
      <c r="U10" s="11">
        <v>0</v>
      </c>
      <c r="V10" s="15">
        <f t="shared" si="0"/>
        <v>2.4500000000000002</v>
      </c>
      <c r="W10" s="12">
        <v>4</v>
      </c>
      <c r="Y10" s="36">
        <f t="shared" ref="Y10:Y17" si="4">J10</f>
        <v>2.4500000000000002</v>
      </c>
      <c r="Z10" s="37">
        <f t="shared" si="1"/>
        <v>2.4500000000000002</v>
      </c>
      <c r="AA10" s="38">
        <f t="shared" si="2"/>
        <v>0</v>
      </c>
    </row>
    <row r="11" spans="1:27" x14ac:dyDescent="0.35">
      <c r="A11" s="16"/>
      <c r="B11" s="17" t="s">
        <v>39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39</v>
      </c>
      <c r="O11" s="11"/>
      <c r="P11" s="11">
        <v>6</v>
      </c>
      <c r="Q11" s="11">
        <v>6</v>
      </c>
      <c r="R11" s="11">
        <v>6</v>
      </c>
      <c r="S11" s="11">
        <v>32</v>
      </c>
      <c r="T11" s="11">
        <v>31</v>
      </c>
      <c r="U11" s="11">
        <v>30</v>
      </c>
      <c r="V11" s="15">
        <f t="shared" si="0"/>
        <v>2.7749999999999999</v>
      </c>
      <c r="W11" s="12">
        <v>4</v>
      </c>
      <c r="Y11" s="36">
        <f t="shared" si="4"/>
        <v>3.375</v>
      </c>
      <c r="Z11" s="37">
        <f t="shared" si="1"/>
        <v>2.7749999999999999</v>
      </c>
      <c r="AA11" s="38">
        <f t="shared" si="2"/>
        <v>0.60000000000000009</v>
      </c>
    </row>
    <row r="12" spans="1:27" x14ac:dyDescent="0.35">
      <c r="A12" s="16"/>
      <c r="B12" s="17" t="s">
        <v>37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37</v>
      </c>
      <c r="O12" s="11"/>
      <c r="P12" s="11">
        <v>16</v>
      </c>
      <c r="Q12" s="11">
        <v>73</v>
      </c>
      <c r="R12" s="11">
        <v>55</v>
      </c>
      <c r="S12" s="11">
        <v>72</v>
      </c>
      <c r="T12" s="11">
        <v>62</v>
      </c>
      <c r="U12" s="11">
        <v>66</v>
      </c>
      <c r="V12" s="15">
        <f t="shared" si="0"/>
        <v>8.6</v>
      </c>
      <c r="W12" s="12">
        <v>6</v>
      </c>
      <c r="Y12" s="36">
        <f t="shared" si="4"/>
        <v>8.6</v>
      </c>
      <c r="Z12" s="37">
        <f t="shared" si="1"/>
        <v>8.6</v>
      </c>
      <c r="AA12" s="38">
        <f t="shared" si="2"/>
        <v>0</v>
      </c>
    </row>
    <row r="13" spans="1:27" x14ac:dyDescent="0.35">
      <c r="A13" s="16"/>
      <c r="B13" s="17" t="s">
        <v>16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16</v>
      </c>
      <c r="O13" s="11"/>
      <c r="P13" s="11">
        <v>280</v>
      </c>
      <c r="Q13" s="11">
        <v>360</v>
      </c>
      <c r="R13" s="11">
        <v>400</v>
      </c>
      <c r="S13" s="11">
        <v>520</v>
      </c>
      <c r="T13" s="11">
        <v>440</v>
      </c>
      <c r="U13" s="11">
        <v>600</v>
      </c>
      <c r="V13" s="15">
        <f t="shared" si="0"/>
        <v>65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342</v>
      </c>
      <c r="Q18" s="25">
        <f t="shared" si="6"/>
        <v>457</v>
      </c>
      <c r="R18" s="25">
        <f t="shared" si="6"/>
        <v>501</v>
      </c>
      <c r="S18" s="25">
        <f t="shared" si="6"/>
        <v>684</v>
      </c>
      <c r="T18" s="25">
        <f t="shared" si="6"/>
        <v>593</v>
      </c>
      <c r="U18" s="25">
        <f t="shared" si="6"/>
        <v>696</v>
      </c>
      <c r="V18" s="26">
        <f>SUM(O18:U18)</f>
        <v>3273</v>
      </c>
      <c r="W18" s="28"/>
      <c r="Y18" s="33">
        <f>SUM(Y8:Y17)</f>
        <v>18.424999999999997</v>
      </c>
      <c r="Z18" s="34">
        <f>SUM(Z8:Z17)</f>
        <v>16.824999999999999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8.5500000000000007</v>
      </c>
      <c r="Q19" s="21">
        <f t="shared" si="8"/>
        <v>11.425000000000001</v>
      </c>
      <c r="R19" s="21">
        <f t="shared" si="8"/>
        <v>12.525</v>
      </c>
      <c r="S19" s="21">
        <f t="shared" si="8"/>
        <v>17.100000000000001</v>
      </c>
      <c r="T19" s="21">
        <f t="shared" si="8"/>
        <v>14.824999999999999</v>
      </c>
      <c r="U19" s="21">
        <f t="shared" si="8"/>
        <v>17.399999999999999</v>
      </c>
      <c r="V19" s="22">
        <f t="shared" si="8"/>
        <v>81.825000000000003</v>
      </c>
      <c r="W19" s="23"/>
      <c r="Y19" s="39">
        <f>Y18/40</f>
        <v>0.46062499999999995</v>
      </c>
      <c r="Z19" s="40">
        <f>Z18/40</f>
        <v>0.42062499999999997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L8" sqref="L8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40</v>
      </c>
      <c r="O8" s="11">
        <v>17</v>
      </c>
      <c r="P8" s="11">
        <v>60</v>
      </c>
      <c r="Q8" s="11">
        <v>60</v>
      </c>
      <c r="R8" s="11">
        <v>70</v>
      </c>
      <c r="S8" s="11">
        <v>90</v>
      </c>
      <c r="T8" s="11">
        <v>100</v>
      </c>
      <c r="U8" s="11">
        <v>170</v>
      </c>
      <c r="V8" s="15">
        <f>SUM(O8:U8)/40</f>
        <v>14.175000000000001</v>
      </c>
      <c r="W8" s="12">
        <v>8</v>
      </c>
      <c r="Y8" s="36">
        <f>J8</f>
        <v>14.425000000000001</v>
      </c>
      <c r="Z8" s="37">
        <f>V8</f>
        <v>14.175000000000001</v>
      </c>
      <c r="AA8" s="38">
        <f>Y8-Z8</f>
        <v>0.25</v>
      </c>
    </row>
    <row r="9" spans="1:27" x14ac:dyDescent="0.35">
      <c r="A9" s="14"/>
      <c r="B9" s="7" t="s">
        <v>41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41</v>
      </c>
      <c r="O9" s="11"/>
      <c r="P9" s="11">
        <v>0</v>
      </c>
      <c r="Q9" s="11">
        <v>9</v>
      </c>
      <c r="R9" s="11">
        <v>20</v>
      </c>
      <c r="S9" s="11">
        <v>70</v>
      </c>
      <c r="T9" s="11">
        <v>78</v>
      </c>
      <c r="U9" s="11">
        <v>189</v>
      </c>
      <c r="V9" s="15">
        <f t="shared" ref="V9:V17" si="1">SUM(O9:U9)/40</f>
        <v>9.15</v>
      </c>
      <c r="W9" s="12">
        <v>21</v>
      </c>
      <c r="Y9" s="36">
        <f t="shared" ref="Y9:Y17" si="2">J9</f>
        <v>9.5</v>
      </c>
      <c r="Z9" s="37">
        <f t="shared" ref="Z9:Z17" si="3">V9</f>
        <v>9.15</v>
      </c>
      <c r="AA9" s="38">
        <f t="shared" ref="AA9:AA17" si="4">Y9-Z9</f>
        <v>0.34999999999999964</v>
      </c>
    </row>
    <row r="10" spans="1:27" x14ac:dyDescent="0.35">
      <c r="A10" s="14"/>
      <c r="B10" s="7" t="s">
        <v>42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42</v>
      </c>
      <c r="O10" s="11"/>
      <c r="P10" s="11">
        <v>29</v>
      </c>
      <c r="Q10" s="11">
        <v>24</v>
      </c>
      <c r="R10" s="11">
        <v>67</v>
      </c>
      <c r="S10" s="11">
        <v>39</v>
      </c>
      <c r="T10" s="11">
        <v>34</v>
      </c>
      <c r="U10" s="11">
        <v>87</v>
      </c>
      <c r="V10" s="15">
        <f t="shared" si="1"/>
        <v>7</v>
      </c>
      <c r="W10" s="12">
        <v>5</v>
      </c>
      <c r="Y10" s="36">
        <f t="shared" si="2"/>
        <v>7</v>
      </c>
      <c r="Z10" s="37">
        <f t="shared" si="3"/>
        <v>7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39</v>
      </c>
      <c r="O11" s="11"/>
      <c r="P11" s="11">
        <v>0</v>
      </c>
      <c r="Q11" s="11">
        <v>0</v>
      </c>
      <c r="R11" s="11">
        <v>0</v>
      </c>
      <c r="S11" s="11">
        <v>52</v>
      </c>
      <c r="T11" s="11">
        <v>40</v>
      </c>
      <c r="U11" s="11">
        <v>52</v>
      </c>
      <c r="V11" s="15">
        <f t="shared" si="1"/>
        <v>3.6</v>
      </c>
      <c r="W11" s="12">
        <v>5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37</v>
      </c>
      <c r="O12" s="11"/>
      <c r="P12" s="11">
        <v>12</v>
      </c>
      <c r="Q12" s="11">
        <v>25</v>
      </c>
      <c r="R12" s="11">
        <v>24</v>
      </c>
      <c r="S12" s="11">
        <v>28</v>
      </c>
      <c r="T12" s="11">
        <v>37</v>
      </c>
      <c r="U12" s="11">
        <v>10</v>
      </c>
      <c r="V12" s="15">
        <f t="shared" si="1"/>
        <v>3.4</v>
      </c>
      <c r="W12" s="12">
        <v>5</v>
      </c>
      <c r="Y12" s="36">
        <f t="shared" si="2"/>
        <v>4.3</v>
      </c>
      <c r="Z12" s="37">
        <f t="shared" si="3"/>
        <v>3.4</v>
      </c>
      <c r="AA12" s="38">
        <f t="shared" si="4"/>
        <v>0.89999999999999991</v>
      </c>
    </row>
    <row r="13" spans="1:27" x14ac:dyDescent="0.35">
      <c r="A13" s="16"/>
      <c r="B13" s="17" t="s">
        <v>16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16</v>
      </c>
      <c r="O13" s="11"/>
      <c r="P13" s="11">
        <v>120</v>
      </c>
      <c r="Q13" s="11">
        <v>120</v>
      </c>
      <c r="R13" s="11">
        <v>520</v>
      </c>
      <c r="S13" s="11">
        <v>120</v>
      </c>
      <c r="T13" s="11">
        <v>920</v>
      </c>
      <c r="U13" s="11">
        <v>560</v>
      </c>
      <c r="V13" s="15">
        <f t="shared" si="1"/>
        <v>59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221</v>
      </c>
      <c r="Q18" s="25">
        <f t="shared" si="6"/>
        <v>238</v>
      </c>
      <c r="R18" s="25">
        <f t="shared" si="6"/>
        <v>701</v>
      </c>
      <c r="S18" s="25">
        <f t="shared" si="6"/>
        <v>399</v>
      </c>
      <c r="T18" s="25">
        <f t="shared" si="6"/>
        <v>1209</v>
      </c>
      <c r="U18" s="25">
        <f t="shared" si="6"/>
        <v>1068</v>
      </c>
      <c r="V18" s="26">
        <f>SUM(O18:U18)</f>
        <v>3853</v>
      </c>
      <c r="W18" s="28"/>
      <c r="Y18" s="33">
        <f>SUM(Y8:Y17)</f>
        <v>38.824999999999996</v>
      </c>
      <c r="Z18" s="34">
        <f>SUM(Z8:Z17)</f>
        <v>37.325000000000003</v>
      </c>
      <c r="AA18" s="35">
        <f>SUM(AA8:AA17)</f>
        <v>1.4999999999999996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5.5250000000000004</v>
      </c>
      <c r="Q19" s="21">
        <f t="shared" si="8"/>
        <v>5.95</v>
      </c>
      <c r="R19" s="21">
        <f t="shared" si="8"/>
        <v>17.524999999999999</v>
      </c>
      <c r="S19" s="21">
        <f t="shared" si="8"/>
        <v>9.9749999999999996</v>
      </c>
      <c r="T19" s="21">
        <f t="shared" si="8"/>
        <v>30.225000000000001</v>
      </c>
      <c r="U19" s="21">
        <f t="shared" si="8"/>
        <v>26.7</v>
      </c>
      <c r="V19" s="22">
        <f t="shared" si="8"/>
        <v>96.325000000000003</v>
      </c>
      <c r="W19" s="23"/>
      <c r="Y19" s="39">
        <f>Y18/40</f>
        <v>0.97062499999999985</v>
      </c>
      <c r="Z19" s="40">
        <f>Z18/40</f>
        <v>0.93312500000000009</v>
      </c>
      <c r="AA19" s="41">
        <f>AA18/40</f>
        <v>3.7499999999999992E-2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M10" sqref="M10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>
        <v>20</v>
      </c>
      <c r="Q8" s="11">
        <v>20</v>
      </c>
      <c r="R8" s="11">
        <v>40</v>
      </c>
      <c r="S8" s="11">
        <v>15</v>
      </c>
      <c r="T8" s="11">
        <v>10</v>
      </c>
      <c r="U8" s="11">
        <v>215</v>
      </c>
      <c r="V8" s="15">
        <f>SUM(O8:U8)/40</f>
        <v>8</v>
      </c>
      <c r="W8" s="12">
        <v>7</v>
      </c>
      <c r="Y8" s="36">
        <f>J8</f>
        <v>8</v>
      </c>
      <c r="Z8" s="37">
        <f>V8</f>
        <v>8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42</v>
      </c>
      <c r="O10" s="11"/>
      <c r="P10" s="11">
        <v>88</v>
      </c>
      <c r="Q10" s="11">
        <v>6</v>
      </c>
      <c r="R10" s="11">
        <v>6</v>
      </c>
      <c r="S10" s="11">
        <v>268</v>
      </c>
      <c r="T10" s="11">
        <v>264</v>
      </c>
      <c r="U10" s="11">
        <v>108</v>
      </c>
      <c r="V10" s="15">
        <f t="shared" si="1"/>
        <v>18.5</v>
      </c>
      <c r="W10" s="12">
        <v>5</v>
      </c>
      <c r="Y10" s="36">
        <f t="shared" si="2"/>
        <v>15.8</v>
      </c>
      <c r="Z10" s="37">
        <f t="shared" si="3"/>
        <v>18.5</v>
      </c>
      <c r="AA10" s="38">
        <f t="shared" si="4"/>
        <v>-2.6999999999999993</v>
      </c>
    </row>
    <row r="11" spans="1:27" x14ac:dyDescent="0.35">
      <c r="A11" s="16"/>
      <c r="B11" s="17" t="s">
        <v>39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39</v>
      </c>
      <c r="O11" s="11"/>
      <c r="P11" s="11">
        <v>65</v>
      </c>
      <c r="Q11" s="11">
        <v>59</v>
      </c>
      <c r="R11" s="11">
        <v>84</v>
      </c>
      <c r="S11" s="11">
        <v>72</v>
      </c>
      <c r="T11" s="11">
        <v>66</v>
      </c>
      <c r="U11" s="11">
        <v>80</v>
      </c>
      <c r="V11" s="15">
        <f t="shared" si="1"/>
        <v>10.65</v>
      </c>
      <c r="W11" s="12">
        <v>6</v>
      </c>
      <c r="Y11" s="36">
        <f t="shared" si="2"/>
        <v>11.25</v>
      </c>
      <c r="Z11" s="37">
        <f t="shared" si="3"/>
        <v>10.65</v>
      </c>
      <c r="AA11" s="38">
        <f t="shared" si="4"/>
        <v>0.59999999999999964</v>
      </c>
    </row>
    <row r="12" spans="1:27" x14ac:dyDescent="0.35">
      <c r="A12" s="16"/>
      <c r="B12" s="17" t="s">
        <v>37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37</v>
      </c>
      <c r="O12" s="11"/>
      <c r="P12" s="11">
        <v>40</v>
      </c>
      <c r="Q12" s="11">
        <v>0</v>
      </c>
      <c r="R12" s="11">
        <v>64</v>
      </c>
      <c r="S12" s="11">
        <v>36</v>
      </c>
      <c r="T12" s="11">
        <v>33</v>
      </c>
      <c r="U12" s="11">
        <v>33</v>
      </c>
      <c r="V12" s="15">
        <f t="shared" si="1"/>
        <v>5.15</v>
      </c>
      <c r="W12" s="12">
        <v>5</v>
      </c>
      <c r="Y12" s="36">
        <f t="shared" si="2"/>
        <v>5.6</v>
      </c>
      <c r="Z12" s="37">
        <f t="shared" si="3"/>
        <v>5.15</v>
      </c>
      <c r="AA12" s="38">
        <f t="shared" si="4"/>
        <v>0.44999999999999929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560</v>
      </c>
      <c r="Q13" s="11">
        <v>600</v>
      </c>
      <c r="R13" s="11">
        <v>640</v>
      </c>
      <c r="S13" s="11">
        <v>760</v>
      </c>
      <c r="T13" s="11">
        <v>760</v>
      </c>
      <c r="U13" s="11">
        <v>920</v>
      </c>
      <c r="V13" s="15">
        <f t="shared" si="1"/>
        <v>106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773</v>
      </c>
      <c r="Q18" s="25">
        <f t="shared" si="6"/>
        <v>685</v>
      </c>
      <c r="R18" s="25">
        <f t="shared" si="6"/>
        <v>834</v>
      </c>
      <c r="S18" s="25">
        <f t="shared" si="6"/>
        <v>1151</v>
      </c>
      <c r="T18" s="25">
        <f t="shared" si="6"/>
        <v>1133</v>
      </c>
      <c r="U18" s="25">
        <f t="shared" si="6"/>
        <v>1356</v>
      </c>
      <c r="V18" s="26">
        <f>SUM(O18:U18)</f>
        <v>5932</v>
      </c>
      <c r="W18" s="28"/>
      <c r="Y18" s="33">
        <f>SUM(Y8:Y17)</f>
        <v>40.65</v>
      </c>
      <c r="Z18" s="34">
        <f>SUM(Z8:Z17)</f>
        <v>42.3</v>
      </c>
      <c r="AA18" s="35">
        <f>SUM(AA8:AA17)</f>
        <v>-1.6500000000000004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19.324999999999999</v>
      </c>
      <c r="Q19" s="21">
        <f t="shared" si="8"/>
        <v>17.125</v>
      </c>
      <c r="R19" s="21">
        <f t="shared" si="8"/>
        <v>20.85</v>
      </c>
      <c r="S19" s="21">
        <f t="shared" si="8"/>
        <v>28.774999999999999</v>
      </c>
      <c r="T19" s="21">
        <f t="shared" si="8"/>
        <v>28.324999999999999</v>
      </c>
      <c r="U19" s="21">
        <f t="shared" si="8"/>
        <v>33.9</v>
      </c>
      <c r="V19" s="22">
        <f t="shared" si="8"/>
        <v>148.30000000000001</v>
      </c>
      <c r="W19" s="23"/>
      <c r="Y19" s="39">
        <f>Y18/40</f>
        <v>1.0162499999999999</v>
      </c>
      <c r="Z19" s="40">
        <f>Z18/40</f>
        <v>1.0574999999999999</v>
      </c>
      <c r="AA19" s="41">
        <f>AA18/40</f>
        <v>-4.1250000000000009E-2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tabSelected="1" workbookViewId="0">
      <selection activeCell="AC2" sqref="AC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39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37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37</v>
      </c>
      <c r="O12" s="11"/>
      <c r="P12" s="11">
        <v>32</v>
      </c>
      <c r="Q12" s="11">
        <v>43</v>
      </c>
      <c r="R12" s="11">
        <v>59</v>
      </c>
      <c r="S12" s="11">
        <v>93</v>
      </c>
      <c r="T12" s="11">
        <v>60</v>
      </c>
      <c r="U12" s="11">
        <v>67</v>
      </c>
      <c r="V12" s="15">
        <f t="shared" si="1"/>
        <v>8.85</v>
      </c>
      <c r="W12" s="12"/>
      <c r="Y12" s="36">
        <f t="shared" si="2"/>
        <v>8.15</v>
      </c>
      <c r="Z12" s="37">
        <f t="shared" si="3"/>
        <v>8.85</v>
      </c>
      <c r="AA12" s="38">
        <f t="shared" si="4"/>
        <v>-0.69999999999999929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32</v>
      </c>
      <c r="Q18" s="25">
        <f t="shared" si="6"/>
        <v>43</v>
      </c>
      <c r="R18" s="25">
        <f t="shared" si="6"/>
        <v>59</v>
      </c>
      <c r="S18" s="25">
        <f t="shared" si="6"/>
        <v>93</v>
      </c>
      <c r="T18" s="25">
        <f t="shared" si="6"/>
        <v>60</v>
      </c>
      <c r="U18" s="25">
        <f t="shared" si="6"/>
        <v>67</v>
      </c>
      <c r="V18" s="26">
        <f>SUM(O18:U18)</f>
        <v>354</v>
      </c>
      <c r="W18" s="28"/>
      <c r="Y18" s="33">
        <f>SUM(Y8:Y17)</f>
        <v>32.6</v>
      </c>
      <c r="Z18" s="34">
        <f>SUM(Z8:Z17)</f>
        <v>8.85</v>
      </c>
      <c r="AA18" s="35">
        <f>SUM(AA8:AA17)</f>
        <v>23.750000000000004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0.8</v>
      </c>
      <c r="Q19" s="21">
        <f t="shared" si="8"/>
        <v>1.075</v>
      </c>
      <c r="R19" s="21">
        <f t="shared" si="8"/>
        <v>1.4750000000000001</v>
      </c>
      <c r="S19" s="21">
        <f t="shared" si="8"/>
        <v>2.3250000000000002</v>
      </c>
      <c r="T19" s="21">
        <f t="shared" si="8"/>
        <v>1.5</v>
      </c>
      <c r="U19" s="21">
        <f t="shared" si="8"/>
        <v>1.675</v>
      </c>
      <c r="V19" s="22">
        <f t="shared" si="8"/>
        <v>8.85</v>
      </c>
      <c r="W19" s="23"/>
      <c r="Y19" s="39">
        <f>Y18/40</f>
        <v>0.81500000000000006</v>
      </c>
      <c r="Z19" s="40">
        <f>Z18/40</f>
        <v>0.22125</v>
      </c>
      <c r="AA19" s="41">
        <f>AA18/40</f>
        <v>0.59375000000000011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2026-09-26T08:46:36Z</dcterms:modified>
</cp:coreProperties>
</file>