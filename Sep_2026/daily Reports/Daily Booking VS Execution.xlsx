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D25D93C-39AD-495D-93BA-E85C31F31D7E}" xr6:coauthVersionLast="47" xr6:coauthVersionMax="47" xr10:uidLastSave="{00000000-0000-0000-0000-000000000000}"/>
  <bookViews>
    <workbookView xWindow="-110" yWindow="-110" windowWidth="19420" windowHeight="10420" tabRatio="860" firstSheet="3" activeTab="3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8" i="30" l="1"/>
  <c r="P18" i="26" l="1"/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J17" i="29"/>
  <c r="Z17" i="27" l="1"/>
  <c r="V17" i="24" l="1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<sst xmlns="http://schemas.openxmlformats.org/spreadsheetml/2006/main" count="1688" uniqueCount="60">
  <si>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</si>
  <si>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</si>
  <si>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</si>
  <si>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</si>
  <si>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</si>
  <si>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</si>
  <si>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</si>
  <si>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</si>
  <si>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</si>
  <si>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</si>
  <si>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</si>
  <si>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</si>
  <si>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</si>
  <si>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</si>
  <si>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</si>
  <si>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</si>
  <si>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</si>
  <si>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</si>
  <si>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</si>
  <si>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</si>
  <si>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</si>
  <si>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</si>
  <si>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</si>
  <si>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</si>
  <si>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</si>
  <si>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</si>
  <si>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</si>
  <si>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</si>
  <si>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</si>
  <si>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</si>
  <si>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</si>
  <si>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</si>
  <si>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</si>
  <si>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</si>
  <si>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</si>
  <si>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</si>
  <si>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</si>
  <si>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</si>
  <si>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</si>
  <si>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</si>
  <si>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</si>
  <si>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</si>
  <si>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</si>
  <si>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</si>
  <si>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</si>
  <si>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</si>
  <si>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</si>
  <si>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</si>
  <si>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</si>
  <si>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</si>
  <si>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</si>
  <si>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</si>
  <si>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</si>
  <si>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</si>
  <si>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</si>
  <si>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</si>
  <si>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</si>
  <si>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</si>
  <si>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</si>
  <si>
    <t>Aqib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</si>
</sst>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" fontId="1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X11" sqref="X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>
        <v>15</v>
      </c>
      <c r="Q8" s="11">
        <v>55</v>
      </c>
      <c r="R8" s="11">
        <v>102</v>
      </c>
      <c r="S8" s="11">
        <v>42</v>
      </c>
      <c r="T8" s="11">
        <v>70</v>
      </c>
      <c r="U8" s="11">
        <v>192</v>
      </c>
      <c r="V8" s="15">
        <f>SUM(O8:U8)/40</f>
        <v>11.9</v>
      </c>
      <c r="W8" s="12">
        <v>21</v>
      </c>
      <c r="Y8" s="36">
        <f>J8</f>
        <v>11.9</v>
      </c>
      <c r="Z8" s="37">
        <f>V8</f>
        <v>11.9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>
        <v>15</v>
      </c>
      <c r="Q10" s="11">
        <v>12</v>
      </c>
      <c r="R10" s="11">
        <v>13</v>
      </c>
      <c r="S10" s="11">
        <v>86</v>
      </c>
      <c r="T10" s="11">
        <v>87</v>
      </c>
      <c r="U10" s="11">
        <v>85</v>
      </c>
      <c r="V10" s="15">
        <f t="shared" si="1"/>
        <v>7.45</v>
      </c>
      <c r="W10" s="12">
        <v>8</v>
      </c>
      <c r="Y10" s="36">
        <f t="shared" si="2"/>
        <v>7.95</v>
      </c>
      <c r="Z10" s="37">
        <f t="shared" si="3"/>
        <v>7.45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>
        <v>20</v>
      </c>
      <c r="Q11" s="11">
        <v>0</v>
      </c>
      <c r="R11" s="11">
        <v>20</v>
      </c>
      <c r="S11" s="11">
        <v>27</v>
      </c>
      <c r="T11" s="11">
        <v>10</v>
      </c>
      <c r="U11" s="11">
        <v>67</v>
      </c>
      <c r="V11" s="15">
        <f t="shared" si="1"/>
        <v>3.6</v>
      </c>
      <c r="W11" s="12">
        <v>4</v>
      </c>
      <c r="Y11" s="36">
        <f t="shared" si="2"/>
        <v>4.5999999999999996</v>
      </c>
      <c r="Z11" s="37">
        <f t="shared" si="3"/>
        <v>3.6</v>
      </c>
      <c r="AA11" s="38">
        <f t="shared" si="4"/>
        <v>0.99999999999999956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>
        <v>8</v>
      </c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1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122</v>
      </c>
      <c r="Q18" s="25">
        <f t="shared" si="6"/>
        <v>150</v>
      </c>
      <c r="R18" s="25">
        <f t="shared" si="6"/>
        <v>234</v>
      </c>
      <c r="S18" s="25">
        <f t="shared" si="6"/>
        <v>288</v>
      </c>
      <c r="T18" s="25">
        <f t="shared" si="6"/>
        <v>267</v>
      </c>
      <c r="U18" s="25">
        <f t="shared" si="6"/>
        <v>451</v>
      </c>
      <c r="V18" s="26">
        <f>SUM(O18:U18)</f>
        <v>1512</v>
      </c>
      <c r="W18" s="28"/>
      <c r="Y18" s="33">
        <f>SUM(Y8:Y17)</f>
        <v>32.6</v>
      </c>
      <c r="Z18" s="34">
        <f>SUM(Z8:Z17)</f>
        <v>31.800000000000004</v>
      </c>
      <c r="AA18" s="35">
        <f>SUM(AA8:AA17)</f>
        <v>0.80000000000000027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3.05</v>
      </c>
      <c r="Q19" s="21">
        <f t="shared" si="8"/>
        <v>3.75</v>
      </c>
      <c r="R19" s="21">
        <f t="shared" si="8"/>
        <v>5.85</v>
      </c>
      <c r="S19" s="21">
        <f t="shared" si="8"/>
        <v>7.2</v>
      </c>
      <c r="T19" s="21">
        <f t="shared" si="8"/>
        <v>6.6749999999999998</v>
      </c>
      <c r="U19" s="21">
        <f t="shared" si="8"/>
        <v>11.275</v>
      </c>
      <c r="V19" s="22">
        <f t="shared" si="8"/>
        <v>37.799999999999997</v>
      </c>
      <c r="W19" s="23"/>
      <c r="Y19" s="39">
        <f>Y18/40</f>
        <v>0.81500000000000006</v>
      </c>
      <c r="Z19" s="40">
        <f>Z18/40</f>
        <v>0.79500000000000015</v>
      </c>
      <c r="AA19" s="41">
        <f>AA18/40</f>
        <v>2.0000000000000007E-2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K7" sqref="K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S16" sqref="S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40</v>
      </c>
      <c r="O8" s="11"/>
      <c r="P8" s="11"/>
      <c r="Q8" s="11"/>
      <c r="R8" s="11"/>
      <c r="S8" s="11">
        <v>800</v>
      </c>
      <c r="T8" s="11">
        <v>720</v>
      </c>
      <c r="U8" s="11">
        <v>880</v>
      </c>
      <c r="V8" s="15">
        <f>SUM(O8:U8)/40</f>
        <v>60</v>
      </c>
      <c r="W8" s="12">
        <v>1</v>
      </c>
      <c r="Y8" s="36">
        <f>J8</f>
        <v>60</v>
      </c>
      <c r="Z8" s="37">
        <f>V8</f>
        <v>60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41</v>
      </c>
      <c r="O9" s="11"/>
      <c r="P9" s="11">
        <v>95</v>
      </c>
      <c r="Q9" s="11">
        <v>70</v>
      </c>
      <c r="R9" s="11">
        <v>55</v>
      </c>
      <c r="S9" s="11">
        <v>50</v>
      </c>
      <c r="T9" s="11">
        <v>10</v>
      </c>
      <c r="U9" s="11">
        <v>40</v>
      </c>
      <c r="V9" s="15">
        <f t="shared" ref="V9:V16" si="1">SUM(O9:U9)/40</f>
        <v>8</v>
      </c>
      <c r="W9" s="12">
        <v>18</v>
      </c>
      <c r="Y9" s="36">
        <f t="shared" ref="Y9:Y17" si="2">J9</f>
        <v>9.5</v>
      </c>
      <c r="Z9" s="37">
        <f t="shared" ref="Z9:Z17" si="3">V9</f>
        <v>8</v>
      </c>
      <c r="AA9" s="38">
        <f t="shared" ref="AA9:AA17" si="4">Y9-Z9</f>
        <v>1.5</v>
      </c>
    </row>
    <row r="10" spans="1:27" x14ac:dyDescent="0.35">
      <c r="A10" s="14"/>
      <c r="B10" s="7" t="s">
        <v>42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42</v>
      </c>
      <c r="O10" s="11"/>
      <c r="P10" s="11">
        <v>26</v>
      </c>
      <c r="Q10" s="11">
        <v>25</v>
      </c>
      <c r="R10" s="11">
        <v>105</v>
      </c>
      <c r="S10" s="11">
        <v>147</v>
      </c>
      <c r="T10" s="11">
        <v>164</v>
      </c>
      <c r="U10" s="11">
        <v>125</v>
      </c>
      <c r="V10" s="15">
        <f t="shared" si="1"/>
        <v>14.8</v>
      </c>
      <c r="W10" s="12">
        <v>8</v>
      </c>
      <c r="Y10" s="36">
        <f t="shared" si="2"/>
        <v>16.8</v>
      </c>
      <c r="Z10" s="37">
        <f t="shared" si="3"/>
        <v>14.8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37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37</v>
      </c>
      <c r="O12" s="11"/>
      <c r="P12" s="11">
        <v>22</v>
      </c>
      <c r="Q12" s="11">
        <v>22</v>
      </c>
      <c r="R12" s="11">
        <v>22</v>
      </c>
      <c r="S12" s="11">
        <v>80</v>
      </c>
      <c r="T12" s="11">
        <v>0</v>
      </c>
      <c r="U12" s="11">
        <v>80</v>
      </c>
      <c r="V12" s="15">
        <f t="shared" si="1"/>
        <v>5.65</v>
      </c>
      <c r="W12" s="12">
        <v>3</v>
      </c>
      <c r="Y12" s="36">
        <f t="shared" si="2"/>
        <v>6.55</v>
      </c>
      <c r="Z12" s="37">
        <f t="shared" si="3"/>
        <v>5.65</v>
      </c>
      <c r="AA12" s="38">
        <f t="shared" si="4"/>
        <v>0.89999999999999947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16</v>
      </c>
      <c r="O13" s="11"/>
      <c r="P13" s="11">
        <v>600</v>
      </c>
      <c r="Q13" s="11">
        <v>520</v>
      </c>
      <c r="R13" s="11">
        <v>860</v>
      </c>
      <c r="S13" s="11">
        <v>600</v>
      </c>
      <c r="T13" s="11">
        <v>600</v>
      </c>
      <c r="U13" s="11">
        <v>840</v>
      </c>
      <c r="V13" s="15">
        <f t="shared" si="1"/>
        <v>100.5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743</v>
      </c>
      <c r="Q21" s="25">
        <f t="shared" si="6"/>
        <v>637</v>
      </c>
      <c r="R21" s="25">
        <f t="shared" si="6"/>
        <v>1042</v>
      </c>
      <c r="S21" s="25">
        <f t="shared" si="6"/>
        <v>1677</v>
      </c>
      <c r="T21" s="25">
        <f t="shared" si="6"/>
        <v>1494</v>
      </c>
      <c r="U21" s="25">
        <f t="shared" si="6"/>
        <v>1965</v>
      </c>
      <c r="V21" s="26">
        <f>SUM(O21:U21)</f>
        <v>7558</v>
      </c>
      <c r="W21" s="28"/>
      <c r="Y21" s="33">
        <f>SUM(Y8:Y17)</f>
        <v>94.85</v>
      </c>
      <c r="Z21" s="34">
        <f>SUM(Z8:Z17)</f>
        <v>88.45</v>
      </c>
      <c r="AA21" s="35">
        <f>SUM(AA8:AA17)</f>
        <v>6.3999999999999995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18.574999999999999</v>
      </c>
      <c r="Q22" s="21">
        <f t="shared" si="8"/>
        <v>15.925000000000001</v>
      </c>
      <c r="R22" s="21">
        <f t="shared" si="8"/>
        <v>26.05</v>
      </c>
      <c r="S22" s="21">
        <f t="shared" si="8"/>
        <v>41.924999999999997</v>
      </c>
      <c r="T22" s="21">
        <f t="shared" si="8"/>
        <v>37.35</v>
      </c>
      <c r="U22" s="21">
        <f t="shared" si="8"/>
        <v>49.125</v>
      </c>
      <c r="V22" s="22">
        <f t="shared" si="8"/>
        <v>188.95</v>
      </c>
      <c r="W22" s="23"/>
      <c r="Y22" s="39">
        <f>Y21/40</f>
        <v>2.3712499999999999</v>
      </c>
      <c r="Z22" s="40">
        <f>Z21/40</f>
        <v>2.2112500000000002</v>
      </c>
      <c r="AA22" s="41">
        <f>AA21/40</f>
        <v>0.15999999999999998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M17" sqref="M1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40</v>
      </c>
      <c r="O8" s="11"/>
      <c r="P8" s="11">
        <v>33</v>
      </c>
      <c r="Q8" s="11">
        <v>30</v>
      </c>
      <c r="R8" s="11">
        <v>55</v>
      </c>
      <c r="S8" s="11">
        <v>70</v>
      </c>
      <c r="T8" s="11">
        <v>60</v>
      </c>
      <c r="U8" s="11">
        <v>110</v>
      </c>
      <c r="V8" s="15">
        <f>SUM(O8:U8)/40</f>
        <v>8.9499999999999993</v>
      </c>
      <c r="W8" s="12">
        <v>8</v>
      </c>
      <c r="Y8" s="36">
        <f>J8</f>
        <v>10.5</v>
      </c>
      <c r="Z8" s="37">
        <f>V8</f>
        <v>8.9499999999999993</v>
      </c>
      <c r="AA8" s="38">
        <f>Y8-Z8</f>
        <v>1.5500000000000007</v>
      </c>
    </row>
    <row r="9" spans="1:27" x14ac:dyDescent="0.35">
      <c r="A9" s="14"/>
      <c r="B9" s="7" t="s">
        <v>41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41</v>
      </c>
      <c r="O9" s="11"/>
      <c r="P9" s="11">
        <v>55</v>
      </c>
      <c r="Q9" s="11">
        <v>50</v>
      </c>
      <c r="R9" s="11">
        <v>95</v>
      </c>
      <c r="S9" s="11">
        <v>95</v>
      </c>
      <c r="T9" s="11">
        <v>50</v>
      </c>
      <c r="U9" s="11">
        <v>55</v>
      </c>
      <c r="V9" s="15">
        <f t="shared" ref="V9:V20" si="1">SUM(O9:U9)/40</f>
        <v>10</v>
      </c>
      <c r="W9" s="12">
        <v>15</v>
      </c>
      <c r="Y9" s="36">
        <f t="shared" ref="Y9:Y20" si="2">J9</f>
        <v>10</v>
      </c>
      <c r="Z9" s="37">
        <f t="shared" ref="Z9:Z20" si="3">V9</f>
        <v>10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42</v>
      </c>
      <c r="O10" s="11"/>
      <c r="P10" s="11">
        <v>46</v>
      </c>
      <c r="Q10" s="11">
        <v>46</v>
      </c>
      <c r="R10" s="11">
        <v>46</v>
      </c>
      <c r="S10" s="11">
        <v>74</v>
      </c>
      <c r="T10" s="11">
        <v>73</v>
      </c>
      <c r="U10" s="11">
        <v>73</v>
      </c>
      <c r="V10" s="15">
        <f t="shared" si="1"/>
        <v>8.9499999999999993</v>
      </c>
      <c r="W10" s="12">
        <v>5</v>
      </c>
      <c r="Y10" s="36">
        <f t="shared" si="2"/>
        <v>15.25</v>
      </c>
      <c r="Z10" s="37">
        <f t="shared" si="3"/>
        <v>8.9499999999999993</v>
      </c>
      <c r="AA10" s="38">
        <f t="shared" si="4"/>
        <v>6.3000000000000007</v>
      </c>
    </row>
    <row r="11" spans="1:27" x14ac:dyDescent="0.35">
      <c r="A11" s="16"/>
      <c r="B11" s="17" t="s">
        <v>39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39</v>
      </c>
      <c r="O11" s="11"/>
      <c r="P11" s="11">
        <v>4</v>
      </c>
      <c r="Q11" s="11">
        <v>54</v>
      </c>
      <c r="R11" s="11">
        <v>54</v>
      </c>
      <c r="S11" s="11">
        <v>87</v>
      </c>
      <c r="T11" s="11">
        <v>56</v>
      </c>
      <c r="U11" s="11">
        <v>97</v>
      </c>
      <c r="V11" s="15">
        <f t="shared" si="1"/>
        <v>8.8000000000000007</v>
      </c>
      <c r="W11" s="12">
        <v>8</v>
      </c>
      <c r="Y11" s="36">
        <f t="shared" si="2"/>
        <v>10.1</v>
      </c>
      <c r="Z11" s="37">
        <f t="shared" si="3"/>
        <v>8.8000000000000007</v>
      </c>
      <c r="AA11" s="38">
        <f t="shared" si="4"/>
        <v>1.2999999999999989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37</v>
      </c>
      <c r="O12" s="11"/>
      <c r="P12" s="11">
        <v>0</v>
      </c>
      <c r="Q12" s="11">
        <v>40</v>
      </c>
      <c r="R12" s="11">
        <v>120</v>
      </c>
      <c r="S12" s="11">
        <v>40</v>
      </c>
      <c r="T12" s="11">
        <v>40</v>
      </c>
      <c r="U12" s="11">
        <v>0</v>
      </c>
      <c r="V12" s="15">
        <f t="shared" si="1"/>
        <v>6</v>
      </c>
      <c r="W12" s="12">
        <v>2</v>
      </c>
      <c r="Y12" s="36">
        <f t="shared" si="2"/>
        <v>7.25</v>
      </c>
      <c r="Z12" s="37">
        <f t="shared" si="3"/>
        <v>6</v>
      </c>
      <c r="AA12" s="38">
        <f t="shared" si="4"/>
        <v>1.25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16</v>
      </c>
      <c r="O13" s="11"/>
      <c r="P13" s="11">
        <v>330</v>
      </c>
      <c r="Q13" s="11">
        <v>320</v>
      </c>
      <c r="R13" s="11">
        <v>520</v>
      </c>
      <c r="S13" s="11">
        <v>1080</v>
      </c>
      <c r="T13" s="11">
        <v>986</v>
      </c>
      <c r="U13" s="11">
        <v>1200</v>
      </c>
      <c r="V13" s="15">
        <f t="shared" si="1"/>
        <v>110.9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468</v>
      </c>
      <c r="Q21" s="25">
        <f t="shared" si="6"/>
        <v>540</v>
      </c>
      <c r="R21" s="25">
        <f t="shared" si="6"/>
        <v>890</v>
      </c>
      <c r="S21" s="25">
        <f t="shared" si="6"/>
        <v>1446</v>
      </c>
      <c r="T21" s="25">
        <f t="shared" si="6"/>
        <v>1265</v>
      </c>
      <c r="U21" s="25">
        <f t="shared" si="6"/>
        <v>1535</v>
      </c>
      <c r="V21" s="26">
        <f>SUM(O21:U21)</f>
        <v>6144</v>
      </c>
      <c r="W21" s="28"/>
      <c r="Y21" s="33">
        <f>SUM(Y8:Y20)</f>
        <v>53.1</v>
      </c>
      <c r="Z21" s="34">
        <f>SUM(Z8:Z20)</f>
        <v>42.7</v>
      </c>
      <c r="AA21" s="35">
        <f>SUM(AA8:AA20)</f>
        <v>10.4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11.7</v>
      </c>
      <c r="Q22" s="21">
        <f t="shared" si="8"/>
        <v>13.5</v>
      </c>
      <c r="R22" s="21">
        <f t="shared" si="8"/>
        <v>22.25</v>
      </c>
      <c r="S22" s="21">
        <f t="shared" si="8"/>
        <v>36.15</v>
      </c>
      <c r="T22" s="21">
        <f t="shared" si="8"/>
        <v>31.625</v>
      </c>
      <c r="U22" s="21">
        <f t="shared" si="8"/>
        <v>38.375</v>
      </c>
      <c r="V22" s="22">
        <f t="shared" si="8"/>
        <v>153.6</v>
      </c>
      <c r="W22" s="23"/>
      <c r="Y22" s="39">
        <f>Y21/40</f>
        <v>1.3275000000000001</v>
      </c>
      <c r="Z22" s="40">
        <f>Z21/40</f>
        <v>1.0675000000000001</v>
      </c>
      <c r="AA22" s="41">
        <f>AA21/40</f>
        <v>0.26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U14" sqref="U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20</v>
      </c>
      <c r="U8" s="11">
        <v>35</v>
      </c>
      <c r="V8" s="15">
        <f>SUM(O8:U8)/40</f>
        <v>3.75</v>
      </c>
      <c r="W8" s="12">
        <v>16</v>
      </c>
      <c r="Y8" s="36">
        <f>J8</f>
        <v>0</v>
      </c>
      <c r="Z8" s="37">
        <f>V8</f>
        <v>3.75</v>
      </c>
      <c r="AA8" s="38">
        <f>Y8-Z8</f>
        <v>-3.75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>
        <v>65</v>
      </c>
      <c r="Q9" s="11">
        <v>195</v>
      </c>
      <c r="R9" s="11">
        <v>180</v>
      </c>
      <c r="S9" s="11">
        <v>75</v>
      </c>
      <c r="T9" s="11">
        <v>105</v>
      </c>
      <c r="U9" s="11">
        <v>60</v>
      </c>
      <c r="V9" s="15">
        <f t="shared" ref="V9:V18" si="1">SUM(O9:U9)/40</f>
        <v>17</v>
      </c>
      <c r="W9" s="12">
        <v>30</v>
      </c>
      <c r="Y9" s="36">
        <f t="shared" ref="Y9:Y21" si="2">J9</f>
        <v>0</v>
      </c>
      <c r="Z9" s="37">
        <f t="shared" ref="Z9:Z21" si="3">V9</f>
        <v>17</v>
      </c>
      <c r="AA9" s="38">
        <f t="shared" ref="AA9:AA21" si="4">Y9-Z9</f>
        <v>-17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>
        <v>10</v>
      </c>
      <c r="Q10" s="11">
        <v>10</v>
      </c>
      <c r="R10" s="11">
        <v>20</v>
      </c>
      <c r="S10" s="11">
        <v>0</v>
      </c>
      <c r="T10" s="11">
        <v>0</v>
      </c>
      <c r="U10" s="11">
        <v>20</v>
      </c>
      <c r="V10" s="15">
        <f t="shared" si="1"/>
        <v>1.5</v>
      </c>
      <c r="W10" s="12">
        <v>2</v>
      </c>
      <c r="Y10" s="36">
        <f t="shared" si="2"/>
        <v>0</v>
      </c>
      <c r="Z10" s="37">
        <f t="shared" si="3"/>
        <v>1.5</v>
      </c>
      <c r="AA10" s="38">
        <f t="shared" si="4"/>
        <v>-1.5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>
        <v>15</v>
      </c>
      <c r="Q11" s="11">
        <v>10</v>
      </c>
      <c r="R11" s="11">
        <v>15</v>
      </c>
      <c r="S11" s="11">
        <v>35</v>
      </c>
      <c r="T11" s="11">
        <v>30</v>
      </c>
      <c r="U11" s="11">
        <v>55</v>
      </c>
      <c r="V11" s="15">
        <f t="shared" si="1"/>
        <v>4</v>
      </c>
      <c r="W11" s="12">
        <v>2</v>
      </c>
      <c r="Y11" s="36">
        <f t="shared" si="2"/>
        <v>0</v>
      </c>
      <c r="Z11" s="37">
        <f t="shared" si="3"/>
        <v>4</v>
      </c>
      <c r="AA11" s="38">
        <f t="shared" si="4"/>
        <v>-4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18</v>
      </c>
      <c r="Q12" s="11">
        <v>13</v>
      </c>
      <c r="R12" s="11">
        <v>42</v>
      </c>
      <c r="S12" s="11">
        <v>0</v>
      </c>
      <c r="T12" s="11">
        <v>0</v>
      </c>
      <c r="U12" s="11">
        <v>24</v>
      </c>
      <c r="V12" s="15">
        <f t="shared" si="1"/>
        <v>2.4249999999999998</v>
      </c>
      <c r="W12" s="12">
        <v>5</v>
      </c>
      <c r="Y12" s="36">
        <f t="shared" si="2"/>
        <v>0</v>
      </c>
      <c r="Z12" s="37">
        <f t="shared" si="3"/>
        <v>2.4249999999999998</v>
      </c>
      <c r="AA12" s="38">
        <f t="shared" si="4"/>
        <v>-2.4249999999999998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59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166</v>
      </c>
      <c r="Q22" s="25">
        <f t="shared" si="6"/>
        <v>282</v>
      </c>
      <c r="R22" s="25">
        <f t="shared" si="6"/>
        <v>311</v>
      </c>
      <c r="S22" s="25">
        <f t="shared" si="6"/>
        <v>148</v>
      </c>
      <c r="T22" s="25">
        <f t="shared" si="6"/>
        <v>167</v>
      </c>
      <c r="U22" s="25">
        <f t="shared" si="6"/>
        <v>211</v>
      </c>
      <c r="V22" s="26">
        <f>SUM(O22:U22)</f>
        <v>1285</v>
      </c>
      <c r="W22" s="28"/>
      <c r="Y22" s="33">
        <f>SUM(Y8:Y21)</f>
        <v>0</v>
      </c>
      <c r="Z22" s="34">
        <f>SUM(Z8:Z21)</f>
        <v>28.675000000000001</v>
      </c>
      <c r="AA22" s="35">
        <f>SUM(AA8:AA21)</f>
        <v>-28.675000000000001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4.1500000000000004</v>
      </c>
      <c r="Q23" s="21">
        <f t="shared" si="8"/>
        <v>7.05</v>
      </c>
      <c r="R23" s="21">
        <f t="shared" si="8"/>
        <v>7.7750000000000004</v>
      </c>
      <c r="S23" s="21">
        <f t="shared" si="8"/>
        <v>3.7</v>
      </c>
      <c r="T23" s="21">
        <f t="shared" si="8"/>
        <v>4.1749999999999998</v>
      </c>
      <c r="U23" s="21">
        <f t="shared" si="8"/>
        <v>5.2750000000000004</v>
      </c>
      <c r="V23" s="22">
        <f t="shared" si="8"/>
        <v>32.125</v>
      </c>
      <c r="W23" s="23"/>
      <c r="Y23" s="39">
        <f>Y22/40</f>
        <v>0</v>
      </c>
      <c r="Z23" s="40">
        <f>Z22/40</f>
        <v>0.71687500000000004</v>
      </c>
      <c r="AA23" s="41">
        <f>AA22/40</f>
        <v>-0.71687500000000004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tabSelected="1" topLeftCell="A4" workbookViewId="0">
      <selection activeCell="M15" sqref="M15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89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8.5</v>
      </c>
      <c r="Z7" s="37">
        <f>V7</f>
        <v>0</v>
      </c>
      <c r="AA7" s="38">
        <f>Y7-Z7</f>
        <v>8.5</v>
      </c>
    </row>
    <row r="8" spans="1:27" x14ac:dyDescent="0.35">
      <c r="A8" s="14"/>
      <c r="B8" s="7" t="s">
        <v>41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5" si="1">SUM(O8:U8)/40</f>
        <v>0</v>
      </c>
      <c r="W8" s="12"/>
      <c r="Y8" s="36">
        <f t="shared" ref="Y8:Y19" si="2">J8</f>
        <v>7</v>
      </c>
      <c r="Z8" s="37">
        <f t="shared" ref="Z8:Z19" si="3">V8</f>
        <v>0</v>
      </c>
      <c r="AA8" s="38">
        <f t="shared" ref="AA8:AA19" si="4">Y8-Z8</f>
        <v>7</v>
      </c>
    </row>
    <row r="9" spans="1:27" x14ac:dyDescent="0.35">
      <c r="A9" s="14"/>
      <c r="B9" s="7" t="s">
        <v>42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4.6500000000000004</v>
      </c>
      <c r="Z9" s="37">
        <f t="shared" si="3"/>
        <v>0</v>
      </c>
      <c r="AA9" s="38">
        <f t="shared" si="4"/>
        <v>4.6500000000000004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4.9000000000000004</v>
      </c>
      <c r="Z10" s="37">
        <f t="shared" si="3"/>
        <v>0</v>
      </c>
      <c r="AA10" s="38">
        <f t="shared" si="4"/>
        <v>4.9000000000000004</v>
      </c>
    </row>
    <row r="11" spans="1:27" x14ac:dyDescent="0.35">
      <c r="A11" s="16"/>
      <c r="B11" s="17" t="s">
        <v>37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37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45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46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46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44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0</v>
      </c>
      <c r="Q20" s="25">
        <f t="shared" si="6"/>
        <v>0</v>
      </c>
      <c r="R20" s="25">
        <f t="shared" si="6"/>
        <v>0</v>
      </c>
      <c r="S20" s="25">
        <f t="shared" si="6"/>
        <v>0</v>
      </c>
      <c r="T20" s="25">
        <f t="shared" si="6"/>
        <v>0</v>
      </c>
      <c r="U20" s="25">
        <f t="shared" si="6"/>
        <v>0</v>
      </c>
      <c r="V20" s="26">
        <f>SUM(O20:U20)</f>
        <v>0</v>
      </c>
      <c r="W20" s="28"/>
      <c r="Y20" s="33">
        <f>SUM(Y7:Y19)</f>
        <v>25.049999999999997</v>
      </c>
      <c r="Z20" s="34">
        <f>SUM(Z7:Z19)</f>
        <v>0</v>
      </c>
      <c r="AA20" s="35">
        <f>SUM(AA7:AA19)</f>
        <v>25.049999999999997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</v>
      </c>
      <c r="Q21" s="21">
        <f t="shared" si="8"/>
        <v>0</v>
      </c>
      <c r="R21" s="21">
        <f t="shared" si="8"/>
        <v>0</v>
      </c>
      <c r="S21" s="21">
        <f t="shared" si="8"/>
        <v>0</v>
      </c>
      <c r="T21" s="21">
        <f t="shared" si="8"/>
        <v>0</v>
      </c>
      <c r="U21" s="21">
        <f t="shared" si="8"/>
        <v>0</v>
      </c>
      <c r="V21" s="22">
        <f t="shared" si="8"/>
        <v>0</v>
      </c>
      <c r="W21" s="23"/>
      <c r="Y21" s="39">
        <f>Y20/40</f>
        <v>0.62624999999999997</v>
      </c>
      <c r="Z21" s="40">
        <f>Z20/40</f>
        <v>0</v>
      </c>
      <c r="AA21" s="41">
        <f>AA20/40</f>
        <v>0.62624999999999997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2026-09-30T12:58:12Z</dcterms:modified>
</cp:coreProperties>
</file>