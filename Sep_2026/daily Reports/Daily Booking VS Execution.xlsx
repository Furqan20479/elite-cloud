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0BAA2206-4CED-4F01-BBEB-3F8FCD713499}" xr6:coauthVersionLast="47" xr6:coauthVersionMax="47" xr10:uidLastSave="{00000000-0000-0000-0000-000000000000}"/>
  <bookViews>
    <workbookView xWindow="-110" yWindow="-110" windowWidth="19420" windowHeight="10420" tabRatio="860" activeTab="21" xr2:uid="{B0E336F2-AB38-4CE9-B7A3-449981D50C07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07" sheetId="7" r:id="rId7"/>
    <sheet name="08" sheetId="8" r:id="rId8"/>
    <sheet name="09" sheetId="9" r:id="rId9"/>
    <sheet name="10" sheetId="10" r:id="rId10"/>
    <sheet name="11" sheetId="11" r:id="rId11"/>
    <sheet name="12" sheetId="12" r:id="rId12"/>
    <sheet name="13" sheetId="13" r:id="rId13"/>
    <sheet name="14" sheetId="14" r:id="rId14"/>
    <sheet name="15" sheetId="15" r:id="rId15"/>
    <sheet name="16" sheetId="16" r:id="rId16"/>
    <sheet name="17" sheetId="17" r:id="rId17"/>
    <sheet name="18" sheetId="18" r:id="rId18"/>
    <sheet name="19" sheetId="19" r:id="rId19"/>
    <sheet name="20" sheetId="20" r:id="rId20"/>
    <sheet name="21" sheetId="21" r:id="rId21"/>
    <sheet name="22" sheetId="22" r:id="rId22"/>
    <sheet name="23" sheetId="23" r:id="rId23"/>
    <sheet name="24" sheetId="24" r:id="rId24"/>
    <sheet name="25" sheetId="25" r:id="rId25"/>
    <sheet name="26" sheetId="26" r:id="rId26"/>
    <sheet name="27" sheetId="27" r:id="rId27"/>
    <sheet name="28" sheetId="28" r:id="rId28"/>
    <sheet name="29" sheetId="29" r:id="rId29"/>
    <sheet name="30" sheetId="30" r:id="rId30"/>
    <sheet name="31" sheetId="31" r:id="rId3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9" i="22" l="1"/>
  <c r="J12" i="18" l="1"/>
  <c r="J8" i="18" l="1"/>
  <c r="J11" i="16" l="1"/>
  <c r="J9" i="16"/>
  <c r="W10" i="15" l="1"/>
  <c r="O10" i="15"/>
  <c r="U10" i="15"/>
  <c r="T10" i="15"/>
  <c r="S10" i="15"/>
  <c r="Q10" i="15"/>
  <c r="P10" i="15"/>
  <c r="J8" i="15" l="1"/>
  <c r="J10" i="15" l="1"/>
  <c r="J19" i="11" l="1"/>
  <c r="J12" i="9" l="1"/>
  <c r="J8" i="9" l="1"/>
  <c r="J19" i="9" s="1"/>
  <c r="V17" i="7" l="1"/>
  <c r="J8" i="8"/>
  <c r="P18" i="7"/>
  <c r="Q18" i="7"/>
  <c r="R18" i="7"/>
  <c r="S18" i="7"/>
  <c r="T18" i="7"/>
  <c r="U18" i="7"/>
  <c r="O18" i="7"/>
  <c r="J8" i="7" l="1"/>
  <c r="V10" i="2" l="1"/>
  <c r="V11" i="2"/>
  <c r="V12" i="2"/>
  <c r="V13" i="2"/>
  <c r="V14" i="2"/>
  <c r="V15" i="2"/>
  <c r="V16" i="2"/>
  <c r="V10" i="3"/>
  <c r="V11" i="3"/>
  <c r="V12" i="3"/>
  <c r="V13" i="3"/>
  <c r="V14" i="3"/>
  <c r="V15" i="3"/>
  <c r="V16" i="3"/>
  <c r="V10" i="4"/>
  <c r="V11" i="4"/>
  <c r="V12" i="4"/>
  <c r="V13" i="4"/>
  <c r="V14" i="4"/>
  <c r="V15" i="4"/>
  <c r="V16" i="4"/>
  <c r="V10" i="5"/>
  <c r="V11" i="5"/>
  <c r="V12" i="5"/>
  <c r="V13" i="5"/>
  <c r="V14" i="5"/>
  <c r="V15" i="5"/>
  <c r="V16" i="5"/>
  <c r="V10" i="6"/>
  <c r="V11" i="6"/>
  <c r="V12" i="6"/>
  <c r="V13" i="6"/>
  <c r="V14" i="6"/>
  <c r="V15" i="6"/>
  <c r="V16" i="6"/>
  <c r="V10" i="7"/>
  <c r="V11" i="7"/>
  <c r="V13" i="7"/>
  <c r="V14" i="7"/>
  <c r="V15" i="7"/>
  <c r="V16" i="7"/>
  <c r="V10" i="8"/>
  <c r="V11" i="8"/>
  <c r="V12" i="8"/>
  <c r="V13" i="8"/>
  <c r="V14" i="8"/>
  <c r="V15" i="8"/>
  <c r="V16" i="8"/>
  <c r="V10" i="9"/>
  <c r="V11" i="9"/>
  <c r="V12" i="9"/>
  <c r="V13" i="9"/>
  <c r="V14" i="9"/>
  <c r="V15" i="9"/>
  <c r="V16" i="9"/>
  <c r="V10" i="10"/>
  <c r="V11" i="10"/>
  <c r="V12" i="10"/>
  <c r="V13" i="10"/>
  <c r="V14" i="10"/>
  <c r="V15" i="10"/>
  <c r="V16" i="10"/>
  <c r="V10" i="11"/>
  <c r="V11" i="11"/>
  <c r="V12" i="11"/>
  <c r="V13" i="11"/>
  <c r="V14" i="11"/>
  <c r="V15" i="11"/>
  <c r="V16" i="11"/>
  <c r="V10" i="12"/>
  <c r="V11" i="12"/>
  <c r="V13" i="12"/>
  <c r="V14" i="12"/>
  <c r="V15" i="12"/>
  <c r="V16" i="12"/>
  <c r="V10" i="13"/>
  <c r="V11" i="13"/>
  <c r="V12" i="13"/>
  <c r="V13" i="13"/>
  <c r="V14" i="13"/>
  <c r="V15" i="13"/>
  <c r="V16" i="13"/>
  <c r="V10" i="14"/>
  <c r="V11" i="14"/>
  <c r="V12" i="14"/>
  <c r="V13" i="14"/>
  <c r="V14" i="14"/>
  <c r="V15" i="14"/>
  <c r="V16" i="14"/>
  <c r="V10" i="15"/>
  <c r="V11" i="15"/>
  <c r="V12" i="15"/>
  <c r="V13" i="15"/>
  <c r="V14" i="15"/>
  <c r="V15" i="15"/>
  <c r="V16" i="15"/>
  <c r="V10" i="16"/>
  <c r="V11" i="16"/>
  <c r="V12" i="16"/>
  <c r="V13" i="16"/>
  <c r="V14" i="16"/>
  <c r="V15" i="16"/>
  <c r="V16" i="16"/>
  <c r="V10" i="17"/>
  <c r="V11" i="17"/>
  <c r="V12" i="17"/>
  <c r="V13" i="17"/>
  <c r="V14" i="17"/>
  <c r="V15" i="17"/>
  <c r="V16" i="17"/>
  <c r="V10" i="18"/>
  <c r="V11" i="18"/>
  <c r="V12" i="18"/>
  <c r="V13" i="18"/>
  <c r="V14" i="18"/>
  <c r="V15" i="18"/>
  <c r="V16" i="18"/>
  <c r="V10" i="19"/>
  <c r="V11" i="19"/>
  <c r="V12" i="19"/>
  <c r="V13" i="19"/>
  <c r="V14" i="19"/>
  <c r="V15" i="19"/>
  <c r="V16" i="19"/>
  <c r="V10" i="20"/>
  <c r="V11" i="20"/>
  <c r="V12" i="20"/>
  <c r="V13" i="20"/>
  <c r="V14" i="20"/>
  <c r="V15" i="20"/>
  <c r="V16" i="20"/>
  <c r="V10" i="21"/>
  <c r="V11" i="21"/>
  <c r="V12" i="21"/>
  <c r="V13" i="21"/>
  <c r="V14" i="21"/>
  <c r="V15" i="21"/>
  <c r="V16" i="21"/>
  <c r="V10" i="22"/>
  <c r="V11" i="22"/>
  <c r="V12" i="22"/>
  <c r="V13" i="22"/>
  <c r="V14" i="22"/>
  <c r="V15" i="22"/>
  <c r="V16" i="22"/>
  <c r="V10" i="23"/>
  <c r="V11" i="23"/>
  <c r="V12" i="23"/>
  <c r="V13" i="23"/>
  <c r="V14" i="23"/>
  <c r="V15" i="23"/>
  <c r="V16" i="23"/>
  <c r="V10" i="24"/>
  <c r="V11" i="24"/>
  <c r="V12" i="24"/>
  <c r="V13" i="24"/>
  <c r="V14" i="24"/>
  <c r="V15" i="24"/>
  <c r="V16" i="24"/>
  <c r="V10" i="25"/>
  <c r="V11" i="25"/>
  <c r="V12" i="25"/>
  <c r="V13" i="25"/>
  <c r="V14" i="25"/>
  <c r="V15" i="25"/>
  <c r="V16" i="25"/>
  <c r="V10" i="26"/>
  <c r="V11" i="26"/>
  <c r="V12" i="26"/>
  <c r="V13" i="26"/>
  <c r="V14" i="26"/>
  <c r="V15" i="26"/>
  <c r="V16" i="26"/>
  <c r="V10" i="27"/>
  <c r="V11" i="27"/>
  <c r="V12" i="27"/>
  <c r="V13" i="27"/>
  <c r="V14" i="27"/>
  <c r="V15" i="27"/>
  <c r="V16" i="27"/>
  <c r="V10" i="28"/>
  <c r="V11" i="28"/>
  <c r="V12" i="28"/>
  <c r="V13" i="28"/>
  <c r="V14" i="28"/>
  <c r="V15" i="28"/>
  <c r="V16" i="28"/>
  <c r="V10" i="29"/>
  <c r="V11" i="29"/>
  <c r="V12" i="29"/>
  <c r="V13" i="29"/>
  <c r="V14" i="29"/>
  <c r="V15" i="29"/>
  <c r="V16" i="29"/>
  <c r="V10" i="30"/>
  <c r="V11" i="30"/>
  <c r="V12" i="30"/>
  <c r="V13" i="30"/>
  <c r="V14" i="30"/>
  <c r="V15" i="30"/>
  <c r="V16" i="30"/>
  <c r="V10" i="31"/>
  <c r="V11" i="31"/>
  <c r="V12" i="31"/>
  <c r="V13" i="31"/>
  <c r="V14" i="31"/>
  <c r="V15" i="31"/>
  <c r="V16" i="31"/>
  <c r="V10" i="1"/>
  <c r="V11" i="1"/>
  <c r="V12" i="1"/>
  <c r="V13" i="1"/>
  <c r="V14" i="1"/>
  <c r="V15" i="1"/>
  <c r="V16" i="1"/>
  <c r="J12" i="2"/>
  <c r="J13" i="2"/>
  <c r="J14" i="2"/>
  <c r="J15" i="2"/>
  <c r="J16" i="2"/>
  <c r="J12" i="3"/>
  <c r="J13" i="3"/>
  <c r="J14" i="3"/>
  <c r="J15" i="3"/>
  <c r="J16" i="3"/>
  <c r="J12" i="4"/>
  <c r="J13" i="4"/>
  <c r="J14" i="4"/>
  <c r="J15" i="4"/>
  <c r="J16" i="4"/>
  <c r="J12" i="5"/>
  <c r="J13" i="5"/>
  <c r="J14" i="5"/>
  <c r="J15" i="5"/>
  <c r="J16" i="5"/>
  <c r="J12" i="6"/>
  <c r="J13" i="6"/>
  <c r="J14" i="6"/>
  <c r="J15" i="6"/>
  <c r="J16" i="6"/>
  <c r="J13" i="7"/>
  <c r="J12" i="8"/>
  <c r="J13" i="8"/>
  <c r="J12" i="10"/>
  <c r="J13" i="10"/>
  <c r="J12" i="11"/>
  <c r="J12" i="12"/>
  <c r="J13" i="12"/>
  <c r="J14" i="12"/>
  <c r="J15" i="12"/>
  <c r="J16" i="12"/>
  <c r="J12" i="13"/>
  <c r="J13" i="13"/>
  <c r="J14" i="13"/>
  <c r="J15" i="13"/>
  <c r="J16" i="13"/>
  <c r="J12" i="14"/>
  <c r="J13" i="14"/>
  <c r="J14" i="14"/>
  <c r="J15" i="14"/>
  <c r="J16" i="14"/>
  <c r="J12" i="15"/>
  <c r="J13" i="15"/>
  <c r="J12" i="16"/>
  <c r="J15" i="16"/>
  <c r="J16" i="16"/>
  <c r="J12" i="17"/>
  <c r="J13" i="17"/>
  <c r="J14" i="17"/>
  <c r="J15" i="17"/>
  <c r="J16" i="17"/>
  <c r="J13" i="18"/>
  <c r="J14" i="18"/>
  <c r="J15" i="18"/>
  <c r="J16" i="18"/>
  <c r="J12" i="19"/>
  <c r="J13" i="19"/>
  <c r="J14" i="19"/>
  <c r="J15" i="19"/>
  <c r="J16" i="19"/>
  <c r="J12" i="20"/>
  <c r="J13" i="20"/>
  <c r="J14" i="20"/>
  <c r="J15" i="20"/>
  <c r="J16" i="20"/>
  <c r="J12" i="21"/>
  <c r="J13" i="21"/>
  <c r="J14" i="21"/>
  <c r="J15" i="21"/>
  <c r="J16" i="21"/>
  <c r="J12" i="22"/>
  <c r="J12" i="23"/>
  <c r="J13" i="23"/>
  <c r="J14" i="23"/>
  <c r="J15" i="23"/>
  <c r="J16" i="23"/>
  <c r="J12" i="24"/>
  <c r="J13" i="24"/>
  <c r="J14" i="24"/>
  <c r="J15" i="24"/>
  <c r="J16" i="24"/>
  <c r="J12" i="25"/>
  <c r="J13" i="25"/>
  <c r="J14" i="25"/>
  <c r="J15" i="25"/>
  <c r="J16" i="25"/>
  <c r="J12" i="26"/>
  <c r="J13" i="26"/>
  <c r="J14" i="26"/>
  <c r="J15" i="26"/>
  <c r="J16" i="26"/>
  <c r="J12" i="27"/>
  <c r="J13" i="27"/>
  <c r="J14" i="27"/>
  <c r="J15" i="27"/>
  <c r="J16" i="27"/>
  <c r="J12" i="28"/>
  <c r="J13" i="28"/>
  <c r="J14" i="28"/>
  <c r="J15" i="28"/>
  <c r="J16" i="28"/>
  <c r="J12" i="29"/>
  <c r="J13" i="29"/>
  <c r="J14" i="29"/>
  <c r="J15" i="29"/>
  <c r="J16" i="29"/>
  <c r="J12" i="30"/>
  <c r="J13" i="30"/>
  <c r="J14" i="30"/>
  <c r="J15" i="30"/>
  <c r="J16" i="30"/>
  <c r="J12" i="31"/>
  <c r="J13" i="31"/>
  <c r="J14" i="31"/>
  <c r="J15" i="31"/>
  <c r="J16" i="31"/>
  <c r="J12" i="1"/>
  <c r="J13" i="1"/>
  <c r="J16" i="1"/>
  <c r="V17" i="30"/>
  <c r="Z17" i="30" s="1"/>
  <c r="K22" i="31" l="1"/>
  <c r="U21" i="31"/>
  <c r="U22" i="31" s="1"/>
  <c r="T21" i="31"/>
  <c r="T22" i="31" s="1"/>
  <c r="S21" i="31"/>
  <c r="S22" i="31" s="1"/>
  <c r="R21" i="31"/>
  <c r="R22" i="31" s="1"/>
  <c r="Q21" i="31"/>
  <c r="Q22" i="31" s="1"/>
  <c r="P21" i="31"/>
  <c r="P22" i="31" s="1"/>
  <c r="O21" i="31"/>
  <c r="O22" i="31" s="1"/>
  <c r="I21" i="31"/>
  <c r="I22" i="31" s="1"/>
  <c r="H21" i="31"/>
  <c r="H22" i="31" s="1"/>
  <c r="G21" i="31"/>
  <c r="G22" i="31" s="1"/>
  <c r="F21" i="31"/>
  <c r="F22" i="31" s="1"/>
  <c r="E21" i="31"/>
  <c r="E22" i="31" s="1"/>
  <c r="D21" i="31"/>
  <c r="D22" i="31" s="1"/>
  <c r="C21" i="31"/>
  <c r="C22" i="31" s="1"/>
  <c r="Z20" i="31"/>
  <c r="J20" i="31"/>
  <c r="Y20" i="31" s="1"/>
  <c r="Z11" i="31"/>
  <c r="J11" i="31"/>
  <c r="Y11" i="31" s="1"/>
  <c r="Z10" i="31"/>
  <c r="J10" i="31"/>
  <c r="Y10" i="31" s="1"/>
  <c r="V9" i="31"/>
  <c r="Z9" i="31" s="1"/>
  <c r="J9" i="31"/>
  <c r="Y9" i="31" s="1"/>
  <c r="V8" i="31"/>
  <c r="Z8" i="31" s="1"/>
  <c r="J8" i="31"/>
  <c r="V7" i="31"/>
  <c r="Z7" i="31" s="1"/>
  <c r="J7" i="31"/>
  <c r="K23" i="30"/>
  <c r="J17" i="30"/>
  <c r="J21" i="30"/>
  <c r="AA20" i="31" l="1"/>
  <c r="AA11" i="31"/>
  <c r="AA9" i="31"/>
  <c r="Y8" i="31"/>
  <c r="AA8" i="31" s="1"/>
  <c r="J22" i="31"/>
  <c r="AA10" i="31"/>
  <c r="Z21" i="31"/>
  <c r="Z22" i="31" s="1"/>
  <c r="J21" i="31"/>
  <c r="V21" i="31"/>
  <c r="V22" i="31" s="1"/>
  <c r="Y7" i="31"/>
  <c r="AA7" i="31" l="1"/>
  <c r="AA21" i="31" s="1"/>
  <c r="AA22" i="31" s="1"/>
  <c r="Y21" i="31"/>
  <c r="Y22" i="31" s="1"/>
  <c r="V17" i="29" l="1"/>
  <c r="V18" i="29"/>
  <c r="V19" i="29"/>
  <c r="V20" i="29"/>
  <c r="J17" i="29"/>
  <c r="O17" i="25"/>
  <c r="V17" i="25" s="1"/>
  <c r="Z17" i="27" l="1"/>
  <c r="J17" i="28" l="1"/>
  <c r="V17" i="24"/>
  <c r="J17" i="22" l="1"/>
  <c r="Y30" i="20"/>
  <c r="X27" i="20"/>
  <c r="W31" i="20" s="1"/>
  <c r="P19" i="20"/>
  <c r="Q19" i="20"/>
  <c r="R19" i="20"/>
  <c r="S19" i="20"/>
  <c r="T19" i="20"/>
  <c r="U19" i="20"/>
  <c r="O19" i="20"/>
  <c r="V18" i="20"/>
  <c r="I19" i="20" l="1"/>
  <c r="H19" i="20"/>
  <c r="G19" i="20"/>
  <c r="C19" i="20"/>
  <c r="F19" i="20"/>
  <c r="E19" i="20"/>
  <c r="D19" i="20"/>
  <c r="V17" i="20" l="1"/>
  <c r="Z18" i="20"/>
  <c r="J17" i="20"/>
  <c r="J18" i="20"/>
  <c r="Y18" i="20" s="1"/>
  <c r="J27" i="19"/>
  <c r="AA18" i="20" l="1"/>
  <c r="V17" i="17" l="1"/>
  <c r="J17" i="17"/>
  <c r="V12" i="12" l="1"/>
  <c r="V17" i="13"/>
  <c r="J17" i="15" l="1"/>
  <c r="J17" i="13" l="1"/>
  <c r="V17" i="12"/>
  <c r="V17" i="11"/>
  <c r="J17" i="12"/>
  <c r="V12" i="7"/>
  <c r="V17" i="6" l="1"/>
  <c r="J9" i="4" l="1"/>
  <c r="Z17" i="2" l="1"/>
  <c r="Z17" i="3"/>
  <c r="Z12" i="4"/>
  <c r="Z17" i="4"/>
  <c r="Z17" i="5"/>
  <c r="Z17" i="6"/>
  <c r="Z17" i="7"/>
  <c r="Z17" i="8"/>
  <c r="Z17" i="9"/>
  <c r="Z17" i="10"/>
  <c r="Z17" i="11"/>
  <c r="Z17" i="12"/>
  <c r="Z17" i="13"/>
  <c r="Z12" i="14"/>
  <c r="Z17" i="14"/>
  <c r="Z17" i="15"/>
  <c r="Z12" i="16"/>
  <c r="Z17" i="16"/>
  <c r="Z17" i="17"/>
  <c r="Z17" i="18"/>
  <c r="Z12" i="19"/>
  <c r="Z17" i="19"/>
  <c r="Z17" i="20"/>
  <c r="Z17" i="21"/>
  <c r="Z17" i="22"/>
  <c r="Z17" i="23"/>
  <c r="Z17" i="24"/>
  <c r="Z17" i="25"/>
  <c r="Z17" i="26"/>
  <c r="Z20" i="27"/>
  <c r="Z17" i="28"/>
  <c r="Z20" i="29"/>
  <c r="Z21" i="30"/>
  <c r="Z17" i="1"/>
  <c r="Y17" i="2"/>
  <c r="AA17" i="2" s="1"/>
  <c r="Y17" i="3"/>
  <c r="Y17" i="4"/>
  <c r="Y17" i="5"/>
  <c r="Y17" i="6"/>
  <c r="Y17" i="7"/>
  <c r="AA17" i="7" s="1"/>
  <c r="Y17" i="8"/>
  <c r="Y17" i="9"/>
  <c r="AA17" i="9" s="1"/>
  <c r="Y17" i="10"/>
  <c r="AA17" i="10" s="1"/>
  <c r="Y17" i="11"/>
  <c r="Y17" i="12"/>
  <c r="Y17" i="13"/>
  <c r="Y17" i="14"/>
  <c r="AA17" i="14" s="1"/>
  <c r="Y17" i="15"/>
  <c r="AA17" i="15" s="1"/>
  <c r="Y17" i="16"/>
  <c r="AA17" i="16" s="1"/>
  <c r="Y17" i="17"/>
  <c r="Y17" i="18"/>
  <c r="Y17" i="19"/>
  <c r="AA17" i="19" s="1"/>
  <c r="Y17" i="20"/>
  <c r="Y17" i="21"/>
  <c r="Y17" i="22"/>
  <c r="Y17" i="23"/>
  <c r="AA17" i="23" s="1"/>
  <c r="Y17" i="24"/>
  <c r="Y17" i="25"/>
  <c r="Y17" i="26"/>
  <c r="AA17" i="26" s="1"/>
  <c r="Y20" i="27"/>
  <c r="AA20" i="27" s="1"/>
  <c r="Y17" i="28"/>
  <c r="Y20" i="29"/>
  <c r="Y21" i="30"/>
  <c r="AA21" i="30" s="1"/>
  <c r="Y17" i="1"/>
  <c r="AA17" i="1" s="1"/>
  <c r="U18" i="2"/>
  <c r="U19" i="2" s="1"/>
  <c r="T18" i="2"/>
  <c r="T19" i="2" s="1"/>
  <c r="S18" i="2"/>
  <c r="S19" i="2" s="1"/>
  <c r="R18" i="2"/>
  <c r="R19" i="2" s="1"/>
  <c r="Q18" i="2"/>
  <c r="Q19" i="2" s="1"/>
  <c r="P18" i="2"/>
  <c r="P19" i="2" s="1"/>
  <c r="O18" i="2"/>
  <c r="U18" i="3"/>
  <c r="U19" i="3" s="1"/>
  <c r="T18" i="3"/>
  <c r="T19" i="3" s="1"/>
  <c r="S18" i="3"/>
  <c r="S19" i="3" s="1"/>
  <c r="R18" i="3"/>
  <c r="R19" i="3" s="1"/>
  <c r="Q18" i="3"/>
  <c r="Q19" i="3" s="1"/>
  <c r="P18" i="3"/>
  <c r="P19" i="3" s="1"/>
  <c r="O18" i="3"/>
  <c r="O19" i="3" s="1"/>
  <c r="U18" i="4"/>
  <c r="U19" i="4" s="1"/>
  <c r="T18" i="4"/>
  <c r="T19" i="4" s="1"/>
  <c r="S18" i="4"/>
  <c r="S19" i="4" s="1"/>
  <c r="R18" i="4"/>
  <c r="R19" i="4" s="1"/>
  <c r="Q18" i="4"/>
  <c r="Q19" i="4" s="1"/>
  <c r="P18" i="4"/>
  <c r="P19" i="4" s="1"/>
  <c r="O18" i="4"/>
  <c r="O19" i="4" s="1"/>
  <c r="U18" i="5"/>
  <c r="U19" i="5" s="1"/>
  <c r="T18" i="5"/>
  <c r="T19" i="5" s="1"/>
  <c r="S18" i="5"/>
  <c r="S19" i="5" s="1"/>
  <c r="R18" i="5"/>
  <c r="R19" i="5" s="1"/>
  <c r="Q18" i="5"/>
  <c r="Q19" i="5" s="1"/>
  <c r="P18" i="5"/>
  <c r="P19" i="5" s="1"/>
  <c r="O18" i="5"/>
  <c r="U18" i="6"/>
  <c r="U19" i="6" s="1"/>
  <c r="T18" i="6"/>
  <c r="T19" i="6" s="1"/>
  <c r="S18" i="6"/>
  <c r="S19" i="6" s="1"/>
  <c r="R18" i="6"/>
  <c r="R19" i="6" s="1"/>
  <c r="Q18" i="6"/>
  <c r="Q19" i="6" s="1"/>
  <c r="P18" i="6"/>
  <c r="P19" i="6" s="1"/>
  <c r="O18" i="6"/>
  <c r="U19" i="7"/>
  <c r="T19" i="7"/>
  <c r="S19" i="7"/>
  <c r="R19" i="7"/>
  <c r="Q19" i="7"/>
  <c r="P19" i="7"/>
  <c r="O19" i="7"/>
  <c r="U18" i="8"/>
  <c r="U19" i="8" s="1"/>
  <c r="T18" i="8"/>
  <c r="T19" i="8" s="1"/>
  <c r="S18" i="8"/>
  <c r="S19" i="8" s="1"/>
  <c r="R18" i="8"/>
  <c r="R19" i="8" s="1"/>
  <c r="Q18" i="8"/>
  <c r="Q19" i="8" s="1"/>
  <c r="P18" i="8"/>
  <c r="P19" i="8" s="1"/>
  <c r="O18" i="8"/>
  <c r="O19" i="8" s="1"/>
  <c r="U18" i="9"/>
  <c r="U19" i="9" s="1"/>
  <c r="T18" i="9"/>
  <c r="T19" i="9" s="1"/>
  <c r="S18" i="9"/>
  <c r="S19" i="9" s="1"/>
  <c r="R18" i="9"/>
  <c r="R19" i="9" s="1"/>
  <c r="Q18" i="9"/>
  <c r="Q19" i="9" s="1"/>
  <c r="P18" i="9"/>
  <c r="P19" i="9" s="1"/>
  <c r="O18" i="9"/>
  <c r="U18" i="10"/>
  <c r="U19" i="10" s="1"/>
  <c r="T18" i="10"/>
  <c r="T19" i="10" s="1"/>
  <c r="S18" i="10"/>
  <c r="S19" i="10" s="1"/>
  <c r="R18" i="10"/>
  <c r="R19" i="10" s="1"/>
  <c r="Q18" i="10"/>
  <c r="Q19" i="10" s="1"/>
  <c r="P18" i="10"/>
  <c r="P19" i="10" s="1"/>
  <c r="O18" i="10"/>
  <c r="O19" i="10" s="1"/>
  <c r="U18" i="11"/>
  <c r="U19" i="11" s="1"/>
  <c r="T18" i="11"/>
  <c r="T19" i="11" s="1"/>
  <c r="S18" i="11"/>
  <c r="S19" i="11" s="1"/>
  <c r="R18" i="11"/>
  <c r="R19" i="11" s="1"/>
  <c r="Q18" i="11"/>
  <c r="Q19" i="11" s="1"/>
  <c r="P18" i="11"/>
  <c r="P19" i="11" s="1"/>
  <c r="O18" i="11"/>
  <c r="O19" i="11" s="1"/>
  <c r="U18" i="12"/>
  <c r="U19" i="12" s="1"/>
  <c r="T18" i="12"/>
  <c r="T19" i="12" s="1"/>
  <c r="S18" i="12"/>
  <c r="S19" i="12" s="1"/>
  <c r="R18" i="12"/>
  <c r="R19" i="12" s="1"/>
  <c r="Q18" i="12"/>
  <c r="Q19" i="12" s="1"/>
  <c r="P18" i="12"/>
  <c r="P19" i="12" s="1"/>
  <c r="O18" i="12"/>
  <c r="O19" i="12" s="1"/>
  <c r="U18" i="13"/>
  <c r="U19" i="13" s="1"/>
  <c r="T18" i="13"/>
  <c r="T19" i="13" s="1"/>
  <c r="S18" i="13"/>
  <c r="S19" i="13" s="1"/>
  <c r="R18" i="13"/>
  <c r="R19" i="13" s="1"/>
  <c r="Q18" i="13"/>
  <c r="Q19" i="13" s="1"/>
  <c r="P18" i="13"/>
  <c r="P19" i="13" s="1"/>
  <c r="O18" i="13"/>
  <c r="U18" i="14"/>
  <c r="U19" i="14" s="1"/>
  <c r="T18" i="14"/>
  <c r="T19" i="14" s="1"/>
  <c r="S18" i="14"/>
  <c r="S19" i="14" s="1"/>
  <c r="R18" i="14"/>
  <c r="R19" i="14" s="1"/>
  <c r="Q18" i="14"/>
  <c r="Q19" i="14" s="1"/>
  <c r="P18" i="14"/>
  <c r="P19" i="14" s="1"/>
  <c r="O18" i="14"/>
  <c r="O19" i="14" s="1"/>
  <c r="U18" i="15"/>
  <c r="U19" i="15" s="1"/>
  <c r="T18" i="15"/>
  <c r="T19" i="15" s="1"/>
  <c r="S18" i="15"/>
  <c r="S19" i="15" s="1"/>
  <c r="R18" i="15"/>
  <c r="R19" i="15" s="1"/>
  <c r="Q18" i="15"/>
  <c r="Q19" i="15" s="1"/>
  <c r="P18" i="15"/>
  <c r="P19" i="15" s="1"/>
  <c r="O18" i="15"/>
  <c r="O19" i="15" s="1"/>
  <c r="U18" i="16"/>
  <c r="U19" i="16" s="1"/>
  <c r="T18" i="16"/>
  <c r="T19" i="16" s="1"/>
  <c r="S18" i="16"/>
  <c r="S19" i="16" s="1"/>
  <c r="R18" i="16"/>
  <c r="R19" i="16" s="1"/>
  <c r="Q18" i="16"/>
  <c r="Q19" i="16" s="1"/>
  <c r="P18" i="16"/>
  <c r="P19" i="16" s="1"/>
  <c r="O18" i="16"/>
  <c r="O19" i="16" s="1"/>
  <c r="U18" i="17"/>
  <c r="U19" i="17" s="1"/>
  <c r="T18" i="17"/>
  <c r="T19" i="17" s="1"/>
  <c r="S18" i="17"/>
  <c r="S19" i="17" s="1"/>
  <c r="R18" i="17"/>
  <c r="R19" i="17" s="1"/>
  <c r="Q18" i="17"/>
  <c r="Q19" i="17" s="1"/>
  <c r="P18" i="17"/>
  <c r="P19" i="17" s="1"/>
  <c r="O18" i="17"/>
  <c r="U18" i="18"/>
  <c r="U19" i="18" s="1"/>
  <c r="T18" i="18"/>
  <c r="T19" i="18" s="1"/>
  <c r="S18" i="18"/>
  <c r="S19" i="18" s="1"/>
  <c r="R18" i="18"/>
  <c r="R19" i="18" s="1"/>
  <c r="Q18" i="18"/>
  <c r="Q19" i="18" s="1"/>
  <c r="P18" i="18"/>
  <c r="P19" i="18" s="1"/>
  <c r="O18" i="18"/>
  <c r="O19" i="18" s="1"/>
  <c r="U18" i="19"/>
  <c r="U19" i="19" s="1"/>
  <c r="T18" i="19"/>
  <c r="T19" i="19" s="1"/>
  <c r="S18" i="19"/>
  <c r="S19" i="19" s="1"/>
  <c r="R18" i="19"/>
  <c r="R19" i="19" s="1"/>
  <c r="Q18" i="19"/>
  <c r="Q19" i="19" s="1"/>
  <c r="P18" i="19"/>
  <c r="P19" i="19" s="1"/>
  <c r="O18" i="19"/>
  <c r="O19" i="19" s="1"/>
  <c r="O20" i="20"/>
  <c r="U18" i="21"/>
  <c r="U19" i="21" s="1"/>
  <c r="T18" i="21"/>
  <c r="T19" i="21" s="1"/>
  <c r="S18" i="21"/>
  <c r="S19" i="21" s="1"/>
  <c r="R18" i="21"/>
  <c r="R19" i="21" s="1"/>
  <c r="Q18" i="21"/>
  <c r="Q19" i="21" s="1"/>
  <c r="P18" i="21"/>
  <c r="P19" i="21" s="1"/>
  <c r="O18" i="21"/>
  <c r="U18" i="22"/>
  <c r="U19" i="22" s="1"/>
  <c r="T18" i="22"/>
  <c r="T19" i="22" s="1"/>
  <c r="S18" i="22"/>
  <c r="S19" i="22" s="1"/>
  <c r="R18" i="22"/>
  <c r="R19" i="22" s="1"/>
  <c r="Q18" i="22"/>
  <c r="Q19" i="22" s="1"/>
  <c r="P18" i="22"/>
  <c r="P19" i="22" s="1"/>
  <c r="O18" i="22"/>
  <c r="O19" i="22" s="1"/>
  <c r="U18" i="23"/>
  <c r="U19" i="23" s="1"/>
  <c r="T18" i="23"/>
  <c r="T19" i="23" s="1"/>
  <c r="S18" i="23"/>
  <c r="S19" i="23" s="1"/>
  <c r="R18" i="23"/>
  <c r="R19" i="23" s="1"/>
  <c r="Q18" i="23"/>
  <c r="Q19" i="23" s="1"/>
  <c r="P18" i="23"/>
  <c r="P19" i="23" s="1"/>
  <c r="O18" i="23"/>
  <c r="O19" i="23" s="1"/>
  <c r="U18" i="24"/>
  <c r="U19" i="24" s="1"/>
  <c r="T18" i="24"/>
  <c r="T19" i="24" s="1"/>
  <c r="S18" i="24"/>
  <c r="S19" i="24" s="1"/>
  <c r="R18" i="24"/>
  <c r="R19" i="24" s="1"/>
  <c r="Q18" i="24"/>
  <c r="Q19" i="24" s="1"/>
  <c r="P18" i="24"/>
  <c r="P19" i="24" s="1"/>
  <c r="O18" i="24"/>
  <c r="O19" i="24" s="1"/>
  <c r="U18" i="25"/>
  <c r="U19" i="25" s="1"/>
  <c r="T18" i="25"/>
  <c r="T19" i="25" s="1"/>
  <c r="S18" i="25"/>
  <c r="S19" i="25" s="1"/>
  <c r="R18" i="25"/>
  <c r="R19" i="25" s="1"/>
  <c r="Q18" i="25"/>
  <c r="Q19" i="25" s="1"/>
  <c r="P18" i="25"/>
  <c r="P19" i="25" s="1"/>
  <c r="O18" i="25"/>
  <c r="U18" i="26"/>
  <c r="U19" i="26" s="1"/>
  <c r="T18" i="26"/>
  <c r="T19" i="26" s="1"/>
  <c r="S18" i="26"/>
  <c r="S19" i="26" s="1"/>
  <c r="R18" i="26"/>
  <c r="R19" i="26" s="1"/>
  <c r="Q18" i="26"/>
  <c r="Q19" i="26" s="1"/>
  <c r="P18" i="26"/>
  <c r="P19" i="26" s="1"/>
  <c r="O18" i="26"/>
  <c r="O19" i="26" s="1"/>
  <c r="U21" i="27"/>
  <c r="U22" i="27" s="1"/>
  <c r="T21" i="27"/>
  <c r="T22" i="27" s="1"/>
  <c r="S21" i="27"/>
  <c r="S22" i="27" s="1"/>
  <c r="R21" i="27"/>
  <c r="R22" i="27" s="1"/>
  <c r="Q21" i="27"/>
  <c r="Q22" i="27" s="1"/>
  <c r="P21" i="27"/>
  <c r="P22" i="27" s="1"/>
  <c r="O21" i="27"/>
  <c r="O22" i="27" s="1"/>
  <c r="U21" i="28"/>
  <c r="U22" i="28" s="1"/>
  <c r="T21" i="28"/>
  <c r="T22" i="28" s="1"/>
  <c r="S21" i="28"/>
  <c r="S22" i="28" s="1"/>
  <c r="R21" i="28"/>
  <c r="R22" i="28" s="1"/>
  <c r="Q21" i="28"/>
  <c r="Q22" i="28" s="1"/>
  <c r="P21" i="28"/>
  <c r="P22" i="28" s="1"/>
  <c r="O21" i="28"/>
  <c r="O22" i="28" s="1"/>
  <c r="U21" i="29"/>
  <c r="U22" i="29" s="1"/>
  <c r="T21" i="29"/>
  <c r="T22" i="29" s="1"/>
  <c r="S21" i="29"/>
  <c r="S22" i="29" s="1"/>
  <c r="R21" i="29"/>
  <c r="R22" i="29" s="1"/>
  <c r="Q21" i="29"/>
  <c r="Q22" i="29" s="1"/>
  <c r="P21" i="29"/>
  <c r="P22" i="29" s="1"/>
  <c r="O21" i="29"/>
  <c r="U22" i="30"/>
  <c r="U23" i="30" s="1"/>
  <c r="T22" i="30"/>
  <c r="T23" i="30" s="1"/>
  <c r="S22" i="30"/>
  <c r="S23" i="30" s="1"/>
  <c r="R22" i="30"/>
  <c r="R23" i="30" s="1"/>
  <c r="Q22" i="30"/>
  <c r="Q23" i="30" s="1"/>
  <c r="P22" i="30"/>
  <c r="P23" i="30" s="1"/>
  <c r="O22" i="30"/>
  <c r="O23" i="30" s="1"/>
  <c r="U18" i="1"/>
  <c r="U19" i="1" s="1"/>
  <c r="T18" i="1"/>
  <c r="T19" i="1" s="1"/>
  <c r="S18" i="1"/>
  <c r="S19" i="1" s="1"/>
  <c r="R18" i="1"/>
  <c r="R19" i="1" s="1"/>
  <c r="Q18" i="1"/>
  <c r="Q19" i="1" s="1"/>
  <c r="P18" i="1"/>
  <c r="P19" i="1" s="1"/>
  <c r="O18" i="1"/>
  <c r="O19" i="1" s="1"/>
  <c r="I18" i="2"/>
  <c r="I19" i="2" s="1"/>
  <c r="I18" i="3"/>
  <c r="I19" i="3" s="1"/>
  <c r="I18" i="4"/>
  <c r="I19" i="4" s="1"/>
  <c r="I18" i="5"/>
  <c r="I19" i="5" s="1"/>
  <c r="I18" i="6"/>
  <c r="I19" i="6" s="1"/>
  <c r="I18" i="7"/>
  <c r="I19" i="7" s="1"/>
  <c r="I18" i="8"/>
  <c r="I19" i="8" s="1"/>
  <c r="I18" i="9"/>
  <c r="I19" i="9" s="1"/>
  <c r="I18" i="10"/>
  <c r="I19" i="10" s="1"/>
  <c r="I18" i="11"/>
  <c r="I19" i="11" s="1"/>
  <c r="I18" i="12"/>
  <c r="I19" i="12" s="1"/>
  <c r="I18" i="13"/>
  <c r="I19" i="13" s="1"/>
  <c r="I18" i="14"/>
  <c r="I19" i="14" s="1"/>
  <c r="I18" i="15"/>
  <c r="I19" i="15" s="1"/>
  <c r="I18" i="16"/>
  <c r="I19" i="16" s="1"/>
  <c r="I18" i="17"/>
  <c r="I19" i="17" s="1"/>
  <c r="I18" i="18"/>
  <c r="I19" i="18" s="1"/>
  <c r="I18" i="19"/>
  <c r="I19" i="19" s="1"/>
  <c r="I20" i="20"/>
  <c r="I18" i="21"/>
  <c r="I19" i="21" s="1"/>
  <c r="I18" i="22"/>
  <c r="I19" i="22" s="1"/>
  <c r="I18" i="23"/>
  <c r="I19" i="23" s="1"/>
  <c r="I18" i="24"/>
  <c r="I19" i="24" s="1"/>
  <c r="I18" i="25"/>
  <c r="I19" i="25" s="1"/>
  <c r="I18" i="26"/>
  <c r="I19" i="26" s="1"/>
  <c r="I21" i="27"/>
  <c r="I22" i="27" s="1"/>
  <c r="I21" i="28"/>
  <c r="I22" i="28" s="1"/>
  <c r="I21" i="29"/>
  <c r="I22" i="29" s="1"/>
  <c r="I22" i="30"/>
  <c r="I23" i="30" s="1"/>
  <c r="I18" i="1"/>
  <c r="I19" i="1" s="1"/>
  <c r="H18" i="2"/>
  <c r="H19" i="2" s="1"/>
  <c r="H18" i="3"/>
  <c r="H19" i="3" s="1"/>
  <c r="H18" i="4"/>
  <c r="H19" i="4" s="1"/>
  <c r="H18" i="5"/>
  <c r="H19" i="5" s="1"/>
  <c r="H18" i="6"/>
  <c r="H19" i="6" s="1"/>
  <c r="H18" i="7"/>
  <c r="H19" i="7" s="1"/>
  <c r="H18" i="8"/>
  <c r="H19" i="8" s="1"/>
  <c r="H18" i="9"/>
  <c r="H19" i="9" s="1"/>
  <c r="H18" i="10"/>
  <c r="H19" i="10" s="1"/>
  <c r="H18" i="11"/>
  <c r="H19" i="11" s="1"/>
  <c r="H18" i="12"/>
  <c r="H19" i="12" s="1"/>
  <c r="H18" i="13"/>
  <c r="H19" i="13" s="1"/>
  <c r="H18" i="14"/>
  <c r="H19" i="14" s="1"/>
  <c r="H18" i="15"/>
  <c r="H19" i="15" s="1"/>
  <c r="H18" i="16"/>
  <c r="H19" i="16" s="1"/>
  <c r="H18" i="17"/>
  <c r="H19" i="17" s="1"/>
  <c r="H18" i="18"/>
  <c r="H19" i="18" s="1"/>
  <c r="H18" i="19"/>
  <c r="H19" i="19" s="1"/>
  <c r="H20" i="20"/>
  <c r="H18" i="21"/>
  <c r="H19" i="21" s="1"/>
  <c r="H18" i="22"/>
  <c r="H19" i="22" s="1"/>
  <c r="H18" i="23"/>
  <c r="H19" i="23" s="1"/>
  <c r="H18" i="24"/>
  <c r="H19" i="24" s="1"/>
  <c r="H18" i="25"/>
  <c r="H19" i="25" s="1"/>
  <c r="H18" i="26"/>
  <c r="H19" i="26" s="1"/>
  <c r="H21" i="27"/>
  <c r="H22" i="27" s="1"/>
  <c r="H21" i="28"/>
  <c r="H22" i="28" s="1"/>
  <c r="H21" i="29"/>
  <c r="H22" i="29" s="1"/>
  <c r="H22" i="30"/>
  <c r="H23" i="30" s="1"/>
  <c r="H18" i="1"/>
  <c r="H19" i="1" s="1"/>
  <c r="G18" i="2"/>
  <c r="G19" i="2" s="1"/>
  <c r="G18" i="3"/>
  <c r="G19" i="3" s="1"/>
  <c r="G18" i="4"/>
  <c r="G19" i="4" s="1"/>
  <c r="G18" i="5"/>
  <c r="G19" i="5" s="1"/>
  <c r="G18" i="6"/>
  <c r="G19" i="6" s="1"/>
  <c r="G18" i="7"/>
  <c r="G19" i="7" s="1"/>
  <c r="G18" i="8"/>
  <c r="G19" i="8" s="1"/>
  <c r="G18" i="9"/>
  <c r="G19" i="9" s="1"/>
  <c r="G18" i="10"/>
  <c r="G19" i="10" s="1"/>
  <c r="G18" i="11"/>
  <c r="G19" i="11" s="1"/>
  <c r="G18" i="12"/>
  <c r="G19" i="12" s="1"/>
  <c r="G18" i="13"/>
  <c r="G19" i="13" s="1"/>
  <c r="G18" i="14"/>
  <c r="G19" i="14" s="1"/>
  <c r="G18" i="15"/>
  <c r="G19" i="15" s="1"/>
  <c r="G18" i="16"/>
  <c r="G19" i="16" s="1"/>
  <c r="G18" i="17"/>
  <c r="G19" i="17" s="1"/>
  <c r="G18" i="18"/>
  <c r="G19" i="18" s="1"/>
  <c r="G18" i="19"/>
  <c r="G19" i="19" s="1"/>
  <c r="G20" i="20"/>
  <c r="G18" i="21"/>
  <c r="G19" i="21" s="1"/>
  <c r="G18" i="22"/>
  <c r="G19" i="22" s="1"/>
  <c r="G18" i="23"/>
  <c r="G19" i="23" s="1"/>
  <c r="G18" i="24"/>
  <c r="G19" i="24" s="1"/>
  <c r="G18" i="25"/>
  <c r="G19" i="25" s="1"/>
  <c r="G18" i="26"/>
  <c r="G19" i="26" s="1"/>
  <c r="G21" i="27"/>
  <c r="G22" i="27" s="1"/>
  <c r="G21" i="28"/>
  <c r="G22" i="28" s="1"/>
  <c r="G21" i="29"/>
  <c r="G22" i="29" s="1"/>
  <c r="G22" i="30"/>
  <c r="G23" i="30" s="1"/>
  <c r="G18" i="1"/>
  <c r="G19" i="1" s="1"/>
  <c r="F18" i="2"/>
  <c r="F19" i="2" s="1"/>
  <c r="F18" i="3"/>
  <c r="F19" i="3" s="1"/>
  <c r="F18" i="4"/>
  <c r="F19" i="4" s="1"/>
  <c r="F18" i="5"/>
  <c r="F19" i="5" s="1"/>
  <c r="F18" i="6"/>
  <c r="F18" i="7"/>
  <c r="F19" i="7" s="1"/>
  <c r="F18" i="8"/>
  <c r="F19" i="8" s="1"/>
  <c r="F18" i="9"/>
  <c r="F19" i="9" s="1"/>
  <c r="F18" i="10"/>
  <c r="F19" i="10" s="1"/>
  <c r="F18" i="11"/>
  <c r="F19" i="11" s="1"/>
  <c r="F18" i="12"/>
  <c r="F19" i="12" s="1"/>
  <c r="F18" i="13"/>
  <c r="F19" i="13" s="1"/>
  <c r="F18" i="14"/>
  <c r="F18" i="15"/>
  <c r="F19" i="15" s="1"/>
  <c r="F18" i="16"/>
  <c r="F19" i="16" s="1"/>
  <c r="F18" i="17"/>
  <c r="F19" i="17" s="1"/>
  <c r="F18" i="18"/>
  <c r="F19" i="18" s="1"/>
  <c r="F18" i="19"/>
  <c r="F19" i="19" s="1"/>
  <c r="F20" i="20"/>
  <c r="F18" i="21"/>
  <c r="F19" i="21" s="1"/>
  <c r="F18" i="22"/>
  <c r="F18" i="23"/>
  <c r="F19" i="23" s="1"/>
  <c r="F18" i="24"/>
  <c r="F19" i="24" s="1"/>
  <c r="F18" i="25"/>
  <c r="F19" i="25" s="1"/>
  <c r="F18" i="26"/>
  <c r="F21" i="27"/>
  <c r="F22" i="27" s="1"/>
  <c r="F21" i="28"/>
  <c r="F22" i="28" s="1"/>
  <c r="F21" i="29"/>
  <c r="F22" i="29" s="1"/>
  <c r="F22" i="30"/>
  <c r="F23" i="30" s="1"/>
  <c r="F18" i="1"/>
  <c r="F19" i="1" s="1"/>
  <c r="E18" i="2"/>
  <c r="E19" i="2" s="1"/>
  <c r="E18" i="3"/>
  <c r="E19" i="3" s="1"/>
  <c r="E18" i="4"/>
  <c r="E19" i="4" s="1"/>
  <c r="E18" i="5"/>
  <c r="E19" i="5" s="1"/>
  <c r="E18" i="6"/>
  <c r="E19" i="6" s="1"/>
  <c r="E18" i="7"/>
  <c r="E19" i="7" s="1"/>
  <c r="E18" i="8"/>
  <c r="E19" i="8" s="1"/>
  <c r="E18" i="9"/>
  <c r="E19" i="9" s="1"/>
  <c r="E18" i="10"/>
  <c r="E19" i="10" s="1"/>
  <c r="E18" i="11"/>
  <c r="E19" i="11" s="1"/>
  <c r="E18" i="12"/>
  <c r="E19" i="12" s="1"/>
  <c r="E18" i="13"/>
  <c r="E19" i="13" s="1"/>
  <c r="E18" i="14"/>
  <c r="E19" i="14" s="1"/>
  <c r="E18" i="15"/>
  <c r="E19" i="15" s="1"/>
  <c r="E18" i="16"/>
  <c r="E19" i="16" s="1"/>
  <c r="E18" i="17"/>
  <c r="E19" i="17" s="1"/>
  <c r="E18" i="18"/>
  <c r="E19" i="18" s="1"/>
  <c r="E18" i="19"/>
  <c r="E19" i="19" s="1"/>
  <c r="E20" i="20"/>
  <c r="E18" i="21"/>
  <c r="E19" i="21" s="1"/>
  <c r="E18" i="22"/>
  <c r="E19" i="22" s="1"/>
  <c r="E18" i="23"/>
  <c r="E19" i="23" s="1"/>
  <c r="E18" i="24"/>
  <c r="E19" i="24" s="1"/>
  <c r="E18" i="25"/>
  <c r="E19" i="25" s="1"/>
  <c r="E18" i="26"/>
  <c r="E19" i="26" s="1"/>
  <c r="E21" i="27"/>
  <c r="E22" i="27" s="1"/>
  <c r="E21" i="28"/>
  <c r="E22" i="28" s="1"/>
  <c r="E21" i="29"/>
  <c r="E22" i="29" s="1"/>
  <c r="E22" i="30"/>
  <c r="E23" i="30" s="1"/>
  <c r="E18" i="1"/>
  <c r="E19" i="1" s="1"/>
  <c r="D18" i="2"/>
  <c r="D19" i="2" s="1"/>
  <c r="D18" i="3"/>
  <c r="D19" i="3" s="1"/>
  <c r="D18" i="4"/>
  <c r="D19" i="4" s="1"/>
  <c r="D18" i="5"/>
  <c r="D19" i="5" s="1"/>
  <c r="D18" i="6"/>
  <c r="D19" i="6" s="1"/>
  <c r="D18" i="7"/>
  <c r="D19" i="7" s="1"/>
  <c r="D18" i="8"/>
  <c r="D19" i="8" s="1"/>
  <c r="D18" i="9"/>
  <c r="D19" i="9" s="1"/>
  <c r="D18" i="10"/>
  <c r="D19" i="10" s="1"/>
  <c r="D18" i="11"/>
  <c r="D19" i="11" s="1"/>
  <c r="D18" i="12"/>
  <c r="D19" i="12" s="1"/>
  <c r="D18" i="13"/>
  <c r="D19" i="13" s="1"/>
  <c r="D18" i="14"/>
  <c r="D19" i="14" s="1"/>
  <c r="D18" i="15"/>
  <c r="D19" i="15" s="1"/>
  <c r="D18" i="16"/>
  <c r="D19" i="16" s="1"/>
  <c r="D18" i="17"/>
  <c r="D19" i="17" s="1"/>
  <c r="D18" i="18"/>
  <c r="D19" i="18" s="1"/>
  <c r="D18" i="19"/>
  <c r="D19" i="19" s="1"/>
  <c r="D20" i="20"/>
  <c r="D18" i="21"/>
  <c r="D19" i="21" s="1"/>
  <c r="D18" i="22"/>
  <c r="D19" i="22" s="1"/>
  <c r="D18" i="23"/>
  <c r="D19" i="23" s="1"/>
  <c r="D18" i="24"/>
  <c r="D19" i="24" s="1"/>
  <c r="D18" i="25"/>
  <c r="D19" i="25" s="1"/>
  <c r="D18" i="26"/>
  <c r="D19" i="26" s="1"/>
  <c r="D21" i="27"/>
  <c r="D22" i="27" s="1"/>
  <c r="D21" i="28"/>
  <c r="D22" i="28" s="1"/>
  <c r="D21" i="29"/>
  <c r="D22" i="29" s="1"/>
  <c r="D22" i="30"/>
  <c r="D23" i="30" s="1"/>
  <c r="D18" i="1"/>
  <c r="D19" i="1" s="1"/>
  <c r="C18" i="2"/>
  <c r="C19" i="2" s="1"/>
  <c r="C18" i="3"/>
  <c r="C19" i="3" s="1"/>
  <c r="C18" i="4"/>
  <c r="C19" i="4" s="1"/>
  <c r="C18" i="5"/>
  <c r="C19" i="5" s="1"/>
  <c r="C18" i="6"/>
  <c r="C19" i="6" s="1"/>
  <c r="C18" i="7"/>
  <c r="C19" i="7" s="1"/>
  <c r="C18" i="8"/>
  <c r="C19" i="8" s="1"/>
  <c r="C18" i="9"/>
  <c r="C19" i="9" s="1"/>
  <c r="C18" i="10"/>
  <c r="C19" i="10" s="1"/>
  <c r="C18" i="11"/>
  <c r="C18" i="12"/>
  <c r="C19" i="12" s="1"/>
  <c r="C18" i="13"/>
  <c r="C19" i="13" s="1"/>
  <c r="C18" i="14"/>
  <c r="C19" i="14" s="1"/>
  <c r="C18" i="15"/>
  <c r="C18" i="16"/>
  <c r="C19" i="16" s="1"/>
  <c r="C18" i="17"/>
  <c r="C18" i="18"/>
  <c r="C19" i="18" s="1"/>
  <c r="C18" i="19"/>
  <c r="C19" i="19" s="1"/>
  <c r="C20" i="20"/>
  <c r="C18" i="21"/>
  <c r="C19" i="21" s="1"/>
  <c r="C18" i="22"/>
  <c r="C19" i="22" s="1"/>
  <c r="C18" i="23"/>
  <c r="C19" i="23" s="1"/>
  <c r="C18" i="24"/>
  <c r="C19" i="24" s="1"/>
  <c r="C18" i="25"/>
  <c r="C18" i="26"/>
  <c r="C19" i="26" s="1"/>
  <c r="C21" i="27"/>
  <c r="C21" i="28"/>
  <c r="C22" i="28" s="1"/>
  <c r="C21" i="29"/>
  <c r="C22" i="30"/>
  <c r="C23" i="30" s="1"/>
  <c r="C18" i="1"/>
  <c r="V9" i="2"/>
  <c r="Z9" i="2" s="1"/>
  <c r="Z10" i="2"/>
  <c r="Z11" i="2"/>
  <c r="Z12" i="2"/>
  <c r="V9" i="3"/>
  <c r="Z9" i="3" s="1"/>
  <c r="Z10" i="3"/>
  <c r="Z11" i="3"/>
  <c r="Z12" i="3"/>
  <c r="V9" i="4"/>
  <c r="Z9" i="4" s="1"/>
  <c r="Z10" i="4"/>
  <c r="Z11" i="4"/>
  <c r="V9" i="5"/>
  <c r="Z9" i="5" s="1"/>
  <c r="Z10" i="5"/>
  <c r="Z11" i="5"/>
  <c r="Z12" i="5"/>
  <c r="V9" i="6"/>
  <c r="Z9" i="6" s="1"/>
  <c r="Z10" i="6"/>
  <c r="Z11" i="6"/>
  <c r="Z12" i="6"/>
  <c r="V9" i="7"/>
  <c r="Z9" i="7" s="1"/>
  <c r="Z10" i="7"/>
  <c r="Z11" i="7"/>
  <c r="Z12" i="7"/>
  <c r="V9" i="8"/>
  <c r="Z9" i="8" s="1"/>
  <c r="Z10" i="8"/>
  <c r="Z11" i="8"/>
  <c r="Z12" i="8"/>
  <c r="V9" i="9"/>
  <c r="Z9" i="9" s="1"/>
  <c r="Z10" i="9"/>
  <c r="Z11" i="9"/>
  <c r="Z12" i="9"/>
  <c r="V9" i="10"/>
  <c r="Z9" i="10" s="1"/>
  <c r="Z10" i="10"/>
  <c r="Z11" i="10"/>
  <c r="Z12" i="10"/>
  <c r="V9" i="11"/>
  <c r="Z9" i="11" s="1"/>
  <c r="Z10" i="11"/>
  <c r="Z11" i="11"/>
  <c r="Z12" i="11"/>
  <c r="V9" i="12"/>
  <c r="Z9" i="12" s="1"/>
  <c r="Z10" i="12"/>
  <c r="Z11" i="12"/>
  <c r="Z12" i="12"/>
  <c r="V9" i="13"/>
  <c r="Z9" i="13" s="1"/>
  <c r="Z10" i="13"/>
  <c r="Z11" i="13"/>
  <c r="Z12" i="13"/>
  <c r="V9" i="14"/>
  <c r="Z9" i="14" s="1"/>
  <c r="Z10" i="14"/>
  <c r="Z11" i="14"/>
  <c r="V9" i="15"/>
  <c r="Z9" i="15" s="1"/>
  <c r="Z10" i="15"/>
  <c r="Z11" i="15"/>
  <c r="Z12" i="15"/>
  <c r="V9" i="16"/>
  <c r="Z9" i="16" s="1"/>
  <c r="Z10" i="16"/>
  <c r="Z11" i="16"/>
  <c r="V9" i="17"/>
  <c r="Z9" i="17" s="1"/>
  <c r="Z10" i="17"/>
  <c r="Z11" i="17"/>
  <c r="Z12" i="17"/>
  <c r="V9" i="18"/>
  <c r="Z9" i="18" s="1"/>
  <c r="Z10" i="18"/>
  <c r="Z11" i="18"/>
  <c r="Z12" i="18"/>
  <c r="V9" i="19"/>
  <c r="Z9" i="19" s="1"/>
  <c r="Z10" i="19"/>
  <c r="Z11" i="19"/>
  <c r="V9" i="20"/>
  <c r="Z9" i="20" s="1"/>
  <c r="Z10" i="20"/>
  <c r="Z11" i="20"/>
  <c r="Z12" i="20"/>
  <c r="V9" i="21"/>
  <c r="Z9" i="21" s="1"/>
  <c r="Z10" i="21"/>
  <c r="Z11" i="21"/>
  <c r="Z12" i="21"/>
  <c r="V9" i="22"/>
  <c r="Z9" i="22" s="1"/>
  <c r="Z10" i="22"/>
  <c r="Z11" i="22"/>
  <c r="Z12" i="22"/>
  <c r="V9" i="23"/>
  <c r="Z9" i="23" s="1"/>
  <c r="Z10" i="23"/>
  <c r="Z11" i="23"/>
  <c r="Z12" i="23"/>
  <c r="V9" i="24"/>
  <c r="Z9" i="24" s="1"/>
  <c r="Z10" i="24"/>
  <c r="Z11" i="24"/>
  <c r="Z12" i="24"/>
  <c r="V9" i="25"/>
  <c r="Z9" i="25" s="1"/>
  <c r="Z10" i="25"/>
  <c r="Z11" i="25"/>
  <c r="Z12" i="25"/>
  <c r="V9" i="26"/>
  <c r="Z9" i="26" s="1"/>
  <c r="Z10" i="26"/>
  <c r="Z11" i="26"/>
  <c r="Z12" i="26"/>
  <c r="V9" i="27"/>
  <c r="Z9" i="27" s="1"/>
  <c r="Z10" i="27"/>
  <c r="Z11" i="27"/>
  <c r="Z12" i="27"/>
  <c r="V9" i="28"/>
  <c r="Z9" i="28" s="1"/>
  <c r="Z10" i="28"/>
  <c r="Z11" i="28"/>
  <c r="Z12" i="28"/>
  <c r="V9" i="29"/>
  <c r="Z9" i="29" s="1"/>
  <c r="Z10" i="29"/>
  <c r="Z11" i="29"/>
  <c r="Z12" i="29"/>
  <c r="V9" i="30"/>
  <c r="Z9" i="30" s="1"/>
  <c r="Z10" i="30"/>
  <c r="Z11" i="30"/>
  <c r="Z12" i="30"/>
  <c r="V9" i="1"/>
  <c r="Z9" i="1" s="1"/>
  <c r="Z10" i="1"/>
  <c r="Z11" i="1"/>
  <c r="Z12" i="1"/>
  <c r="V8" i="2"/>
  <c r="Z8" i="2" s="1"/>
  <c r="V8" i="3"/>
  <c r="Z8" i="3" s="1"/>
  <c r="V8" i="4"/>
  <c r="Z8" i="4" s="1"/>
  <c r="V8" i="5"/>
  <c r="Z8" i="5" s="1"/>
  <c r="V8" i="6"/>
  <c r="Z8" i="6" s="1"/>
  <c r="V8" i="7"/>
  <c r="Z8" i="7" s="1"/>
  <c r="V8" i="8"/>
  <c r="Z8" i="8" s="1"/>
  <c r="V8" i="9"/>
  <c r="Z8" i="9" s="1"/>
  <c r="V8" i="10"/>
  <c r="Z8" i="10" s="1"/>
  <c r="V8" i="11"/>
  <c r="Z8" i="11" s="1"/>
  <c r="V8" i="12"/>
  <c r="Z8" i="12" s="1"/>
  <c r="V8" i="13"/>
  <c r="Z8" i="13" s="1"/>
  <c r="V8" i="14"/>
  <c r="Z8" i="14" s="1"/>
  <c r="V8" i="15"/>
  <c r="Z8" i="15" s="1"/>
  <c r="V8" i="16"/>
  <c r="Z8" i="16" s="1"/>
  <c r="V8" i="17"/>
  <c r="Z8" i="17" s="1"/>
  <c r="V8" i="18"/>
  <c r="Z8" i="18" s="1"/>
  <c r="V8" i="19"/>
  <c r="Z8" i="19" s="1"/>
  <c r="V8" i="20"/>
  <c r="Z8" i="20" s="1"/>
  <c r="V8" i="21"/>
  <c r="Z8" i="21" s="1"/>
  <c r="V8" i="22"/>
  <c r="Z8" i="22" s="1"/>
  <c r="V8" i="23"/>
  <c r="Z8" i="23" s="1"/>
  <c r="V8" i="24"/>
  <c r="Z8" i="24" s="1"/>
  <c r="V8" i="25"/>
  <c r="Z8" i="25" s="1"/>
  <c r="V8" i="26"/>
  <c r="Z8" i="26" s="1"/>
  <c r="V8" i="27"/>
  <c r="Z8" i="27" s="1"/>
  <c r="V8" i="28"/>
  <c r="Z8" i="28" s="1"/>
  <c r="V8" i="29"/>
  <c r="Z8" i="29" s="1"/>
  <c r="V8" i="30"/>
  <c r="Z8" i="30" s="1"/>
  <c r="V8" i="1"/>
  <c r="Z8" i="1" s="1"/>
  <c r="J9" i="2"/>
  <c r="Y9" i="2" s="1"/>
  <c r="J10" i="2"/>
  <c r="Y10" i="2" s="1"/>
  <c r="J11" i="2"/>
  <c r="Y11" i="2" s="1"/>
  <c r="Y12" i="2"/>
  <c r="J9" i="3"/>
  <c r="Y10" i="3"/>
  <c r="J11" i="3"/>
  <c r="Y11" i="3" s="1"/>
  <c r="Y12" i="3"/>
  <c r="Y9" i="4"/>
  <c r="J10" i="4"/>
  <c r="Y10" i="4" s="1"/>
  <c r="J11" i="4"/>
  <c r="Y11" i="4" s="1"/>
  <c r="Y12" i="4"/>
  <c r="AA12" i="4" s="1"/>
  <c r="J9" i="5"/>
  <c r="Y9" i="5" s="1"/>
  <c r="J10" i="5"/>
  <c r="Y10" i="5" s="1"/>
  <c r="J11" i="5"/>
  <c r="Y11" i="5" s="1"/>
  <c r="Y12" i="5"/>
  <c r="J9" i="6"/>
  <c r="Y9" i="6" s="1"/>
  <c r="J10" i="6"/>
  <c r="Y10" i="6" s="1"/>
  <c r="J11" i="6"/>
  <c r="Y11" i="6" s="1"/>
  <c r="Y12" i="6"/>
  <c r="J9" i="7"/>
  <c r="Y10" i="7"/>
  <c r="J11" i="7"/>
  <c r="Y11" i="7" s="1"/>
  <c r="Y12" i="7"/>
  <c r="J9" i="8"/>
  <c r="Y9" i="8" s="1"/>
  <c r="J10" i="8"/>
  <c r="J11" i="8"/>
  <c r="Y11" i="8" s="1"/>
  <c r="Y12" i="8"/>
  <c r="J9" i="9"/>
  <c r="Y9" i="9" s="1"/>
  <c r="J10" i="9"/>
  <c r="Y10" i="9" s="1"/>
  <c r="J11" i="9"/>
  <c r="Y11" i="9" s="1"/>
  <c r="Y12" i="9"/>
  <c r="J9" i="10"/>
  <c r="Y9" i="10" s="1"/>
  <c r="J10" i="10"/>
  <c r="Y10" i="10" s="1"/>
  <c r="J11" i="10"/>
  <c r="Y11" i="10" s="1"/>
  <c r="Y12" i="10"/>
  <c r="J9" i="11"/>
  <c r="Y9" i="11" s="1"/>
  <c r="J10" i="11"/>
  <c r="Y10" i="11" s="1"/>
  <c r="J11" i="11"/>
  <c r="Y11" i="11" s="1"/>
  <c r="Y12" i="11"/>
  <c r="J9" i="12"/>
  <c r="Y9" i="12" s="1"/>
  <c r="J10" i="12"/>
  <c r="Y10" i="12" s="1"/>
  <c r="J11" i="12"/>
  <c r="Y11" i="12" s="1"/>
  <c r="Y12" i="12"/>
  <c r="J9" i="13"/>
  <c r="Y9" i="13" s="1"/>
  <c r="J10" i="13"/>
  <c r="Y10" i="13" s="1"/>
  <c r="J11" i="13"/>
  <c r="Y11" i="13" s="1"/>
  <c r="Y12" i="13"/>
  <c r="J9" i="14"/>
  <c r="Y9" i="14" s="1"/>
  <c r="J10" i="14"/>
  <c r="Y10" i="14" s="1"/>
  <c r="J11" i="14"/>
  <c r="Y11" i="14" s="1"/>
  <c r="Y12" i="14"/>
  <c r="AA12" i="14" s="1"/>
  <c r="J9" i="15"/>
  <c r="Y9" i="15" s="1"/>
  <c r="Y10" i="15"/>
  <c r="J11" i="15"/>
  <c r="Y11" i="15" s="1"/>
  <c r="Y12" i="15"/>
  <c r="Y9" i="16"/>
  <c r="J10" i="16"/>
  <c r="Y10" i="16" s="1"/>
  <c r="Y11" i="16"/>
  <c r="Y12" i="16"/>
  <c r="J9" i="17"/>
  <c r="Y9" i="17" s="1"/>
  <c r="J10" i="17"/>
  <c r="Y10" i="17" s="1"/>
  <c r="J11" i="17"/>
  <c r="Y11" i="17" s="1"/>
  <c r="Y12" i="17"/>
  <c r="J9" i="18"/>
  <c r="Y9" i="18" s="1"/>
  <c r="J10" i="18"/>
  <c r="Y10" i="18" s="1"/>
  <c r="J11" i="18"/>
  <c r="Y11" i="18" s="1"/>
  <c r="Y12" i="18"/>
  <c r="J9" i="19"/>
  <c r="Y9" i="19" s="1"/>
  <c r="J10" i="19"/>
  <c r="Y10" i="19" s="1"/>
  <c r="J11" i="19"/>
  <c r="Y11" i="19" s="1"/>
  <c r="Y12" i="19"/>
  <c r="AA12" i="19" s="1"/>
  <c r="J9" i="20"/>
  <c r="Y9" i="20" s="1"/>
  <c r="J10" i="20"/>
  <c r="Y10" i="20" s="1"/>
  <c r="J11" i="20"/>
  <c r="Y11" i="20" s="1"/>
  <c r="Y12" i="20"/>
  <c r="J9" i="21"/>
  <c r="Y9" i="21" s="1"/>
  <c r="J10" i="21"/>
  <c r="Y10" i="21" s="1"/>
  <c r="J11" i="21"/>
  <c r="Y11" i="21" s="1"/>
  <c r="Y12" i="21"/>
  <c r="J9" i="22"/>
  <c r="Y9" i="22" s="1"/>
  <c r="J10" i="22"/>
  <c r="Y10" i="22" s="1"/>
  <c r="J11" i="22"/>
  <c r="Y11" i="22" s="1"/>
  <c r="Y12" i="22"/>
  <c r="J9" i="23"/>
  <c r="Y9" i="23" s="1"/>
  <c r="J10" i="23"/>
  <c r="Y10" i="23" s="1"/>
  <c r="J11" i="23"/>
  <c r="Y11" i="23" s="1"/>
  <c r="Y12" i="23"/>
  <c r="J9" i="24"/>
  <c r="Y9" i="24" s="1"/>
  <c r="J10" i="24"/>
  <c r="Y10" i="24" s="1"/>
  <c r="J11" i="24"/>
  <c r="Y11" i="24" s="1"/>
  <c r="Y12" i="24"/>
  <c r="J9" i="25"/>
  <c r="Y9" i="25" s="1"/>
  <c r="J10" i="25"/>
  <c r="Y10" i="25" s="1"/>
  <c r="J11" i="25"/>
  <c r="Y11" i="25" s="1"/>
  <c r="Y12" i="25"/>
  <c r="J9" i="26"/>
  <c r="Y9" i="26" s="1"/>
  <c r="J10" i="26"/>
  <c r="Y10" i="26" s="1"/>
  <c r="J11" i="26"/>
  <c r="Y11" i="26" s="1"/>
  <c r="Y12" i="26"/>
  <c r="J9" i="27"/>
  <c r="Y9" i="27" s="1"/>
  <c r="J10" i="27"/>
  <c r="Y10" i="27" s="1"/>
  <c r="J11" i="27"/>
  <c r="Y11" i="27" s="1"/>
  <c r="Y12" i="27"/>
  <c r="J9" i="28"/>
  <c r="J10" i="28"/>
  <c r="Y10" i="28" s="1"/>
  <c r="J11" i="28"/>
  <c r="Y11" i="28" s="1"/>
  <c r="Y12" i="28"/>
  <c r="J9" i="29"/>
  <c r="Y9" i="29" s="1"/>
  <c r="J10" i="29"/>
  <c r="Y10" i="29" s="1"/>
  <c r="J11" i="29"/>
  <c r="Y11" i="29" s="1"/>
  <c r="Y12" i="29"/>
  <c r="J9" i="30"/>
  <c r="Y9" i="30" s="1"/>
  <c r="J10" i="30"/>
  <c r="Y10" i="30" s="1"/>
  <c r="J11" i="30"/>
  <c r="Y11" i="30" s="1"/>
  <c r="Y12" i="30"/>
  <c r="J9" i="1"/>
  <c r="Y9" i="1" s="1"/>
  <c r="J10" i="1"/>
  <c r="Y10" i="1" s="1"/>
  <c r="J11" i="1"/>
  <c r="Y11" i="1" s="1"/>
  <c r="Y12" i="1"/>
  <c r="J8" i="2"/>
  <c r="Y8" i="2" s="1"/>
  <c r="Y8" i="3"/>
  <c r="J8" i="4"/>
  <c r="Y8" i="4" s="1"/>
  <c r="J8" i="5"/>
  <c r="Y8" i="5" s="1"/>
  <c r="J8" i="6"/>
  <c r="Y8" i="6" s="1"/>
  <c r="Y8" i="7"/>
  <c r="Y8" i="8"/>
  <c r="Y8" i="9"/>
  <c r="Y8" i="10"/>
  <c r="J8" i="11"/>
  <c r="Y8" i="11" s="1"/>
  <c r="J8" i="12"/>
  <c r="Y8" i="12" s="1"/>
  <c r="J8" i="13"/>
  <c r="Y8" i="13" s="1"/>
  <c r="J8" i="14"/>
  <c r="Y8" i="14" s="1"/>
  <c r="Y8" i="15"/>
  <c r="J8" i="16"/>
  <c r="Y8" i="16" s="1"/>
  <c r="J8" i="17"/>
  <c r="Y8" i="17" s="1"/>
  <c r="Y8" i="18"/>
  <c r="J8" i="19"/>
  <c r="Y8" i="19" s="1"/>
  <c r="J8" i="20"/>
  <c r="Y8" i="20" s="1"/>
  <c r="J8" i="21"/>
  <c r="Y8" i="21" s="1"/>
  <c r="J8" i="22"/>
  <c r="Y8" i="22" s="1"/>
  <c r="J8" i="23"/>
  <c r="Y8" i="23" s="1"/>
  <c r="J8" i="24"/>
  <c r="Y8" i="24" s="1"/>
  <c r="J8" i="25"/>
  <c r="Y8" i="25" s="1"/>
  <c r="J8" i="26"/>
  <c r="Y8" i="26" s="1"/>
  <c r="J8" i="27"/>
  <c r="Y8" i="27" s="1"/>
  <c r="J8" i="28"/>
  <c r="Y8" i="28" s="1"/>
  <c r="J8" i="29"/>
  <c r="J8" i="30"/>
  <c r="J8" i="1"/>
  <c r="Y8" i="1" s="1"/>
  <c r="AA12" i="16" l="1"/>
  <c r="Y10" i="8"/>
  <c r="J19" i="8"/>
  <c r="AA17" i="18"/>
  <c r="AA17" i="25"/>
  <c r="AA17" i="21"/>
  <c r="Y9" i="7"/>
  <c r="AA9" i="7" s="1"/>
  <c r="J19" i="7"/>
  <c r="AA17" i="8"/>
  <c r="AA17" i="4"/>
  <c r="Y9" i="3"/>
  <c r="AA9" i="3" s="1"/>
  <c r="J19" i="3"/>
  <c r="AA17" i="24"/>
  <c r="AA17" i="5"/>
  <c r="AA17" i="11"/>
  <c r="AA17" i="3"/>
  <c r="AA17" i="6"/>
  <c r="AA12" i="3"/>
  <c r="AA17" i="22"/>
  <c r="AA12" i="9"/>
  <c r="AA12" i="2"/>
  <c r="Z18" i="23"/>
  <c r="Z19" i="23" s="1"/>
  <c r="J18" i="1"/>
  <c r="J19" i="1" s="1"/>
  <c r="AA12" i="1"/>
  <c r="AA12" i="26"/>
  <c r="AA12" i="23"/>
  <c r="AA11" i="26"/>
  <c r="Z18" i="16"/>
  <c r="Z19" i="16" s="1"/>
  <c r="Z18" i="26"/>
  <c r="Z19" i="26" s="1"/>
  <c r="Z18" i="9"/>
  <c r="Z19" i="9" s="1"/>
  <c r="Z18" i="14"/>
  <c r="Z19" i="14" s="1"/>
  <c r="AA11" i="16"/>
  <c r="AA11" i="14"/>
  <c r="AA11" i="9"/>
  <c r="AA11" i="4"/>
  <c r="AA8" i="15"/>
  <c r="AA10" i="26"/>
  <c r="AA10" i="23"/>
  <c r="AA10" i="16"/>
  <c r="AA10" i="15"/>
  <c r="AA10" i="9"/>
  <c r="AA10" i="8"/>
  <c r="AA10" i="3"/>
  <c r="AA10" i="2"/>
  <c r="AA10" i="14"/>
  <c r="AA11" i="23"/>
  <c r="AA11" i="18"/>
  <c r="AA11" i="10"/>
  <c r="AA11" i="5"/>
  <c r="AA11" i="3"/>
  <c r="AA9" i="9"/>
  <c r="AA9" i="26"/>
  <c r="AA9" i="23"/>
  <c r="AA9" i="16"/>
  <c r="AA9" i="14"/>
  <c r="AA9" i="12"/>
  <c r="AA9" i="4"/>
  <c r="AA9" i="2"/>
  <c r="Z18" i="2"/>
  <c r="Z19" i="2" s="1"/>
  <c r="AA8" i="2"/>
  <c r="Y18" i="16"/>
  <c r="Y19" i="16" s="1"/>
  <c r="AA8" i="16"/>
  <c r="Y18" i="26"/>
  <c r="Y19" i="26" s="1"/>
  <c r="Y18" i="9"/>
  <c r="Y19" i="9" s="1"/>
  <c r="AA8" i="9"/>
  <c r="Y18" i="1"/>
  <c r="Y19" i="1" s="1"/>
  <c r="Y18" i="23"/>
  <c r="Y19" i="23" s="1"/>
  <c r="AA8" i="23"/>
  <c r="Y18" i="14"/>
  <c r="Y19" i="14" s="1"/>
  <c r="AA12" i="18"/>
  <c r="AA12" i="17"/>
  <c r="Y8" i="30"/>
  <c r="AA8" i="30" s="1"/>
  <c r="J23" i="30"/>
  <c r="AA8" i="8"/>
  <c r="AA11" i="1"/>
  <c r="AA8" i="14"/>
  <c r="AA9" i="1"/>
  <c r="Y8" i="29"/>
  <c r="Y21" i="29" s="1"/>
  <c r="Y22" i="29" s="1"/>
  <c r="J22" i="29"/>
  <c r="AA8" i="1"/>
  <c r="AA8" i="3"/>
  <c r="AA10" i="1"/>
  <c r="C19" i="1"/>
  <c r="AA8" i="26"/>
  <c r="AA11" i="30"/>
  <c r="AA9" i="30"/>
  <c r="AA10" i="30"/>
  <c r="Z22" i="30"/>
  <c r="Z23" i="30" s="1"/>
  <c r="AA12" i="30"/>
  <c r="AA17" i="28"/>
  <c r="AA20" i="29"/>
  <c r="AA11" i="29"/>
  <c r="AA10" i="29"/>
  <c r="Z21" i="29"/>
  <c r="Z22" i="29" s="1"/>
  <c r="AA9" i="29"/>
  <c r="AA12" i="29"/>
  <c r="Y9" i="28"/>
  <c r="AA9" i="28" s="1"/>
  <c r="J22" i="28"/>
  <c r="Z21" i="28"/>
  <c r="Z22" i="28" s="1"/>
  <c r="AA8" i="28"/>
  <c r="AA11" i="28"/>
  <c r="AA12" i="28"/>
  <c r="AA10" i="28"/>
  <c r="AA9" i="25"/>
  <c r="AA11" i="25"/>
  <c r="AA11" i="27"/>
  <c r="Z21" i="27"/>
  <c r="Z22" i="27" s="1"/>
  <c r="AA10" i="27"/>
  <c r="AA9" i="27"/>
  <c r="AA12" i="27"/>
  <c r="AA8" i="27"/>
  <c r="Y21" i="27"/>
  <c r="Y22" i="27" s="1"/>
  <c r="AA12" i="25"/>
  <c r="Z18" i="25"/>
  <c r="Z19" i="25" s="1"/>
  <c r="AA10" i="25"/>
  <c r="AA10" i="24"/>
  <c r="AA9" i="24"/>
  <c r="AA11" i="24"/>
  <c r="Z18" i="24"/>
  <c r="Z19" i="24" s="1"/>
  <c r="AA12" i="24"/>
  <c r="Y18" i="25"/>
  <c r="Y19" i="25" s="1"/>
  <c r="AA8" i="25"/>
  <c r="AA8" i="24"/>
  <c r="Y18" i="24"/>
  <c r="Y19" i="24" s="1"/>
  <c r="AA10" i="22"/>
  <c r="AA8" i="22"/>
  <c r="AA11" i="22"/>
  <c r="Z18" i="22"/>
  <c r="Z19" i="22" s="1"/>
  <c r="AA9" i="22"/>
  <c r="AA8" i="21"/>
  <c r="Y18" i="22"/>
  <c r="Y19" i="22" s="1"/>
  <c r="AA12" i="22"/>
  <c r="AA9" i="21"/>
  <c r="AA10" i="21"/>
  <c r="Z18" i="21"/>
  <c r="Z19" i="21" s="1"/>
  <c r="AA12" i="21"/>
  <c r="AA12" i="20"/>
  <c r="AA10" i="20"/>
  <c r="AA9" i="20"/>
  <c r="Y18" i="21"/>
  <c r="Y19" i="21" s="1"/>
  <c r="AA11" i="21"/>
  <c r="AA11" i="19"/>
  <c r="AA10" i="19"/>
  <c r="Z18" i="19"/>
  <c r="Z19" i="19" s="1"/>
  <c r="AA9" i="19"/>
  <c r="AA11" i="20"/>
  <c r="Y19" i="20"/>
  <c r="Y20" i="20" s="1"/>
  <c r="AA17" i="20"/>
  <c r="Z19" i="20"/>
  <c r="Z20" i="20" s="1"/>
  <c r="AA8" i="20"/>
  <c r="AA9" i="18"/>
  <c r="Z18" i="18"/>
  <c r="Z19" i="18" s="1"/>
  <c r="AA8" i="18"/>
  <c r="Y18" i="19"/>
  <c r="Y19" i="19" s="1"/>
  <c r="AA8" i="19"/>
  <c r="AA8" i="17"/>
  <c r="AA11" i="17"/>
  <c r="Z18" i="17"/>
  <c r="Z19" i="17" s="1"/>
  <c r="AA9" i="17"/>
  <c r="AA10" i="17"/>
  <c r="Y18" i="18"/>
  <c r="Y19" i="18" s="1"/>
  <c r="AA10" i="18"/>
  <c r="Y18" i="17"/>
  <c r="Y19" i="17" s="1"/>
  <c r="AA17" i="17"/>
  <c r="AA11" i="15"/>
  <c r="Z18" i="15"/>
  <c r="Z19" i="15" s="1"/>
  <c r="AA9" i="15"/>
  <c r="Y18" i="15"/>
  <c r="Y19" i="15" s="1"/>
  <c r="AA12" i="15"/>
  <c r="AA12" i="13"/>
  <c r="AA11" i="13"/>
  <c r="AA9" i="13"/>
  <c r="AA10" i="13"/>
  <c r="Z18" i="13"/>
  <c r="Z19" i="13" s="1"/>
  <c r="AA8" i="13"/>
  <c r="AA12" i="12"/>
  <c r="AA10" i="12"/>
  <c r="AA8" i="12"/>
  <c r="Y18" i="13"/>
  <c r="Y19" i="13" s="1"/>
  <c r="AA17" i="13"/>
  <c r="Z18" i="12"/>
  <c r="Z19" i="12" s="1"/>
  <c r="AA11" i="12"/>
  <c r="AA17" i="12"/>
  <c r="AA12" i="11"/>
  <c r="AA9" i="11"/>
  <c r="Y18" i="12"/>
  <c r="Y19" i="12" s="1"/>
  <c r="AA11" i="11"/>
  <c r="Z18" i="11"/>
  <c r="Z19" i="11" s="1"/>
  <c r="AA10" i="11"/>
  <c r="AA12" i="10"/>
  <c r="AA9" i="10"/>
  <c r="Z18" i="10"/>
  <c r="Z19" i="10" s="1"/>
  <c r="AA8" i="10"/>
  <c r="Y18" i="11"/>
  <c r="Y19" i="11" s="1"/>
  <c r="AA8" i="11"/>
  <c r="AA12" i="7"/>
  <c r="AA12" i="8"/>
  <c r="Z18" i="8"/>
  <c r="Z19" i="8" s="1"/>
  <c r="AA11" i="8"/>
  <c r="AA10" i="10"/>
  <c r="Y18" i="10"/>
  <c r="Y19" i="10" s="1"/>
  <c r="AA11" i="7"/>
  <c r="Z18" i="7"/>
  <c r="Z19" i="7" s="1"/>
  <c r="AA10" i="7"/>
  <c r="AA8" i="7"/>
  <c r="Y18" i="8"/>
  <c r="Y19" i="8" s="1"/>
  <c r="AA9" i="8"/>
  <c r="AA12" i="6"/>
  <c r="AA11" i="6"/>
  <c r="AA8" i="6"/>
  <c r="Z18" i="6"/>
  <c r="Z19" i="6" s="1"/>
  <c r="AA10" i="6"/>
  <c r="AA8" i="5"/>
  <c r="AA9" i="5"/>
  <c r="AA12" i="5"/>
  <c r="Y18" i="6"/>
  <c r="Y19" i="6" s="1"/>
  <c r="AA9" i="6"/>
  <c r="Z18" i="4"/>
  <c r="Z19" i="4" s="1"/>
  <c r="AA8" i="4"/>
  <c r="Y18" i="5"/>
  <c r="Y19" i="5" s="1"/>
  <c r="Y18" i="4"/>
  <c r="Y19" i="4" s="1"/>
  <c r="AA10" i="4"/>
  <c r="Z18" i="3"/>
  <c r="Z19" i="3" s="1"/>
  <c r="Y18" i="2"/>
  <c r="Y19" i="2" s="1"/>
  <c r="AA11" i="2"/>
  <c r="AA10" i="5"/>
  <c r="Z18" i="5"/>
  <c r="Z19" i="5" s="1"/>
  <c r="Z18" i="1"/>
  <c r="Z19" i="1" s="1"/>
  <c r="J18" i="25"/>
  <c r="J19" i="25" s="1"/>
  <c r="C19" i="25"/>
  <c r="J21" i="29"/>
  <c r="C22" i="29"/>
  <c r="J18" i="17"/>
  <c r="J19" i="17" s="1"/>
  <c r="C19" i="17"/>
  <c r="J18" i="26"/>
  <c r="J19" i="26" s="1"/>
  <c r="F19" i="26"/>
  <c r="J18" i="22"/>
  <c r="F19" i="22"/>
  <c r="J18" i="14"/>
  <c r="J19" i="14" s="1"/>
  <c r="F19" i="14"/>
  <c r="J18" i="6"/>
  <c r="J19" i="6" s="1"/>
  <c r="F19" i="6"/>
  <c r="J21" i="27"/>
  <c r="J22" i="27" s="1"/>
  <c r="J18" i="23"/>
  <c r="J19" i="23" s="1"/>
  <c r="J18" i="19"/>
  <c r="J19" i="19" s="1"/>
  <c r="J18" i="15"/>
  <c r="J19" i="15" s="1"/>
  <c r="J18" i="11"/>
  <c r="J18" i="7"/>
  <c r="J18" i="3"/>
  <c r="C22" i="27"/>
  <c r="C19" i="11"/>
  <c r="C19" i="15"/>
  <c r="J21" i="28"/>
  <c r="J18" i="24"/>
  <c r="J19" i="24" s="1"/>
  <c r="J19" i="20"/>
  <c r="J20" i="20" s="1"/>
  <c r="J18" i="16"/>
  <c r="J19" i="16" s="1"/>
  <c r="J18" i="12"/>
  <c r="J19" i="12" s="1"/>
  <c r="J18" i="8"/>
  <c r="J18" i="4"/>
  <c r="J19" i="4" s="1"/>
  <c r="V18" i="26"/>
  <c r="V19" i="26" s="1"/>
  <c r="V18" i="22"/>
  <c r="V19" i="22" s="1"/>
  <c r="V18" i="18"/>
  <c r="V19" i="18" s="1"/>
  <c r="V18" i="14"/>
  <c r="V19" i="14" s="1"/>
  <c r="V18" i="10"/>
  <c r="V19" i="10" s="1"/>
  <c r="V18" i="4"/>
  <c r="V19" i="4" s="1"/>
  <c r="V18" i="3"/>
  <c r="V19" i="3" s="1"/>
  <c r="V18" i="2"/>
  <c r="V19" i="2" s="1"/>
  <c r="V18" i="5"/>
  <c r="V19" i="5" s="1"/>
  <c r="V21" i="29"/>
  <c r="V22" i="29" s="1"/>
  <c r="V18" i="25"/>
  <c r="V19" i="25" s="1"/>
  <c r="V18" i="21"/>
  <c r="V19" i="21" s="1"/>
  <c r="V18" i="17"/>
  <c r="V19" i="17" s="1"/>
  <c r="V18" i="13"/>
  <c r="V19" i="13" s="1"/>
  <c r="V18" i="9"/>
  <c r="V19" i="9" s="1"/>
  <c r="V18" i="7"/>
  <c r="V19" i="7" s="1"/>
  <c r="V18" i="6"/>
  <c r="V19" i="6" s="1"/>
  <c r="V18" i="1"/>
  <c r="V19" i="1" s="1"/>
  <c r="V22" i="30"/>
  <c r="V23" i="30" s="1"/>
  <c r="V21" i="27"/>
  <c r="V22" i="27" s="1"/>
  <c r="V18" i="23"/>
  <c r="V19" i="23" s="1"/>
  <c r="V18" i="19"/>
  <c r="V19" i="19" s="1"/>
  <c r="V18" i="15"/>
  <c r="V19" i="15" s="1"/>
  <c r="V18" i="11"/>
  <c r="V19" i="11" s="1"/>
  <c r="O19" i="6"/>
  <c r="O19" i="2"/>
  <c r="O22" i="29"/>
  <c r="V21" i="28"/>
  <c r="V22" i="28" s="1"/>
  <c r="O19" i="25"/>
  <c r="V18" i="24"/>
  <c r="V19" i="24" s="1"/>
  <c r="O19" i="21"/>
  <c r="O19" i="17"/>
  <c r="V18" i="16"/>
  <c r="V19" i="16" s="1"/>
  <c r="O19" i="13"/>
  <c r="V18" i="12"/>
  <c r="V19" i="12" s="1"/>
  <c r="O19" i="9"/>
  <c r="V18" i="8"/>
  <c r="V19" i="8" s="1"/>
  <c r="O19" i="5"/>
  <c r="J22" i="30"/>
  <c r="J18" i="18"/>
  <c r="J19" i="18" s="1"/>
  <c r="J18" i="10"/>
  <c r="J19" i="10" s="1"/>
  <c r="J18" i="2"/>
  <c r="J19" i="2" s="1"/>
  <c r="J18" i="21"/>
  <c r="J19" i="21" s="1"/>
  <c r="J18" i="13"/>
  <c r="J19" i="13" s="1"/>
  <c r="J18" i="9"/>
  <c r="J18" i="5"/>
  <c r="J19" i="5" s="1"/>
  <c r="Y18" i="3" l="1"/>
  <c r="Y19" i="3" s="1"/>
  <c r="Y21" i="28"/>
  <c r="Y22" i="28" s="1"/>
  <c r="Y18" i="7"/>
  <c r="Y19" i="7" s="1"/>
  <c r="AA8" i="29"/>
  <c r="AA21" i="29" s="1"/>
  <c r="AA22" i="29" s="1"/>
  <c r="AA18" i="11"/>
  <c r="AA19" i="11" s="1"/>
  <c r="AA18" i="26"/>
  <c r="AA19" i="26" s="1"/>
  <c r="AA18" i="16"/>
  <c r="AA19" i="16" s="1"/>
  <c r="AA18" i="3"/>
  <c r="AA19" i="3" s="1"/>
  <c r="AA18" i="9"/>
  <c r="AA19" i="9" s="1"/>
  <c r="AA18" i="2"/>
  <c r="AA19" i="2" s="1"/>
  <c r="AA18" i="1"/>
  <c r="AA19" i="1" s="1"/>
  <c r="AA18" i="14"/>
  <c r="AA19" i="14" s="1"/>
  <c r="AA18" i="23"/>
  <c r="AA19" i="23" s="1"/>
  <c r="Y22" i="30"/>
  <c r="Y23" i="30" s="1"/>
  <c r="AA18" i="13"/>
  <c r="AA19" i="13" s="1"/>
  <c r="AA22" i="30"/>
  <c r="AA23" i="30" s="1"/>
  <c r="AA21" i="28"/>
  <c r="AA22" i="28" s="1"/>
  <c r="AA21" i="27"/>
  <c r="AA22" i="27" s="1"/>
  <c r="AA18" i="25"/>
  <c r="AA19" i="25" s="1"/>
  <c r="AA18" i="24"/>
  <c r="AA19" i="24" s="1"/>
  <c r="AA18" i="22"/>
  <c r="AA19" i="22" s="1"/>
  <c r="AA18" i="21"/>
  <c r="AA19" i="21" s="1"/>
  <c r="AA18" i="19"/>
  <c r="AA19" i="19" s="1"/>
  <c r="AA19" i="20"/>
  <c r="AA20" i="20" s="1"/>
  <c r="AA18" i="18"/>
  <c r="AA19" i="18" s="1"/>
  <c r="AA18" i="17"/>
  <c r="AA19" i="17" s="1"/>
  <c r="AA18" i="15"/>
  <c r="AA19" i="15" s="1"/>
  <c r="AA18" i="12"/>
  <c r="AA19" i="12" s="1"/>
  <c r="AA18" i="10"/>
  <c r="AA19" i="10" s="1"/>
  <c r="AA18" i="8"/>
  <c r="AA19" i="8" s="1"/>
  <c r="AA18" i="7"/>
  <c r="AA19" i="7" s="1"/>
  <c r="AA18" i="6"/>
  <c r="AA19" i="6" s="1"/>
  <c r="AA18" i="5"/>
  <c r="AA19" i="5" s="1"/>
  <c r="AA18" i="4"/>
  <c r="AA19" i="4" s="1"/>
  <c r="T20" i="20"/>
  <c r="S20" i="20"/>
  <c r="R20" i="20"/>
  <c r="U20" i="20"/>
  <c r="P20" i="20"/>
  <c r="V19" i="20"/>
  <c r="V20" i="20" s="1"/>
  <c r="Q20" i="20"/>
</calcChain>
</file>

<file path=xl/sharedStrings.xml><?xml version="1.0" encoding="utf-8"?>
<sst xmlns="http://schemas.openxmlformats.org/spreadsheetml/2006/main" count="1687" uniqueCount="59">
  <si>
    <t>Booking</t>
  </si>
  <si>
    <t>Execution</t>
  </si>
  <si>
    <t>60gm</t>
  </si>
  <si>
    <t>70 Gmm</t>
  </si>
  <si>
    <t>120Gm</t>
  </si>
  <si>
    <t>Name</t>
  </si>
  <si>
    <t xml:space="preserve">CHK  </t>
  </si>
  <si>
    <t>Meat</t>
  </si>
  <si>
    <t>LEM</t>
  </si>
  <si>
    <t>CHK</t>
  </si>
  <si>
    <t xml:space="preserve">LEM </t>
  </si>
  <si>
    <t>Ctns</t>
  </si>
  <si>
    <t>Shops</t>
  </si>
  <si>
    <t xml:space="preserve">Zeshan </t>
  </si>
  <si>
    <t xml:space="preserve">Salman </t>
  </si>
  <si>
    <t>Umair</t>
  </si>
  <si>
    <t xml:space="preserve">Shakoor </t>
  </si>
  <si>
    <t>Shakoor</t>
  </si>
  <si>
    <t>SKU Wise</t>
  </si>
  <si>
    <t>Diffrence</t>
  </si>
  <si>
    <t xml:space="preserve">Execution </t>
  </si>
  <si>
    <t>Return</t>
  </si>
  <si>
    <t>Jabbar</t>
  </si>
  <si>
    <t>A1</t>
  </si>
  <si>
    <t>A2</t>
  </si>
  <si>
    <t>A3</t>
  </si>
  <si>
    <t>A4</t>
  </si>
  <si>
    <t>A5</t>
  </si>
  <si>
    <t>A6</t>
  </si>
  <si>
    <t xml:space="preserve">Sunday </t>
  </si>
  <si>
    <t>Negotiate</t>
  </si>
  <si>
    <t>Sohail SD</t>
  </si>
  <si>
    <t xml:space="preserve">Jabran </t>
  </si>
  <si>
    <t>Shahid SB</t>
  </si>
  <si>
    <t>Jabran</t>
  </si>
  <si>
    <t>Jabran Iqbal</t>
  </si>
  <si>
    <t xml:space="preserve">Jabran Iqbal </t>
  </si>
  <si>
    <t>Furqan</t>
  </si>
  <si>
    <t xml:space="preserve">Hasan </t>
  </si>
  <si>
    <t xml:space="preserve">Jabbar </t>
  </si>
  <si>
    <t>Zeshan</t>
  </si>
  <si>
    <t>Salman Butt</t>
  </si>
  <si>
    <t>Umair Rehman</t>
  </si>
  <si>
    <t>Shakoor (LMT)</t>
  </si>
  <si>
    <t xml:space="preserve">Yasir </t>
  </si>
  <si>
    <t xml:space="preserve">Aqeel </t>
  </si>
  <si>
    <t xml:space="preserve">Qasim </t>
  </si>
  <si>
    <t xml:space="preserve"> </t>
  </si>
  <si>
    <t>Yasir</t>
  </si>
  <si>
    <t>.</t>
  </si>
  <si>
    <t>Leave</t>
  </si>
  <si>
    <t>Sunday</t>
  </si>
  <si>
    <t xml:space="preserve">Monday </t>
  </si>
  <si>
    <t>P</t>
  </si>
  <si>
    <t>E</t>
  </si>
  <si>
    <t>N</t>
  </si>
  <si>
    <t>D</t>
  </si>
  <si>
    <t>I</t>
  </si>
  <si>
    <t>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</si>
</sst>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8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sz val="8"/>
      <color indexed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indexed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6">
    <xf numFmtId="0" fontId="0" fillId="0" borderId="0" xfId="0"/>
    <xf numFmtId="0" fontId="2" fillId="0" borderId="0" xfId="0" applyFont="1"/>
    <xf numFmtId="0" fontId="2" fillId="0" borderId="2" xfId="0" applyFont="1" applyBorder="1"/>
    <xf numFmtId="0" fontId="4" fillId="0" borderId="3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4" fillId="0" borderId="0" xfId="0" applyFont="1"/>
    <xf numFmtId="0" fontId="4" fillId="0" borderId="5" xfId="0" applyFont="1" applyBorder="1"/>
    <xf numFmtId="0" fontId="4" fillId="0" borderId="6" xfId="0" applyFont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0" xfId="0" applyNumberFormat="1" applyFont="1"/>
    <xf numFmtId="0" fontId="0" fillId="0" borderId="6" xfId="0" applyBorder="1"/>
    <xf numFmtId="0" fontId="4" fillId="0" borderId="0" xfId="0" applyFont="1" applyAlignment="1">
      <alignment horizontal="left"/>
    </xf>
    <xf numFmtId="0" fontId="4" fillId="0" borderId="5" xfId="0" applyFont="1" applyBorder="1" applyAlignment="1">
      <alignment horizontal="left"/>
    </xf>
    <xf numFmtId="0" fontId="0" fillId="0" borderId="7" xfId="0" applyBorder="1"/>
    <xf numFmtId="0" fontId="4" fillId="0" borderId="6" xfId="0" applyFont="1" applyBorder="1" applyAlignment="1">
      <alignment horizontal="center"/>
    </xf>
    <xf numFmtId="0" fontId="6" fillId="0" borderId="8" xfId="0" applyFont="1" applyBorder="1"/>
    <xf numFmtId="0" fontId="4" fillId="0" borderId="9" xfId="0" applyFont="1" applyBorder="1" applyAlignment="1">
      <alignment horizontal="center"/>
    </xf>
    <xf numFmtId="0" fontId="5" fillId="4" borderId="9" xfId="0" applyFont="1" applyFill="1" applyBorder="1" applyAlignment="1">
      <alignment horizontal="center" vertical="center"/>
    </xf>
    <xf numFmtId="0" fontId="0" fillId="0" borderId="10" xfId="0" applyBorder="1"/>
    <xf numFmtId="0" fontId="2" fillId="0" borderId="6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1" fillId="0" borderId="7" xfId="0" applyFont="1" applyBorder="1"/>
    <xf numFmtId="0" fontId="5" fillId="0" borderId="7" xfId="0" applyFont="1" applyBorder="1"/>
    <xf numFmtId="0" fontId="0" fillId="0" borderId="2" xfId="0" applyBorder="1"/>
    <xf numFmtId="0" fontId="0" fillId="0" borderId="5" xfId="0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2" fontId="1" fillId="0" borderId="7" xfId="0" applyNumberFormat="1" applyFont="1" applyBorder="1" applyAlignment="1">
      <alignment horizontal="center"/>
    </xf>
    <xf numFmtId="0" fontId="4" fillId="5" borderId="6" xfId="0" applyFont="1" applyFill="1" applyBorder="1" applyAlignment="1">
      <alignment horizontal="center" vertical="center"/>
    </xf>
    <xf numFmtId="0" fontId="10" fillId="0" borderId="0" xfId="0" applyFont="1"/>
    <xf numFmtId="0" fontId="10" fillId="0" borderId="2" xfId="0" applyFont="1" applyBorder="1"/>
    <xf numFmtId="0" fontId="11" fillId="0" borderId="3" xfId="0" applyFont="1" applyBorder="1" applyAlignment="1">
      <alignment horizontal="center"/>
    </xf>
    <xf numFmtId="0" fontId="10" fillId="0" borderId="3" xfId="0" applyFont="1" applyBorder="1"/>
    <xf numFmtId="0" fontId="10" fillId="0" borderId="4" xfId="0" applyFont="1" applyBorder="1"/>
    <xf numFmtId="0" fontId="11" fillId="0" borderId="0" xfId="0" applyFont="1"/>
    <xf numFmtId="0" fontId="11" fillId="0" borderId="5" xfId="0" applyFont="1" applyBorder="1"/>
    <xf numFmtId="0" fontId="11" fillId="0" borderId="6" xfId="0" applyFont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" fontId="11" fillId="0" borderId="0" xfId="0" applyNumberFormat="1" applyFont="1"/>
    <xf numFmtId="0" fontId="10" fillId="0" borderId="6" xfId="0" applyFont="1" applyBorder="1"/>
    <xf numFmtId="0" fontId="11" fillId="0" borderId="0" xfId="0" applyFont="1" applyAlignment="1">
      <alignment horizontal="left"/>
    </xf>
    <xf numFmtId="0" fontId="11" fillId="0" borderId="5" xfId="0" applyFont="1" applyBorder="1" applyAlignment="1">
      <alignment horizontal="left"/>
    </xf>
    <xf numFmtId="0" fontId="10" fillId="0" borderId="7" xfId="0" applyFont="1" applyBorder="1"/>
    <xf numFmtId="0" fontId="12" fillId="0" borderId="6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3" fillId="0" borderId="7" xfId="0" applyFont="1" applyBorder="1"/>
    <xf numFmtId="0" fontId="13" fillId="0" borderId="8" xfId="0" applyFont="1" applyBorder="1"/>
    <xf numFmtId="0" fontId="11" fillId="0" borderId="9" xfId="0" applyFont="1" applyBorder="1" applyAlignment="1">
      <alignment horizontal="center"/>
    </xf>
    <xf numFmtId="0" fontId="13" fillId="4" borderId="9" xfId="0" applyFont="1" applyFill="1" applyBorder="1" applyAlignment="1">
      <alignment horizontal="center" vertical="center"/>
    </xf>
    <xf numFmtId="0" fontId="10" fillId="0" borderId="10" xfId="0" applyFont="1" applyBorder="1"/>
    <xf numFmtId="2" fontId="5" fillId="4" borderId="9" xfId="0" applyNumberFormat="1" applyFont="1" applyFill="1" applyBorder="1" applyAlignment="1">
      <alignment horizontal="center" vertical="center"/>
    </xf>
    <xf numFmtId="0" fontId="0" fillId="6" borderId="6" xfId="0" applyFill="1" applyBorder="1"/>
    <xf numFmtId="0" fontId="0" fillId="5" borderId="6" xfId="0" applyFill="1" applyBorder="1"/>
    <xf numFmtId="0" fontId="14" fillId="0" borderId="6" xfId="0" applyFont="1" applyBorder="1" applyAlignment="1">
      <alignment horizontal="center"/>
    </xf>
    <xf numFmtId="0" fontId="1" fillId="0" borderId="0" xfId="0" applyFont="1"/>
    <xf numFmtId="0" fontId="4" fillId="4" borderId="6" xfId="0" applyFont="1" applyFill="1" applyBorder="1" applyAlignment="1">
      <alignment horizontal="center" vertical="center"/>
    </xf>
    <xf numFmtId="0" fontId="0" fillId="4" borderId="6" xfId="0" applyFill="1" applyBorder="1"/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11" fillId="0" borderId="3" xfId="0" applyFont="1" applyBorder="1" applyAlignment="1">
      <alignment horizontal="center"/>
    </xf>
    <xf numFmtId="0" fontId="15" fillId="5" borderId="11" xfId="0" applyFont="1" applyFill="1" applyBorder="1" applyAlignment="1">
      <alignment horizontal="center" vertical="center"/>
    </xf>
    <xf numFmtId="0" fontId="15" fillId="5" borderId="12" xfId="0" applyFont="1" applyFill="1" applyBorder="1" applyAlignment="1">
      <alignment horizontal="center" vertical="center"/>
    </xf>
    <xf numFmtId="0" fontId="15" fillId="5" borderId="1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B7967-E2EB-4CA7-BAB0-3E7FDF23CB2C}">
  <dimension ref="A1:AA19"/>
  <sheetViews>
    <sheetView workbookViewId="0">
      <selection activeCell="X12" sqref="X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8.81640625" bestFit="1" customWidth="1"/>
  </cols>
  <sheetData>
    <row r="1" spans="1:27" x14ac:dyDescent="0.35">
      <c r="A1" s="6" t="s">
        <v>23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76" t="s">
        <v>19</v>
      </c>
      <c r="Z3" s="76"/>
      <c r="AA3" s="76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76"/>
      <c r="Z4" s="76"/>
      <c r="AA4" s="76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50</v>
      </c>
      <c r="D8" s="11">
        <v>70</v>
      </c>
      <c r="E8" s="11">
        <v>70</v>
      </c>
      <c r="F8" s="11">
        <v>50</v>
      </c>
      <c r="G8" s="11">
        <v>70</v>
      </c>
      <c r="H8" s="11">
        <v>70</v>
      </c>
      <c r="I8" s="11">
        <v>70</v>
      </c>
      <c r="J8" s="15">
        <f>SUM(C8:I8)/40</f>
        <v>11.25</v>
      </c>
      <c r="K8" s="12">
        <v>7</v>
      </c>
      <c r="L8" s="13"/>
      <c r="M8" s="14"/>
      <c r="N8" s="7" t="s">
        <v>13</v>
      </c>
      <c r="O8" s="11"/>
      <c r="P8" s="11">
        <v>30</v>
      </c>
      <c r="Q8" s="11">
        <v>30</v>
      </c>
      <c r="R8" s="11">
        <v>50</v>
      </c>
      <c r="S8" s="11">
        <v>30</v>
      </c>
      <c r="T8" s="11">
        <v>30</v>
      </c>
      <c r="U8" s="11">
        <v>30</v>
      </c>
      <c r="V8" s="15">
        <f>SUM(O8:U8)/40</f>
        <v>5</v>
      </c>
      <c r="W8" s="12">
        <v>5</v>
      </c>
      <c r="Y8" s="36">
        <f>J8</f>
        <v>11.25</v>
      </c>
      <c r="Z8" s="37">
        <f>V8</f>
        <v>5</v>
      </c>
      <c r="AA8" s="38">
        <f>Y8-Z8</f>
        <v>6.25</v>
      </c>
    </row>
    <row r="9" spans="1:27" x14ac:dyDescent="0.35">
      <c r="A9" s="14"/>
      <c r="B9" s="7" t="s">
        <v>14</v>
      </c>
      <c r="C9" s="11"/>
      <c r="D9" s="11">
        <v>82</v>
      </c>
      <c r="E9" s="11">
        <v>0</v>
      </c>
      <c r="F9" s="11">
        <v>41</v>
      </c>
      <c r="G9" s="11">
        <v>40</v>
      </c>
      <c r="H9" s="11">
        <v>40</v>
      </c>
      <c r="I9" s="11">
        <v>40</v>
      </c>
      <c r="J9" s="15">
        <f t="shared" ref="J9:J16" si="0">SUM(C9:I9)/40</f>
        <v>6.0750000000000002</v>
      </c>
      <c r="K9" s="12">
        <v>23</v>
      </c>
      <c r="L9" s="13"/>
      <c r="M9" s="14"/>
      <c r="N9" s="7" t="s">
        <v>14</v>
      </c>
      <c r="O9" s="11"/>
      <c r="P9" s="11">
        <v>79</v>
      </c>
      <c r="Q9" s="11">
        <v>0</v>
      </c>
      <c r="R9" s="11">
        <v>41</v>
      </c>
      <c r="S9" s="11">
        <v>39</v>
      </c>
      <c r="T9" s="11">
        <v>40</v>
      </c>
      <c r="U9" s="11">
        <v>40</v>
      </c>
      <c r="V9" s="15">
        <f t="shared" ref="V9:V16" si="1">SUM(O9:U9)/40</f>
        <v>5.9749999999999996</v>
      </c>
      <c r="W9" s="12">
        <v>23</v>
      </c>
      <c r="Y9" s="36">
        <f t="shared" ref="Y9:Y17" si="2">J9</f>
        <v>6.0750000000000002</v>
      </c>
      <c r="Z9" s="37">
        <f t="shared" ref="Z9:Z17" si="3">V9</f>
        <v>5.9749999999999996</v>
      </c>
      <c r="AA9" s="38">
        <f t="shared" ref="AA9:AA17" si="4">Y9-Z9</f>
        <v>0.10000000000000053</v>
      </c>
    </row>
    <row r="10" spans="1:27" x14ac:dyDescent="0.35">
      <c r="A10" s="14"/>
      <c r="B10" s="7" t="s">
        <v>15</v>
      </c>
      <c r="C10" s="11">
        <v>138</v>
      </c>
      <c r="D10" s="11">
        <v>18</v>
      </c>
      <c r="E10" s="11">
        <v>18</v>
      </c>
      <c r="F10" s="11">
        <v>22</v>
      </c>
      <c r="G10" s="11">
        <v>0</v>
      </c>
      <c r="H10" s="11">
        <v>0</v>
      </c>
      <c r="I10" s="11">
        <v>0</v>
      </c>
      <c r="J10" s="15">
        <f t="shared" si="0"/>
        <v>4.9000000000000004</v>
      </c>
      <c r="K10" s="12">
        <v>6</v>
      </c>
      <c r="L10" s="13"/>
      <c r="M10" s="14"/>
      <c r="N10" s="7" t="s">
        <v>15</v>
      </c>
      <c r="O10" s="11">
        <v>138</v>
      </c>
      <c r="P10" s="11">
        <v>18</v>
      </c>
      <c r="Q10" s="11">
        <v>18</v>
      </c>
      <c r="R10" s="11">
        <v>22</v>
      </c>
      <c r="S10" s="11"/>
      <c r="T10" s="11"/>
      <c r="U10" s="11"/>
      <c r="V10" s="15">
        <f t="shared" si="1"/>
        <v>4.9000000000000004</v>
      </c>
      <c r="W10" s="12">
        <v>6</v>
      </c>
      <c r="Y10" s="36">
        <f t="shared" si="2"/>
        <v>4.9000000000000004</v>
      </c>
      <c r="Z10" s="37">
        <f t="shared" si="3"/>
        <v>4.9000000000000004</v>
      </c>
      <c r="AA10" s="38">
        <f t="shared" si="4"/>
        <v>0</v>
      </c>
    </row>
    <row r="11" spans="1:27" x14ac:dyDescent="0.35">
      <c r="A11" s="16"/>
      <c r="B11" s="17" t="s">
        <v>39</v>
      </c>
      <c r="C11" s="11">
        <v>86</v>
      </c>
      <c r="D11" s="11">
        <v>0</v>
      </c>
      <c r="E11" s="11">
        <v>0</v>
      </c>
      <c r="F11" s="11">
        <v>0</v>
      </c>
      <c r="G11" s="11">
        <v>42</v>
      </c>
      <c r="H11" s="11">
        <v>26</v>
      </c>
      <c r="I11" s="11">
        <v>42</v>
      </c>
      <c r="J11" s="15">
        <f t="shared" si="0"/>
        <v>4.9000000000000004</v>
      </c>
      <c r="K11" s="12">
        <v>4</v>
      </c>
      <c r="L11" s="13"/>
      <c r="M11" s="16"/>
      <c r="N11" s="17" t="s">
        <v>39</v>
      </c>
      <c r="O11" s="11">
        <v>6</v>
      </c>
      <c r="P11" s="11">
        <v>0</v>
      </c>
      <c r="Q11" s="11">
        <v>0</v>
      </c>
      <c r="R11" s="11">
        <v>0</v>
      </c>
      <c r="S11" s="11">
        <v>12</v>
      </c>
      <c r="T11" s="11">
        <v>6</v>
      </c>
      <c r="U11" s="11">
        <v>12</v>
      </c>
      <c r="V11" s="15">
        <f t="shared" si="1"/>
        <v>0.9</v>
      </c>
      <c r="W11" s="12">
        <v>2</v>
      </c>
      <c r="Y11" s="36">
        <f t="shared" si="2"/>
        <v>4.9000000000000004</v>
      </c>
      <c r="Z11" s="37">
        <f t="shared" si="3"/>
        <v>0.9</v>
      </c>
      <c r="AA11" s="38">
        <f t="shared" si="4"/>
        <v>4</v>
      </c>
    </row>
    <row r="12" spans="1:27" x14ac:dyDescent="0.35">
      <c r="A12" s="16"/>
      <c r="B12" s="17" t="s">
        <v>37</v>
      </c>
      <c r="C12" s="11">
        <v>176</v>
      </c>
      <c r="D12" s="11">
        <v>40</v>
      </c>
      <c r="E12" s="11">
        <v>48</v>
      </c>
      <c r="F12" s="11">
        <v>40</v>
      </c>
      <c r="G12" s="11">
        <v>8</v>
      </c>
      <c r="H12" s="11">
        <v>0</v>
      </c>
      <c r="I12" s="11">
        <v>4</v>
      </c>
      <c r="J12" s="15">
        <f t="shared" si="0"/>
        <v>7.9</v>
      </c>
      <c r="K12" s="12">
        <v>5</v>
      </c>
      <c r="L12" s="13"/>
      <c r="M12" s="16"/>
      <c r="N12" s="17" t="s">
        <v>37</v>
      </c>
      <c r="O12" s="11">
        <v>176</v>
      </c>
      <c r="P12" s="11">
        <v>40</v>
      </c>
      <c r="Q12" s="11">
        <v>40</v>
      </c>
      <c r="R12" s="11">
        <v>40</v>
      </c>
      <c r="S12" s="11">
        <v>0</v>
      </c>
      <c r="T12" s="11">
        <v>0</v>
      </c>
      <c r="U12" s="11">
        <v>0</v>
      </c>
      <c r="V12" s="15">
        <f t="shared" si="1"/>
        <v>7.4</v>
      </c>
      <c r="W12" s="12">
        <v>4</v>
      </c>
      <c r="Y12" s="36">
        <f t="shared" si="2"/>
        <v>7.9</v>
      </c>
      <c r="Z12" s="37">
        <f t="shared" si="3"/>
        <v>7.4</v>
      </c>
      <c r="AA12" s="38">
        <f t="shared" si="4"/>
        <v>0.5</v>
      </c>
    </row>
    <row r="13" spans="1:27" x14ac:dyDescent="0.35">
      <c r="A13" s="16"/>
      <c r="B13" s="17" t="s">
        <v>16</v>
      </c>
      <c r="C13" s="11"/>
      <c r="D13" s="11">
        <v>820</v>
      </c>
      <c r="E13" s="11">
        <v>840</v>
      </c>
      <c r="F13" s="11">
        <v>960</v>
      </c>
      <c r="G13" s="11">
        <v>860</v>
      </c>
      <c r="H13" s="11">
        <v>840</v>
      </c>
      <c r="I13" s="11">
        <v>840</v>
      </c>
      <c r="J13" s="15">
        <f t="shared" si="0"/>
        <v>129</v>
      </c>
      <c r="K13" s="12">
        <v>3</v>
      </c>
      <c r="L13" s="13"/>
      <c r="M13" s="16"/>
      <c r="N13" s="17" t="s">
        <v>16</v>
      </c>
      <c r="O13" s="11"/>
      <c r="P13" s="11">
        <v>800</v>
      </c>
      <c r="Q13" s="11">
        <v>800</v>
      </c>
      <c r="R13" s="11">
        <v>920</v>
      </c>
      <c r="S13" s="11">
        <v>840</v>
      </c>
      <c r="T13" s="11">
        <v>800</v>
      </c>
      <c r="U13" s="11">
        <v>800</v>
      </c>
      <c r="V13" s="15">
        <f t="shared" si="1"/>
        <v>124</v>
      </c>
      <c r="W13" s="12">
        <v>2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22</v>
      </c>
      <c r="K14" s="12">
        <v>18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10</v>
      </c>
      <c r="K15" s="12">
        <v>8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4">
        <f t="shared" ref="C18:I18" si="5">SUM(C8:C17)</f>
        <v>450</v>
      </c>
      <c r="D18" s="24">
        <f t="shared" si="5"/>
        <v>1030</v>
      </c>
      <c r="E18" s="24">
        <f t="shared" si="5"/>
        <v>976</v>
      </c>
      <c r="F18" s="24">
        <f t="shared" si="5"/>
        <v>1113</v>
      </c>
      <c r="G18" s="24">
        <f t="shared" si="5"/>
        <v>1020</v>
      </c>
      <c r="H18" s="24">
        <f t="shared" si="5"/>
        <v>976</v>
      </c>
      <c r="I18" s="24">
        <f t="shared" si="5"/>
        <v>996</v>
      </c>
      <c r="J18" s="19">
        <f>SUM(C18:I18)</f>
        <v>6561</v>
      </c>
      <c r="K18" s="27"/>
      <c r="M18" s="1"/>
      <c r="N18" s="7"/>
      <c r="O18" s="24">
        <f t="shared" ref="O18:U18" si="6">SUM(O8:O17)</f>
        <v>320</v>
      </c>
      <c r="P18" s="24">
        <f t="shared" si="6"/>
        <v>967</v>
      </c>
      <c r="Q18" s="24">
        <f t="shared" si="6"/>
        <v>888</v>
      </c>
      <c r="R18" s="24">
        <f t="shared" si="6"/>
        <v>1073</v>
      </c>
      <c r="S18" s="24">
        <f t="shared" si="6"/>
        <v>921</v>
      </c>
      <c r="T18" s="24">
        <f t="shared" si="6"/>
        <v>876</v>
      </c>
      <c r="U18" s="24">
        <f t="shared" si="6"/>
        <v>882</v>
      </c>
      <c r="V18" s="19">
        <f>SUM(O18:U18)</f>
        <v>5927</v>
      </c>
      <c r="W18" s="27"/>
      <c r="Y18" s="31">
        <f>SUM(Y8:Y17)</f>
        <v>35.024999999999999</v>
      </c>
      <c r="Z18" s="32">
        <f>SUM(Z8:Z17)</f>
        <v>24.174999999999997</v>
      </c>
      <c r="AA18" s="42">
        <f>SUM(AA8:AA17)</f>
        <v>10.850000000000001</v>
      </c>
    </row>
    <row r="19" spans="1:27" ht="15" thickBot="1" x14ac:dyDescent="0.4">
      <c r="A19" s="1"/>
      <c r="B19" s="20" t="s">
        <v>18</v>
      </c>
      <c r="C19" s="21">
        <f t="shared" ref="C19:J19" si="7">C18/40</f>
        <v>11.25</v>
      </c>
      <c r="D19" s="21">
        <f t="shared" si="7"/>
        <v>25.75</v>
      </c>
      <c r="E19" s="21">
        <f t="shared" si="7"/>
        <v>24.4</v>
      </c>
      <c r="F19" s="21">
        <f t="shared" si="7"/>
        <v>27.824999999999999</v>
      </c>
      <c r="G19" s="21">
        <f t="shared" si="7"/>
        <v>25.5</v>
      </c>
      <c r="H19" s="21">
        <f t="shared" si="7"/>
        <v>24.4</v>
      </c>
      <c r="I19" s="21">
        <f t="shared" si="7"/>
        <v>24.9</v>
      </c>
      <c r="J19" s="22">
        <f t="shared" si="7"/>
        <v>164.02500000000001</v>
      </c>
      <c r="K19" s="23"/>
      <c r="M19" s="1"/>
      <c r="N19" s="20" t="s">
        <v>18</v>
      </c>
      <c r="O19" s="21">
        <f t="shared" ref="O19:V19" si="8">O18/40</f>
        <v>8</v>
      </c>
      <c r="P19" s="21">
        <f t="shared" si="8"/>
        <v>24.175000000000001</v>
      </c>
      <c r="Q19" s="21">
        <f t="shared" si="8"/>
        <v>22.2</v>
      </c>
      <c r="R19" s="21">
        <f t="shared" si="8"/>
        <v>26.824999999999999</v>
      </c>
      <c r="S19" s="21">
        <f t="shared" si="8"/>
        <v>23.024999999999999</v>
      </c>
      <c r="T19" s="21">
        <f t="shared" si="8"/>
        <v>21.9</v>
      </c>
      <c r="U19" s="21">
        <f t="shared" si="8"/>
        <v>22.05</v>
      </c>
      <c r="V19" s="22">
        <f t="shared" si="8"/>
        <v>148.17500000000001</v>
      </c>
      <c r="W19" s="23"/>
      <c r="Y19" s="39">
        <f>Y18/40</f>
        <v>0.87562499999999999</v>
      </c>
      <c r="Z19" s="40">
        <f>Z18/40</f>
        <v>0.60437499999999988</v>
      </c>
      <c r="AA19" s="41">
        <f>AA18/40</f>
        <v>0.27125000000000005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C4D50-A789-4515-ABA1-71936FBC5F42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24</v>
      </c>
      <c r="B1" s="1"/>
      <c r="C1" s="1"/>
      <c r="D1" s="1"/>
      <c r="E1" s="1"/>
      <c r="F1" s="1"/>
      <c r="G1" s="1"/>
      <c r="H1" s="1"/>
      <c r="I1" s="1"/>
      <c r="L1" s="80" t="s">
        <v>29</v>
      </c>
      <c r="M1" s="80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8">
    <mergeCell ref="L1:M1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5E74C-C447-4A90-B62E-14FECF9BB5AD}">
  <dimension ref="A1:AA19"/>
  <sheetViews>
    <sheetView workbookViewId="0">
      <selection activeCell="P10" sqref="P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25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590</v>
      </c>
      <c r="D8" s="11">
        <v>0</v>
      </c>
      <c r="E8" s="11">
        <v>0</v>
      </c>
      <c r="F8" s="11">
        <v>11</v>
      </c>
      <c r="G8" s="11">
        <v>310</v>
      </c>
      <c r="H8" s="11">
        <v>339</v>
      </c>
      <c r="I8" s="11">
        <v>370</v>
      </c>
      <c r="J8" s="15">
        <v>42</v>
      </c>
      <c r="K8" s="12">
        <v>24</v>
      </c>
      <c r="L8" s="13"/>
      <c r="M8" s="14"/>
      <c r="N8" s="7" t="s">
        <v>13</v>
      </c>
      <c r="O8" s="11">
        <v>590</v>
      </c>
      <c r="P8" s="11">
        <v>0</v>
      </c>
      <c r="Q8" s="11">
        <v>0</v>
      </c>
      <c r="R8" s="11">
        <v>11</v>
      </c>
      <c r="S8" s="11">
        <v>295</v>
      </c>
      <c r="T8" s="11">
        <v>320</v>
      </c>
      <c r="U8" s="11">
        <v>345</v>
      </c>
      <c r="V8" s="15">
        <f>SUM(O8:U8)/40</f>
        <v>39.024999999999999</v>
      </c>
      <c r="W8" s="12">
        <v>24</v>
      </c>
      <c r="Y8" s="36">
        <f>J8</f>
        <v>42</v>
      </c>
      <c r="Z8" s="37">
        <f>V8</f>
        <v>39.024999999999999</v>
      </c>
      <c r="AA8" s="38">
        <f>Y8-Z8</f>
        <v>2.9750000000000014</v>
      </c>
    </row>
    <row r="9" spans="1:27" x14ac:dyDescent="0.35">
      <c r="A9" s="14"/>
      <c r="B9" s="7" t="s">
        <v>14</v>
      </c>
      <c r="C9" s="11"/>
      <c r="D9" s="11">
        <v>73</v>
      </c>
      <c r="E9" s="11">
        <v>56</v>
      </c>
      <c r="F9" s="11">
        <v>79</v>
      </c>
      <c r="G9" s="11">
        <v>82</v>
      </c>
      <c r="H9" s="11">
        <v>78</v>
      </c>
      <c r="I9" s="11">
        <v>88</v>
      </c>
      <c r="J9" s="15">
        <f t="shared" ref="J9:J16" si="0">SUM(C9:I9)/40</f>
        <v>11.4</v>
      </c>
      <c r="K9" s="12">
        <v>13</v>
      </c>
      <c r="L9" s="13"/>
      <c r="M9" s="14"/>
      <c r="N9" s="7" t="s">
        <v>14</v>
      </c>
      <c r="O9" s="11"/>
      <c r="P9" s="11">
        <v>73</v>
      </c>
      <c r="Q9" s="11">
        <v>56</v>
      </c>
      <c r="R9" s="11">
        <v>79</v>
      </c>
      <c r="S9" s="11">
        <v>82</v>
      </c>
      <c r="T9" s="11">
        <v>78</v>
      </c>
      <c r="U9" s="11">
        <v>88</v>
      </c>
      <c r="V9" s="15">
        <f t="shared" ref="V9:V16" si="1">SUM(O9:U9)/40</f>
        <v>11.4</v>
      </c>
      <c r="W9" s="12">
        <v>13</v>
      </c>
      <c r="Y9" s="36">
        <f t="shared" ref="Y9:Y17" si="2">J9</f>
        <v>11.4</v>
      </c>
      <c r="Z9" s="37">
        <f t="shared" ref="Z9:Z17" si="3">V9</f>
        <v>11.4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v>12</v>
      </c>
      <c r="K10" s="12">
        <v>14</v>
      </c>
      <c r="L10" s="13"/>
      <c r="M10" s="14"/>
      <c r="N10" s="7" t="s">
        <v>15</v>
      </c>
      <c r="O10" s="11">
        <v>180</v>
      </c>
      <c r="P10" s="11">
        <v>0</v>
      </c>
      <c r="Q10" s="11">
        <v>0</v>
      </c>
      <c r="R10" s="11">
        <v>0</v>
      </c>
      <c r="S10" s="11">
        <v>128</v>
      </c>
      <c r="T10" s="11">
        <v>79</v>
      </c>
      <c r="U10" s="11">
        <v>122</v>
      </c>
      <c r="V10" s="15">
        <f t="shared" si="1"/>
        <v>12.725</v>
      </c>
      <c r="W10" s="12">
        <v>10</v>
      </c>
      <c r="Y10" s="36">
        <f t="shared" si="2"/>
        <v>12</v>
      </c>
      <c r="Z10" s="37">
        <f t="shared" si="3"/>
        <v>12.725</v>
      </c>
      <c r="AA10" s="38">
        <f t="shared" si="4"/>
        <v>-0.72499999999999964</v>
      </c>
    </row>
    <row r="11" spans="1:27" x14ac:dyDescent="0.35">
      <c r="A11" s="16"/>
      <c r="B11" s="17" t="s">
        <v>39</v>
      </c>
      <c r="C11" s="11">
        <v>196</v>
      </c>
      <c r="D11" s="11">
        <v>0</v>
      </c>
      <c r="E11" s="11">
        <v>0</v>
      </c>
      <c r="F11" s="11">
        <v>0</v>
      </c>
      <c r="G11" s="11">
        <v>95</v>
      </c>
      <c r="H11" s="11">
        <v>90</v>
      </c>
      <c r="I11" s="11">
        <v>95</v>
      </c>
      <c r="J11" s="15">
        <f t="shared" si="0"/>
        <v>11.9</v>
      </c>
      <c r="K11" s="12">
        <v>4</v>
      </c>
      <c r="L11" s="13"/>
      <c r="M11" s="16"/>
      <c r="N11" s="17" t="s">
        <v>39</v>
      </c>
      <c r="O11" s="11">
        <v>201</v>
      </c>
      <c r="P11" s="11">
        <v>5</v>
      </c>
      <c r="Q11" s="11">
        <v>5</v>
      </c>
      <c r="R11" s="11">
        <v>5</v>
      </c>
      <c r="S11" s="11">
        <v>100</v>
      </c>
      <c r="T11" s="11">
        <v>95</v>
      </c>
      <c r="U11" s="11">
        <v>100</v>
      </c>
      <c r="V11" s="15">
        <f t="shared" si="1"/>
        <v>12.775</v>
      </c>
      <c r="W11" s="12">
        <v>5</v>
      </c>
      <c r="Y11" s="36">
        <f t="shared" si="2"/>
        <v>11.9</v>
      </c>
      <c r="Z11" s="37">
        <f t="shared" si="3"/>
        <v>12.775</v>
      </c>
      <c r="AA11" s="38">
        <f t="shared" si="4"/>
        <v>-0.875</v>
      </c>
    </row>
    <row r="12" spans="1:27" x14ac:dyDescent="0.35">
      <c r="A12" s="16"/>
      <c r="B12" s="17" t="s">
        <v>37</v>
      </c>
      <c r="C12" s="11">
        <v>90</v>
      </c>
      <c r="D12" s="11">
        <v>18</v>
      </c>
      <c r="E12" s="11">
        <v>16</v>
      </c>
      <c r="F12" s="11">
        <v>12</v>
      </c>
      <c r="G12" s="11">
        <v>24</v>
      </c>
      <c r="H12" s="11">
        <v>17</v>
      </c>
      <c r="I12" s="11">
        <v>10</v>
      </c>
      <c r="J12" s="15">
        <f t="shared" si="0"/>
        <v>4.6749999999999998</v>
      </c>
      <c r="K12" s="12">
        <v>7</v>
      </c>
      <c r="L12" s="13"/>
      <c r="M12" s="16"/>
      <c r="N12" s="17" t="s">
        <v>37</v>
      </c>
      <c r="O12" s="11">
        <v>32</v>
      </c>
      <c r="P12" s="11">
        <v>0</v>
      </c>
      <c r="Q12" s="11">
        <v>10</v>
      </c>
      <c r="R12" s="11">
        <v>0</v>
      </c>
      <c r="S12" s="11">
        <v>10</v>
      </c>
      <c r="T12" s="11">
        <v>0</v>
      </c>
      <c r="U12" s="11">
        <v>0</v>
      </c>
      <c r="V12" s="15">
        <f t="shared" si="1"/>
        <v>1.3</v>
      </c>
      <c r="W12" s="12">
        <v>2</v>
      </c>
      <c r="Y12" s="36">
        <f t="shared" si="2"/>
        <v>4.6749999999999998</v>
      </c>
      <c r="Z12" s="37">
        <f t="shared" si="3"/>
        <v>1.3</v>
      </c>
      <c r="AA12" s="38">
        <f t="shared" si="4"/>
        <v>3.375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>
        <v>280</v>
      </c>
      <c r="P13" s="11">
        <v>360</v>
      </c>
      <c r="Q13" s="11">
        <v>360</v>
      </c>
      <c r="R13" s="11">
        <v>400</v>
      </c>
      <c r="S13" s="11">
        <v>360</v>
      </c>
      <c r="T13" s="11">
        <v>320</v>
      </c>
      <c r="U13" s="11"/>
      <c r="V13" s="15">
        <f t="shared" si="1"/>
        <v>52</v>
      </c>
      <c r="W13" s="12">
        <v>3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876</v>
      </c>
      <c r="D18" s="25">
        <f t="shared" si="5"/>
        <v>91</v>
      </c>
      <c r="E18" s="25">
        <f t="shared" si="5"/>
        <v>72</v>
      </c>
      <c r="F18" s="25">
        <f t="shared" si="5"/>
        <v>102</v>
      </c>
      <c r="G18" s="25">
        <f t="shared" si="5"/>
        <v>511</v>
      </c>
      <c r="H18" s="25">
        <f t="shared" si="5"/>
        <v>524</v>
      </c>
      <c r="I18" s="25">
        <f t="shared" si="5"/>
        <v>563</v>
      </c>
      <c r="J18" s="26">
        <f>SUM(C18:I18)</f>
        <v>2739</v>
      </c>
      <c r="K18" s="28"/>
      <c r="M18" s="1"/>
      <c r="N18" s="7"/>
      <c r="O18" s="25">
        <f t="shared" ref="O18:U18" si="6">SUM(O8:O17)</f>
        <v>1283</v>
      </c>
      <c r="P18" s="25">
        <f t="shared" si="6"/>
        <v>438</v>
      </c>
      <c r="Q18" s="25">
        <f t="shared" si="6"/>
        <v>431</v>
      </c>
      <c r="R18" s="25">
        <f t="shared" si="6"/>
        <v>495</v>
      </c>
      <c r="S18" s="25">
        <f t="shared" si="6"/>
        <v>975</v>
      </c>
      <c r="T18" s="25">
        <f t="shared" si="6"/>
        <v>892</v>
      </c>
      <c r="U18" s="25">
        <f t="shared" si="6"/>
        <v>655</v>
      </c>
      <c r="V18" s="26">
        <f>SUM(O18:U18)</f>
        <v>5169</v>
      </c>
      <c r="W18" s="28"/>
      <c r="Y18" s="33">
        <f>SUM(Y8:Y17)</f>
        <v>81.975000000000009</v>
      </c>
      <c r="Z18" s="34">
        <f>SUM(Z8:Z17)</f>
        <v>77.224999999999994</v>
      </c>
      <c r="AA18" s="35">
        <f>SUM(AA8:AA17)</f>
        <v>4.7500000000000018</v>
      </c>
    </row>
    <row r="19" spans="1:27" ht="15" thickBot="1" x14ac:dyDescent="0.4">
      <c r="A19" s="1"/>
      <c r="B19" s="20" t="s">
        <v>18</v>
      </c>
      <c r="C19" s="21">
        <f t="shared" ref="C19:I19" si="7">C18/40</f>
        <v>21.9</v>
      </c>
      <c r="D19" s="21">
        <f t="shared" si="7"/>
        <v>2.2749999999999999</v>
      </c>
      <c r="E19" s="21">
        <f t="shared" si="7"/>
        <v>1.8</v>
      </c>
      <c r="F19" s="21">
        <f t="shared" si="7"/>
        <v>2.5499999999999998</v>
      </c>
      <c r="G19" s="21">
        <f t="shared" si="7"/>
        <v>12.775</v>
      </c>
      <c r="H19" s="21">
        <f t="shared" si="7"/>
        <v>13.1</v>
      </c>
      <c r="I19" s="21">
        <f t="shared" si="7"/>
        <v>14.074999999999999</v>
      </c>
      <c r="J19" s="22">
        <f>SUM(J8:J16)</f>
        <v>81.975000000000009</v>
      </c>
      <c r="K19" s="23"/>
      <c r="M19" s="1"/>
      <c r="N19" s="20" t="s">
        <v>18</v>
      </c>
      <c r="O19" s="21">
        <f t="shared" ref="O19:V19" si="8">O18/40</f>
        <v>32.075000000000003</v>
      </c>
      <c r="P19" s="21">
        <f t="shared" si="8"/>
        <v>10.95</v>
      </c>
      <c r="Q19" s="21">
        <f t="shared" si="8"/>
        <v>10.775</v>
      </c>
      <c r="R19" s="21">
        <f t="shared" si="8"/>
        <v>12.375</v>
      </c>
      <c r="S19" s="21">
        <f t="shared" si="8"/>
        <v>24.375</v>
      </c>
      <c r="T19" s="21">
        <f t="shared" si="8"/>
        <v>22.3</v>
      </c>
      <c r="U19" s="21">
        <f t="shared" si="8"/>
        <v>16.375</v>
      </c>
      <c r="V19" s="22">
        <f t="shared" si="8"/>
        <v>129.22499999999999</v>
      </c>
      <c r="W19" s="23"/>
      <c r="Y19" s="39">
        <f>Y18/40</f>
        <v>2.0493750000000004</v>
      </c>
      <c r="Z19" s="40">
        <f>Z18/40</f>
        <v>1.9306249999999998</v>
      </c>
      <c r="AA19" s="41">
        <f>AA18/40</f>
        <v>0.11875000000000005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FBE16-0424-4AA6-A26A-B37C87397264}">
  <dimension ref="A1:AA19"/>
  <sheetViews>
    <sheetView workbookViewId="0">
      <selection activeCell="M13" sqref="M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26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>
        <v>84</v>
      </c>
      <c r="P8" s="11">
        <v>40</v>
      </c>
      <c r="Q8" s="11">
        <v>0</v>
      </c>
      <c r="R8" s="11">
        <v>0</v>
      </c>
      <c r="S8" s="11">
        <v>25</v>
      </c>
      <c r="T8" s="11">
        <v>45</v>
      </c>
      <c r="U8" s="11">
        <v>50</v>
      </c>
      <c r="V8" s="15">
        <f>SUM(O8:U8)/40</f>
        <v>6.1</v>
      </c>
      <c r="W8" s="12">
        <v>12</v>
      </c>
      <c r="Y8" s="36">
        <f>J8</f>
        <v>0</v>
      </c>
      <c r="Z8" s="37">
        <f>V8</f>
        <v>6.1</v>
      </c>
      <c r="AA8" s="38">
        <f>Y8-Z8</f>
        <v>-6.1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>SUM(C9:I9)/40</f>
        <v>0</v>
      </c>
      <c r="K9" s="12"/>
      <c r="L9" s="13"/>
      <c r="M9" s="14"/>
      <c r="N9" s="7" t="s">
        <v>14</v>
      </c>
      <c r="O9" s="11">
        <v>80</v>
      </c>
      <c r="P9" s="11">
        <v>105</v>
      </c>
      <c r="Q9" s="11">
        <v>99</v>
      </c>
      <c r="R9" s="11">
        <v>115</v>
      </c>
      <c r="S9" s="11">
        <v>54</v>
      </c>
      <c r="T9" s="11">
        <v>55</v>
      </c>
      <c r="U9" s="11"/>
      <c r="V9" s="15">
        <f t="shared" ref="V9:V16" si="0">SUM(O9:U9)/40</f>
        <v>12.7</v>
      </c>
      <c r="W9" s="12">
        <v>20</v>
      </c>
      <c r="Y9" s="36">
        <f t="shared" ref="Y9:Y17" si="1">J9</f>
        <v>0</v>
      </c>
      <c r="Z9" s="37">
        <f t="shared" ref="Z9:Z17" si="2">V9</f>
        <v>12.7</v>
      </c>
      <c r="AA9" s="38">
        <f t="shared" ref="AA9:AA17" si="3">Y9-Z9</f>
        <v>-12.7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ref="J10:J16" si="4">SUM(C10:I10)/40</f>
        <v>0</v>
      </c>
      <c r="K10" s="12"/>
      <c r="L10" s="13"/>
      <c r="M10" s="14"/>
      <c r="N10" s="7" t="s">
        <v>15</v>
      </c>
      <c r="O10" s="11">
        <v>138</v>
      </c>
      <c r="P10" s="11">
        <v>40</v>
      </c>
      <c r="Q10" s="11">
        <v>40</v>
      </c>
      <c r="R10" s="11">
        <v>40</v>
      </c>
      <c r="S10" s="11">
        <v>55</v>
      </c>
      <c r="T10" s="11">
        <v>50</v>
      </c>
      <c r="U10" s="11">
        <v>55</v>
      </c>
      <c r="V10" s="15">
        <f t="shared" si="0"/>
        <v>10.45</v>
      </c>
      <c r="W10" s="12">
        <v>6</v>
      </c>
      <c r="Y10" s="36">
        <f t="shared" si="1"/>
        <v>0</v>
      </c>
      <c r="Z10" s="37">
        <f t="shared" si="2"/>
        <v>10.45</v>
      </c>
      <c r="AA10" s="38">
        <f t="shared" si="3"/>
        <v>-10.45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4"/>
        <v>0</v>
      </c>
      <c r="K11" s="12"/>
      <c r="L11" s="13"/>
      <c r="M11" s="16"/>
      <c r="N11" s="17" t="s">
        <v>39</v>
      </c>
      <c r="O11" s="11">
        <v>76</v>
      </c>
      <c r="P11" s="11">
        <v>10</v>
      </c>
      <c r="Q11" s="11">
        <v>10</v>
      </c>
      <c r="R11" s="11">
        <v>22</v>
      </c>
      <c r="S11" s="11">
        <v>18</v>
      </c>
      <c r="T11" s="11">
        <v>10</v>
      </c>
      <c r="U11" s="11">
        <v>0</v>
      </c>
      <c r="V11" s="15">
        <f t="shared" si="0"/>
        <v>3.65</v>
      </c>
      <c r="W11" s="12">
        <v>4</v>
      </c>
      <c r="Y11" s="36">
        <f t="shared" si="1"/>
        <v>0</v>
      </c>
      <c r="Z11" s="37">
        <f t="shared" si="2"/>
        <v>3.65</v>
      </c>
      <c r="AA11" s="38">
        <f t="shared" si="3"/>
        <v>-3.65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4"/>
        <v>0</v>
      </c>
      <c r="K12" s="12"/>
      <c r="L12" s="13"/>
      <c r="M12" s="16"/>
      <c r="N12" s="17" t="s">
        <v>37</v>
      </c>
      <c r="O12" s="11">
        <v>128</v>
      </c>
      <c r="P12" s="11">
        <v>0</v>
      </c>
      <c r="Q12" s="11">
        <v>12</v>
      </c>
      <c r="R12" s="11">
        <v>0</v>
      </c>
      <c r="S12" s="11">
        <v>0</v>
      </c>
      <c r="T12" s="11">
        <v>0</v>
      </c>
      <c r="U12" s="11">
        <v>12</v>
      </c>
      <c r="V12" s="15">
        <f t="shared" si="0"/>
        <v>3.8</v>
      </c>
      <c r="W12" s="12">
        <v>5</v>
      </c>
      <c r="Y12" s="36">
        <f t="shared" si="1"/>
        <v>0</v>
      </c>
      <c r="Z12" s="37">
        <f t="shared" si="2"/>
        <v>3.8</v>
      </c>
      <c r="AA12" s="38">
        <f t="shared" si="3"/>
        <v>-3.8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4"/>
        <v>0</v>
      </c>
      <c r="K13" s="12"/>
      <c r="L13" s="13"/>
      <c r="M13" s="16"/>
      <c r="N13" s="17" t="s">
        <v>16</v>
      </c>
      <c r="O13" s="11"/>
      <c r="P13" s="11">
        <v>160</v>
      </c>
      <c r="Q13" s="11">
        <v>160</v>
      </c>
      <c r="R13" s="11">
        <v>200</v>
      </c>
      <c r="S13" s="11">
        <v>360</v>
      </c>
      <c r="T13" s="11">
        <v>280</v>
      </c>
      <c r="U13" s="11"/>
      <c r="V13" s="15">
        <f t="shared" si="0"/>
        <v>29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4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4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4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1"/>
        <v>0</v>
      </c>
      <c r="Z17" s="37">
        <f t="shared" si="2"/>
        <v>0</v>
      </c>
      <c r="AA17" s="38">
        <f t="shared" si="3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506</v>
      </c>
      <c r="P18" s="25">
        <f t="shared" si="6"/>
        <v>355</v>
      </c>
      <c r="Q18" s="25">
        <f t="shared" si="6"/>
        <v>321</v>
      </c>
      <c r="R18" s="25">
        <f t="shared" si="6"/>
        <v>377</v>
      </c>
      <c r="S18" s="25">
        <f t="shared" si="6"/>
        <v>512</v>
      </c>
      <c r="T18" s="25">
        <f t="shared" si="6"/>
        <v>440</v>
      </c>
      <c r="U18" s="25">
        <f t="shared" si="6"/>
        <v>117</v>
      </c>
      <c r="V18" s="26">
        <f>SUM(O18:U18)</f>
        <v>2628</v>
      </c>
      <c r="W18" s="28"/>
      <c r="Y18" s="33">
        <f>SUM(Y8:Y17)</f>
        <v>0</v>
      </c>
      <c r="Z18" s="34">
        <f>SUM(Z8:Z17)</f>
        <v>36.699999999999996</v>
      </c>
      <c r="AA18" s="35">
        <f>SUM(AA8:AA17)</f>
        <v>-36.699999999999996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12.65</v>
      </c>
      <c r="P19" s="21">
        <f t="shared" si="8"/>
        <v>8.875</v>
      </c>
      <c r="Q19" s="21">
        <f t="shared" si="8"/>
        <v>8.0250000000000004</v>
      </c>
      <c r="R19" s="21">
        <f t="shared" si="8"/>
        <v>9.4250000000000007</v>
      </c>
      <c r="S19" s="21">
        <f t="shared" si="8"/>
        <v>12.8</v>
      </c>
      <c r="T19" s="21">
        <f t="shared" si="8"/>
        <v>11</v>
      </c>
      <c r="U19" s="21">
        <f t="shared" si="8"/>
        <v>2.9249999999999998</v>
      </c>
      <c r="V19" s="22">
        <f t="shared" si="8"/>
        <v>65.7</v>
      </c>
      <c r="W19" s="23"/>
      <c r="Y19" s="39">
        <f>Y18/40</f>
        <v>0</v>
      </c>
      <c r="Z19" s="40">
        <f>Z18/40</f>
        <v>0.91749999999999987</v>
      </c>
      <c r="AA19" s="41">
        <f>AA18/40</f>
        <v>-0.91749999999999987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A0396-7890-4995-B70F-491025A8A037}">
  <dimension ref="A1:AA20"/>
  <sheetViews>
    <sheetView workbookViewId="0">
      <selection activeCell="W12" sqref="W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.36328125" bestFit="1" customWidth="1"/>
    <col min="4" max="4" width="5.36328125" bestFit="1" customWidth="1"/>
    <col min="5" max="6" width="4.08984375" bestFit="1" customWidth="1"/>
    <col min="7" max="9" width="5.36328125" bestFit="1" customWidth="1"/>
    <col min="10" max="10" width="6.1796875" bestFit="1" customWidth="1"/>
    <col min="11" max="11" width="5.36328125" bestFit="1" customWidth="1"/>
    <col min="14" max="14" width="7.5429687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49" t="s">
        <v>27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1"/>
      <c r="N1" s="1"/>
      <c r="O1" s="1"/>
      <c r="P1" s="1"/>
      <c r="Q1" s="1"/>
      <c r="R1" s="1"/>
      <c r="S1" s="1"/>
      <c r="T1" s="1"/>
      <c r="U1" s="1"/>
    </row>
    <row r="2" spans="1:27" ht="14.5" customHeight="1" x14ac:dyDescent="0.35">
      <c r="A2" s="44"/>
      <c r="B2" s="77" t="s">
        <v>0</v>
      </c>
      <c r="C2" s="77"/>
      <c r="D2" s="77"/>
      <c r="E2" s="77"/>
      <c r="F2" s="77"/>
      <c r="G2" s="77"/>
      <c r="H2" s="77"/>
      <c r="I2" s="77"/>
      <c r="J2" s="77"/>
      <c r="K2" s="44"/>
      <c r="L2" s="44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44"/>
      <c r="B3" s="77"/>
      <c r="C3" s="77"/>
      <c r="D3" s="77"/>
      <c r="E3" s="77"/>
      <c r="F3" s="77"/>
      <c r="G3" s="77"/>
      <c r="H3" s="77"/>
      <c r="I3" s="77"/>
      <c r="J3" s="77"/>
      <c r="K3" s="44"/>
      <c r="L3" s="44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44"/>
      <c r="B4" s="77"/>
      <c r="C4" s="77"/>
      <c r="D4" s="77"/>
      <c r="E4" s="77"/>
      <c r="F4" s="77"/>
      <c r="G4" s="77"/>
      <c r="H4" s="77"/>
      <c r="I4" s="77"/>
      <c r="J4" s="77"/>
      <c r="K4" s="44"/>
      <c r="L4" s="44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customHeight="1" thickBot="1" x14ac:dyDescent="0.4">
      <c r="A5" s="44"/>
      <c r="B5" s="78"/>
      <c r="C5" s="78"/>
      <c r="D5" s="78"/>
      <c r="E5" s="78"/>
      <c r="F5" s="78"/>
      <c r="G5" s="78"/>
      <c r="H5" s="78"/>
      <c r="I5" s="78"/>
      <c r="J5" s="78"/>
      <c r="K5" s="44"/>
      <c r="L5" s="44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44"/>
      <c r="B6" s="45"/>
      <c r="C6" s="46" t="s">
        <v>2</v>
      </c>
      <c r="D6" s="82" t="s">
        <v>3</v>
      </c>
      <c r="E6" s="82"/>
      <c r="F6" s="82"/>
      <c r="G6" s="82" t="s">
        <v>4</v>
      </c>
      <c r="H6" s="82"/>
      <c r="I6" s="82"/>
      <c r="J6" s="47"/>
      <c r="K6" s="48"/>
      <c r="L6" s="44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49"/>
      <c r="B7" s="50" t="s">
        <v>5</v>
      </c>
      <c r="C7" s="51" t="s">
        <v>6</v>
      </c>
      <c r="D7" s="52" t="s">
        <v>7</v>
      </c>
      <c r="E7" s="52" t="s">
        <v>8</v>
      </c>
      <c r="F7" s="52" t="s">
        <v>9</v>
      </c>
      <c r="G7" s="53" t="s">
        <v>7</v>
      </c>
      <c r="H7" s="53" t="s">
        <v>10</v>
      </c>
      <c r="I7" s="53" t="s">
        <v>9</v>
      </c>
      <c r="J7" s="54" t="s">
        <v>11</v>
      </c>
      <c r="K7" s="55" t="s">
        <v>12</v>
      </c>
      <c r="L7" s="56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57"/>
      <c r="B8" s="50" t="s">
        <v>13</v>
      </c>
      <c r="C8" s="54"/>
      <c r="D8" s="54"/>
      <c r="E8" s="54"/>
      <c r="F8" s="54"/>
      <c r="G8" s="54"/>
      <c r="H8" s="54"/>
      <c r="I8" s="54"/>
      <c r="J8" s="58">
        <f>SUM(C8:I8)/40</f>
        <v>0</v>
      </c>
      <c r="K8" s="55"/>
      <c r="L8" s="56"/>
      <c r="M8" s="14"/>
      <c r="N8" s="50" t="s">
        <v>13</v>
      </c>
      <c r="O8" s="11">
        <v>40</v>
      </c>
      <c r="P8" s="11">
        <v>40</v>
      </c>
      <c r="Q8" s="11">
        <v>0</v>
      </c>
      <c r="R8" s="11">
        <v>0</v>
      </c>
      <c r="S8" s="11">
        <v>100</v>
      </c>
      <c r="T8" s="11">
        <v>100</v>
      </c>
      <c r="U8" s="11">
        <v>120</v>
      </c>
      <c r="V8" s="15">
        <f>SUM(O8:U8)/40</f>
        <v>10</v>
      </c>
      <c r="W8" s="12">
        <v>19</v>
      </c>
      <c r="Y8" s="36">
        <f>J8</f>
        <v>0</v>
      </c>
      <c r="Z8" s="37">
        <f>V8</f>
        <v>10</v>
      </c>
      <c r="AA8" s="38">
        <f>Y8-Z8</f>
        <v>-10</v>
      </c>
    </row>
    <row r="9" spans="1:27" x14ac:dyDescent="0.35">
      <c r="A9" s="57"/>
      <c r="B9" s="50" t="s">
        <v>14</v>
      </c>
      <c r="C9" s="54"/>
      <c r="D9" s="54"/>
      <c r="E9" s="54"/>
      <c r="F9" s="54"/>
      <c r="G9" s="54"/>
      <c r="H9" s="54"/>
      <c r="I9" s="54"/>
      <c r="J9" s="58">
        <f t="shared" ref="J9:J16" si="0">SUM(C9:I9)/40</f>
        <v>0</v>
      </c>
      <c r="K9" s="55"/>
      <c r="L9" s="56"/>
      <c r="M9" s="14"/>
      <c r="N9" s="50" t="s">
        <v>14</v>
      </c>
      <c r="O9" s="11">
        <v>72</v>
      </c>
      <c r="P9" s="11">
        <v>85</v>
      </c>
      <c r="Q9" s="11">
        <v>27</v>
      </c>
      <c r="R9" s="11">
        <v>133</v>
      </c>
      <c r="S9" s="11">
        <v>79</v>
      </c>
      <c r="T9" s="11">
        <v>12</v>
      </c>
      <c r="U9" s="11">
        <v>101</v>
      </c>
      <c r="V9" s="15">
        <f t="shared" ref="V9:V16" si="1">SUM(O9:U9)/40</f>
        <v>12.725</v>
      </c>
      <c r="W9" s="12">
        <v>16</v>
      </c>
      <c r="Y9" s="36">
        <f t="shared" ref="Y9:Y17" si="2">J9</f>
        <v>0</v>
      </c>
      <c r="Z9" s="37">
        <f t="shared" ref="Z9:Z17" si="3">V9</f>
        <v>12.725</v>
      </c>
      <c r="AA9" s="38">
        <f t="shared" ref="AA9:AA17" si="4">Y9-Z9</f>
        <v>-12.725</v>
      </c>
    </row>
    <row r="10" spans="1:27" x14ac:dyDescent="0.35">
      <c r="A10" s="57"/>
      <c r="B10" s="50" t="s">
        <v>15</v>
      </c>
      <c r="C10" s="54"/>
      <c r="D10" s="54"/>
      <c r="E10" s="54"/>
      <c r="F10" s="54"/>
      <c r="G10" s="54"/>
      <c r="H10" s="54"/>
      <c r="I10" s="54"/>
      <c r="J10" s="58">
        <f t="shared" si="0"/>
        <v>0</v>
      </c>
      <c r="K10" s="55"/>
      <c r="L10" s="56"/>
      <c r="M10" s="14"/>
      <c r="N10" s="50" t="s">
        <v>15</v>
      </c>
      <c r="O10" s="11">
        <v>132</v>
      </c>
      <c r="P10" s="11">
        <v>0</v>
      </c>
      <c r="Q10" s="11">
        <v>0</v>
      </c>
      <c r="R10" s="11">
        <v>0</v>
      </c>
      <c r="S10" s="11">
        <v>5</v>
      </c>
      <c r="T10" s="11">
        <v>16</v>
      </c>
      <c r="U10" s="11">
        <v>45</v>
      </c>
      <c r="V10" s="15">
        <f t="shared" si="1"/>
        <v>4.95</v>
      </c>
      <c r="W10" s="12">
        <v>5</v>
      </c>
      <c r="Y10" s="36">
        <f t="shared" si="2"/>
        <v>0</v>
      </c>
      <c r="Z10" s="37">
        <f t="shared" si="3"/>
        <v>4.95</v>
      </c>
      <c r="AA10" s="38">
        <f t="shared" si="4"/>
        <v>-4.95</v>
      </c>
    </row>
    <row r="11" spans="1:27" x14ac:dyDescent="0.35">
      <c r="A11" s="59"/>
      <c r="B11" s="60" t="s">
        <v>39</v>
      </c>
      <c r="C11" s="54"/>
      <c r="D11" s="54"/>
      <c r="E11" s="54"/>
      <c r="F11" s="54"/>
      <c r="G11" s="54"/>
      <c r="H11" s="54"/>
      <c r="I11" s="54"/>
      <c r="J11" s="58">
        <f t="shared" si="0"/>
        <v>0</v>
      </c>
      <c r="K11" s="55"/>
      <c r="L11" s="56"/>
      <c r="M11" s="16"/>
      <c r="N11" s="60" t="s">
        <v>39</v>
      </c>
      <c r="O11" s="11">
        <v>92</v>
      </c>
      <c r="P11" s="11">
        <v>55</v>
      </c>
      <c r="Q11" s="11">
        <v>50</v>
      </c>
      <c r="R11" s="11">
        <v>55</v>
      </c>
      <c r="S11" s="11">
        <v>183</v>
      </c>
      <c r="T11" s="11">
        <v>173</v>
      </c>
      <c r="U11" s="11">
        <v>186</v>
      </c>
      <c r="V11" s="15">
        <f t="shared" si="1"/>
        <v>19.850000000000001</v>
      </c>
      <c r="W11" s="12">
        <v>17</v>
      </c>
      <c r="Y11" s="36">
        <f t="shared" si="2"/>
        <v>0</v>
      </c>
      <c r="Z11" s="37">
        <f t="shared" si="3"/>
        <v>19.850000000000001</v>
      </c>
      <c r="AA11" s="38">
        <f t="shared" si="4"/>
        <v>-19.850000000000001</v>
      </c>
    </row>
    <row r="12" spans="1:27" x14ac:dyDescent="0.35">
      <c r="A12" s="59"/>
      <c r="B12" s="60" t="s">
        <v>37</v>
      </c>
      <c r="C12" s="54"/>
      <c r="D12" s="54"/>
      <c r="E12" s="54"/>
      <c r="F12" s="54"/>
      <c r="G12" s="54"/>
      <c r="H12" s="54"/>
      <c r="I12" s="54"/>
      <c r="J12" s="58">
        <f t="shared" si="0"/>
        <v>0</v>
      </c>
      <c r="K12" s="55"/>
      <c r="L12" s="56"/>
      <c r="M12" s="16"/>
      <c r="N12" s="60" t="s">
        <v>37</v>
      </c>
      <c r="O12" s="11">
        <v>100</v>
      </c>
      <c r="P12" s="11">
        <v>40</v>
      </c>
      <c r="Q12" s="11">
        <v>58</v>
      </c>
      <c r="R12" s="11">
        <v>52</v>
      </c>
      <c r="S12" s="11">
        <v>86</v>
      </c>
      <c r="T12" s="11">
        <v>40</v>
      </c>
      <c r="U12" s="11">
        <v>78</v>
      </c>
      <c r="V12" s="15">
        <f t="shared" si="1"/>
        <v>11.35</v>
      </c>
      <c r="W12" s="12">
        <v>6</v>
      </c>
      <c r="Y12" s="36">
        <f t="shared" si="2"/>
        <v>0</v>
      </c>
      <c r="Z12" s="37">
        <f t="shared" si="3"/>
        <v>11.35</v>
      </c>
      <c r="AA12" s="38">
        <f t="shared" si="4"/>
        <v>-11.35</v>
      </c>
    </row>
    <row r="13" spans="1:27" x14ac:dyDescent="0.35">
      <c r="A13" s="59"/>
      <c r="B13" s="60" t="s">
        <v>16</v>
      </c>
      <c r="C13" s="54"/>
      <c r="D13" s="54"/>
      <c r="E13" s="54"/>
      <c r="F13" s="54"/>
      <c r="G13" s="54"/>
      <c r="H13" s="54"/>
      <c r="I13" s="54"/>
      <c r="J13" s="58">
        <f t="shared" si="0"/>
        <v>0</v>
      </c>
      <c r="K13" s="55"/>
      <c r="L13" s="56"/>
      <c r="M13" s="16"/>
      <c r="N13" s="60" t="s">
        <v>16</v>
      </c>
      <c r="O13" s="11"/>
      <c r="P13" s="11"/>
      <c r="Q13" s="11"/>
      <c r="R13" s="11"/>
      <c r="S13" s="11">
        <v>40</v>
      </c>
      <c r="T13" s="11">
        <v>40</v>
      </c>
      <c r="U13" s="11">
        <v>40</v>
      </c>
      <c r="V13" s="15">
        <f t="shared" si="1"/>
        <v>3</v>
      </c>
      <c r="W13" s="12"/>
      <c r="Y13" s="36"/>
      <c r="Z13" s="37"/>
      <c r="AA13" s="38"/>
    </row>
    <row r="14" spans="1:27" x14ac:dyDescent="0.35">
      <c r="A14" s="59"/>
      <c r="B14" s="60" t="s">
        <v>45</v>
      </c>
      <c r="C14" s="54"/>
      <c r="D14" s="54"/>
      <c r="E14" s="54"/>
      <c r="F14" s="54"/>
      <c r="G14" s="54"/>
      <c r="H14" s="54"/>
      <c r="I14" s="54"/>
      <c r="J14" s="58">
        <f t="shared" si="0"/>
        <v>0</v>
      </c>
      <c r="K14" s="55"/>
      <c r="L14" s="56"/>
      <c r="M14" s="16"/>
      <c r="N14" s="60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59"/>
      <c r="B15" s="60" t="s">
        <v>46</v>
      </c>
      <c r="C15" s="54"/>
      <c r="D15" s="54"/>
      <c r="E15" s="54"/>
      <c r="F15" s="54"/>
      <c r="G15" s="54"/>
      <c r="H15" s="54"/>
      <c r="I15" s="54"/>
      <c r="J15" s="58">
        <f t="shared" si="0"/>
        <v>0</v>
      </c>
      <c r="K15" s="55"/>
      <c r="L15" s="56"/>
      <c r="M15" s="16"/>
      <c r="N15" s="60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59"/>
      <c r="B16" s="60" t="s">
        <v>48</v>
      </c>
      <c r="C16" s="54"/>
      <c r="D16" s="54"/>
      <c r="E16" s="54"/>
      <c r="F16" s="54"/>
      <c r="G16" s="54"/>
      <c r="H16" s="54"/>
      <c r="I16" s="54"/>
      <c r="J16" s="58">
        <f t="shared" si="0"/>
        <v>0</v>
      </c>
      <c r="K16" s="55"/>
      <c r="L16" s="56"/>
      <c r="M16" s="16"/>
      <c r="N16" s="60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59"/>
      <c r="B17" s="60"/>
      <c r="C17" s="54"/>
      <c r="D17" s="54"/>
      <c r="E17" s="54"/>
      <c r="F17" s="54"/>
      <c r="G17" s="54"/>
      <c r="H17" s="54"/>
      <c r="I17" s="54"/>
      <c r="J17" s="58"/>
      <c r="K17" s="61"/>
      <c r="L17" s="44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44"/>
      <c r="B18" s="50"/>
      <c r="C18" s="62">
        <f t="shared" ref="C18:I18" si="5">SUM(C8:C17)</f>
        <v>0</v>
      </c>
      <c r="D18" s="62">
        <f t="shared" si="5"/>
        <v>0</v>
      </c>
      <c r="E18" s="62">
        <f t="shared" si="5"/>
        <v>0</v>
      </c>
      <c r="F18" s="62">
        <f t="shared" si="5"/>
        <v>0</v>
      </c>
      <c r="G18" s="62">
        <f t="shared" si="5"/>
        <v>0</v>
      </c>
      <c r="H18" s="62">
        <f t="shared" si="5"/>
        <v>0</v>
      </c>
      <c r="I18" s="62">
        <f t="shared" si="5"/>
        <v>0</v>
      </c>
      <c r="J18" s="63">
        <f>SUM(C18:I18)</f>
        <v>0</v>
      </c>
      <c r="K18" s="64"/>
      <c r="L18" s="44"/>
      <c r="M18" s="1"/>
      <c r="N18" s="7"/>
      <c r="O18" s="25">
        <f t="shared" ref="O18:U18" si="6">SUM(O8:O17)</f>
        <v>436</v>
      </c>
      <c r="P18" s="25">
        <f t="shared" si="6"/>
        <v>220</v>
      </c>
      <c r="Q18" s="25">
        <f t="shared" si="6"/>
        <v>135</v>
      </c>
      <c r="R18" s="25">
        <f t="shared" si="6"/>
        <v>240</v>
      </c>
      <c r="S18" s="25">
        <f t="shared" si="6"/>
        <v>493</v>
      </c>
      <c r="T18" s="25">
        <f t="shared" si="6"/>
        <v>381</v>
      </c>
      <c r="U18" s="25">
        <f t="shared" si="6"/>
        <v>570</v>
      </c>
      <c r="V18" s="26">
        <f>SUM(O18:U18)</f>
        <v>2475</v>
      </c>
      <c r="W18" s="28"/>
      <c r="Y18" s="33">
        <f>SUM(Y8:Y17)</f>
        <v>0</v>
      </c>
      <c r="Z18" s="34">
        <f>SUM(Z8:Z17)</f>
        <v>58.875000000000007</v>
      </c>
      <c r="AA18" s="35">
        <f>SUM(AA8:AA17)</f>
        <v>-58.875000000000007</v>
      </c>
    </row>
    <row r="19" spans="1:27" ht="15" thickBot="1" x14ac:dyDescent="0.4">
      <c r="A19" s="44"/>
      <c r="B19" s="65" t="s">
        <v>18</v>
      </c>
      <c r="C19" s="66">
        <f t="shared" ref="C19:J19" si="7">C18/40</f>
        <v>0</v>
      </c>
      <c r="D19" s="66">
        <f t="shared" si="7"/>
        <v>0</v>
      </c>
      <c r="E19" s="66">
        <f t="shared" si="7"/>
        <v>0</v>
      </c>
      <c r="F19" s="66">
        <f t="shared" si="7"/>
        <v>0</v>
      </c>
      <c r="G19" s="66">
        <f t="shared" si="7"/>
        <v>0</v>
      </c>
      <c r="H19" s="66">
        <f t="shared" si="7"/>
        <v>0</v>
      </c>
      <c r="I19" s="66">
        <f t="shared" si="7"/>
        <v>0</v>
      </c>
      <c r="J19" s="67">
        <f t="shared" si="7"/>
        <v>0</v>
      </c>
      <c r="K19" s="68"/>
      <c r="L19" s="44"/>
      <c r="M19" s="1"/>
      <c r="N19" s="20" t="s">
        <v>18</v>
      </c>
      <c r="O19" s="21">
        <f t="shared" ref="O19:V19" si="8">O18/40</f>
        <v>10.9</v>
      </c>
      <c r="P19" s="21">
        <f t="shared" si="8"/>
        <v>5.5</v>
      </c>
      <c r="Q19" s="21">
        <f t="shared" si="8"/>
        <v>3.375</v>
      </c>
      <c r="R19" s="21">
        <f t="shared" si="8"/>
        <v>6</v>
      </c>
      <c r="S19" s="21">
        <f t="shared" si="8"/>
        <v>12.324999999999999</v>
      </c>
      <c r="T19" s="21">
        <f t="shared" si="8"/>
        <v>9.5250000000000004</v>
      </c>
      <c r="U19" s="21">
        <f t="shared" si="8"/>
        <v>14.25</v>
      </c>
      <c r="V19" s="22">
        <f t="shared" si="8"/>
        <v>61.875</v>
      </c>
      <c r="W19" s="23"/>
      <c r="Y19" s="39">
        <f>Y18/40</f>
        <v>0</v>
      </c>
      <c r="Z19" s="40">
        <f>Z18/40</f>
        <v>1.4718750000000003</v>
      </c>
      <c r="AA19" s="41">
        <f>AA18/40</f>
        <v>-1.4718750000000003</v>
      </c>
    </row>
    <row r="20" spans="1:27" x14ac:dyDescent="0.35">
      <c r="A20" s="44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B1D63-9221-4747-B7FB-C6037E7ADA17}">
  <dimension ref="A1:AA19"/>
  <sheetViews>
    <sheetView workbookViewId="0">
      <selection activeCell="T13" sqref="T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7.81640625" bestFit="1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28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70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0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70">
        <f t="shared" ref="J9:J16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0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70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0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70">
        <f t="shared" si="0"/>
        <v>0</v>
      </c>
      <c r="K11" s="12"/>
      <c r="L11" s="13"/>
      <c r="M11" s="16"/>
      <c r="N11" s="17" t="s">
        <v>39</v>
      </c>
      <c r="O11" s="43"/>
      <c r="P11" s="43"/>
      <c r="Q11" s="43"/>
      <c r="R11" s="43"/>
      <c r="S11" s="43"/>
      <c r="T11" s="43"/>
      <c r="U11" s="43"/>
      <c r="V11" s="70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70">
        <f t="shared" si="0"/>
        <v>0</v>
      </c>
      <c r="K12" s="12"/>
      <c r="L12" s="13"/>
      <c r="M12" s="16" t="s">
        <v>30</v>
      </c>
      <c r="N12" s="17" t="s">
        <v>37</v>
      </c>
      <c r="O12" s="43"/>
      <c r="P12" s="43"/>
      <c r="Q12" s="43"/>
      <c r="R12" s="43"/>
      <c r="S12" s="43"/>
      <c r="T12" s="43"/>
      <c r="U12" s="43"/>
      <c r="V12" s="70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70">
        <f t="shared" si="0"/>
        <v>0</v>
      </c>
      <c r="K13" s="12"/>
      <c r="L13" s="13"/>
      <c r="M13" s="16"/>
      <c r="N13" s="17" t="s">
        <v>16</v>
      </c>
      <c r="O13" s="43"/>
      <c r="P13" s="43"/>
      <c r="Q13" s="43"/>
      <c r="R13" s="43"/>
      <c r="S13" s="43"/>
      <c r="T13" s="43"/>
      <c r="U13" s="43"/>
      <c r="V13" s="70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70">
        <f t="shared" si="0"/>
        <v>0</v>
      </c>
      <c r="K14" s="12"/>
      <c r="L14" s="13"/>
      <c r="M14" s="16"/>
      <c r="N14" s="17" t="s">
        <v>45</v>
      </c>
      <c r="O14" s="43"/>
      <c r="P14" s="43"/>
      <c r="Q14" s="43"/>
      <c r="R14" s="43"/>
      <c r="S14" s="43"/>
      <c r="T14" s="43"/>
      <c r="U14" s="43"/>
      <c r="V14" s="70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70">
        <f t="shared" si="0"/>
        <v>0</v>
      </c>
      <c r="K15" s="12"/>
      <c r="L15" s="13"/>
      <c r="M15" s="16"/>
      <c r="N15" s="17" t="s">
        <v>46</v>
      </c>
      <c r="O15" s="43"/>
      <c r="P15" s="43"/>
      <c r="Q15" s="43"/>
      <c r="R15" s="43"/>
      <c r="S15" s="43"/>
      <c r="T15" s="43"/>
      <c r="U15" s="43"/>
      <c r="V15" s="70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70">
        <f t="shared" si="0"/>
        <v>0</v>
      </c>
      <c r="K16" s="12"/>
      <c r="L16" s="13"/>
      <c r="M16" s="16"/>
      <c r="N16" s="17" t="s">
        <v>48</v>
      </c>
      <c r="O16" s="43"/>
      <c r="P16" s="43"/>
      <c r="Q16" s="43"/>
      <c r="R16" s="43"/>
      <c r="S16" s="43"/>
      <c r="T16" s="43"/>
      <c r="U16" s="43"/>
      <c r="V16" s="70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43"/>
      <c r="D17" s="43"/>
      <c r="E17" s="43"/>
      <c r="F17" s="43"/>
      <c r="G17" s="43"/>
      <c r="H17" s="43"/>
      <c r="I17" s="43"/>
      <c r="J17" s="70"/>
      <c r="K17" s="18"/>
      <c r="M17" s="16"/>
      <c r="N17" s="17" t="s">
        <v>31</v>
      </c>
      <c r="O17" s="11"/>
      <c r="P17" s="11"/>
      <c r="Q17" s="11"/>
      <c r="R17" s="11"/>
      <c r="S17" s="11"/>
      <c r="T17" s="11"/>
      <c r="U17" s="11"/>
      <c r="V17" s="70">
        <f t="shared" si="1"/>
        <v>0</v>
      </c>
      <c r="W17" s="12">
        <v>1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69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33F42-AC98-43DD-8F7A-85910B527402}">
  <dimension ref="A1:AA19"/>
  <sheetViews>
    <sheetView workbookViewId="0">
      <selection activeCell="W17" sqref="W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0</v>
      </c>
      <c r="E8" s="11">
        <v>40</v>
      </c>
      <c r="F8" s="11">
        <v>0</v>
      </c>
      <c r="G8" s="11">
        <v>120</v>
      </c>
      <c r="H8" s="11">
        <v>80</v>
      </c>
      <c r="I8" s="11">
        <v>120</v>
      </c>
      <c r="J8" s="15">
        <f>SUM(C8:I8)</f>
        <v>360</v>
      </c>
      <c r="K8" s="12">
        <v>15</v>
      </c>
      <c r="L8" s="13"/>
      <c r="M8" s="14"/>
      <c r="N8" s="7" t="s">
        <v>13</v>
      </c>
      <c r="O8" s="11"/>
      <c r="P8" s="11">
        <v>0</v>
      </c>
      <c r="Q8" s="11">
        <v>40</v>
      </c>
      <c r="R8" s="11">
        <v>0</v>
      </c>
      <c r="S8" s="11">
        <v>120</v>
      </c>
      <c r="T8" s="11">
        <v>80</v>
      </c>
      <c r="U8" s="11">
        <v>120</v>
      </c>
      <c r="V8" s="15">
        <f>SUM(O8:U8)/40</f>
        <v>9</v>
      </c>
      <c r="W8" s="12">
        <v>15</v>
      </c>
      <c r="Y8" s="36">
        <f>J8</f>
        <v>360</v>
      </c>
      <c r="Z8" s="37">
        <f>V8</f>
        <v>9</v>
      </c>
      <c r="AA8" s="38">
        <f>Y8-Z8</f>
        <v>351</v>
      </c>
    </row>
    <row r="9" spans="1:27" x14ac:dyDescent="0.35">
      <c r="A9" s="14"/>
      <c r="B9" s="7" t="s">
        <v>14</v>
      </c>
      <c r="C9" s="11">
        <v>80</v>
      </c>
      <c r="D9" s="11">
        <v>0</v>
      </c>
      <c r="E9" s="11">
        <v>80</v>
      </c>
      <c r="F9" s="11">
        <v>120</v>
      </c>
      <c r="G9" s="11">
        <v>10</v>
      </c>
      <c r="H9" s="11">
        <v>10</v>
      </c>
      <c r="I9" s="11">
        <v>20</v>
      </c>
      <c r="J9" s="15">
        <f t="shared" ref="J9:J13" si="0">SUM(C9:I9)/40</f>
        <v>8</v>
      </c>
      <c r="K9" s="12">
        <v>18</v>
      </c>
      <c r="L9" s="13"/>
      <c r="M9" s="14"/>
      <c r="N9" s="7" t="s">
        <v>14</v>
      </c>
      <c r="O9" s="11">
        <v>80</v>
      </c>
      <c r="P9" s="11">
        <v>0</v>
      </c>
      <c r="Q9" s="11">
        <v>80</v>
      </c>
      <c r="R9" s="11">
        <v>120</v>
      </c>
      <c r="S9" s="11">
        <v>10</v>
      </c>
      <c r="T9" s="11">
        <v>10</v>
      </c>
      <c r="U9" s="11">
        <v>20</v>
      </c>
      <c r="V9" s="15">
        <f t="shared" ref="V9:V17" si="1">SUM(O9:U9)/40</f>
        <v>8</v>
      </c>
      <c r="W9" s="12">
        <v>19</v>
      </c>
      <c r="Y9" s="36">
        <f t="shared" ref="Y9:Y17" si="2">J9</f>
        <v>8</v>
      </c>
      <c r="Z9" s="37">
        <f t="shared" ref="Z9:Z17" si="3">V9</f>
        <v>8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80</v>
      </c>
      <c r="F10" s="11">
        <v>80</v>
      </c>
      <c r="G10" s="11">
        <v>15</v>
      </c>
      <c r="H10" s="11">
        <v>40</v>
      </c>
      <c r="I10" s="11">
        <v>23</v>
      </c>
      <c r="J10" s="15">
        <v>6</v>
      </c>
      <c r="K10" s="12">
        <v>4</v>
      </c>
      <c r="L10" s="13"/>
      <c r="M10" s="14"/>
      <c r="N10" s="7" t="s">
        <v>15</v>
      </c>
      <c r="O10" s="11">
        <v>0</v>
      </c>
      <c r="P10" s="11">
        <v>0</v>
      </c>
      <c r="Q10" s="11">
        <v>80</v>
      </c>
      <c r="R10" s="11">
        <v>80</v>
      </c>
      <c r="S10" s="11">
        <v>15</v>
      </c>
      <c r="T10" s="11">
        <v>30</v>
      </c>
      <c r="U10" s="11">
        <v>13</v>
      </c>
      <c r="V10" s="15">
        <f t="shared" si="1"/>
        <v>5.45</v>
      </c>
      <c r="W10" s="12">
        <v>3</v>
      </c>
      <c r="Y10" s="36">
        <f t="shared" si="2"/>
        <v>6</v>
      </c>
      <c r="Z10" s="37">
        <f t="shared" si="3"/>
        <v>5.45</v>
      </c>
      <c r="AA10" s="38">
        <f t="shared" si="4"/>
        <v>0.54999999999999982</v>
      </c>
    </row>
    <row r="11" spans="1:27" x14ac:dyDescent="0.35">
      <c r="A11" s="16"/>
      <c r="B11" s="17" t="s">
        <v>39</v>
      </c>
      <c r="C11" s="11">
        <v>88</v>
      </c>
      <c r="D11" s="11">
        <v>22</v>
      </c>
      <c r="E11" s="11">
        <v>10</v>
      </c>
      <c r="F11" s="11">
        <v>12</v>
      </c>
      <c r="G11" s="11">
        <v>66</v>
      </c>
      <c r="H11" s="11">
        <v>21</v>
      </c>
      <c r="I11" s="11">
        <v>21</v>
      </c>
      <c r="J11" s="15">
        <f t="shared" si="0"/>
        <v>6</v>
      </c>
      <c r="K11" s="12">
        <v>13</v>
      </c>
      <c r="L11" s="13"/>
      <c r="M11" s="16"/>
      <c r="N11" s="17" t="s">
        <v>39</v>
      </c>
      <c r="O11" s="11">
        <v>48</v>
      </c>
      <c r="P11" s="11">
        <v>22</v>
      </c>
      <c r="Q11" s="11">
        <v>10</v>
      </c>
      <c r="R11" s="11">
        <v>12</v>
      </c>
      <c r="S11" s="11">
        <v>26</v>
      </c>
      <c r="T11" s="11">
        <v>21</v>
      </c>
      <c r="U11" s="11">
        <v>21</v>
      </c>
      <c r="V11" s="15">
        <f t="shared" si="1"/>
        <v>4</v>
      </c>
      <c r="W11" s="12">
        <v>9</v>
      </c>
      <c r="Y11" s="36">
        <f t="shared" si="2"/>
        <v>6</v>
      </c>
      <c r="Z11" s="37">
        <f t="shared" si="3"/>
        <v>4</v>
      </c>
      <c r="AA11" s="38">
        <f t="shared" si="4"/>
        <v>2</v>
      </c>
    </row>
    <row r="12" spans="1:27" x14ac:dyDescent="0.35">
      <c r="A12" s="16"/>
      <c r="B12" s="17" t="s">
        <v>37</v>
      </c>
      <c r="C12" s="11">
        <v>63</v>
      </c>
      <c r="D12" s="11">
        <v>16</v>
      </c>
      <c r="E12" s="11">
        <v>29</v>
      </c>
      <c r="F12" s="11">
        <v>32</v>
      </c>
      <c r="G12" s="11">
        <v>13</v>
      </c>
      <c r="H12" s="11">
        <v>15</v>
      </c>
      <c r="I12" s="11">
        <v>15</v>
      </c>
      <c r="J12" s="15">
        <v>5</v>
      </c>
      <c r="K12" s="12">
        <v>7</v>
      </c>
      <c r="L12" s="13"/>
      <c r="M12" s="16"/>
      <c r="N12" s="17" t="s">
        <v>37</v>
      </c>
      <c r="O12" s="11">
        <v>55</v>
      </c>
      <c r="P12" s="11">
        <v>16</v>
      </c>
      <c r="Q12" s="11">
        <v>19</v>
      </c>
      <c r="R12" s="11">
        <v>26</v>
      </c>
      <c r="S12" s="11">
        <v>13</v>
      </c>
      <c r="T12" s="11">
        <v>15</v>
      </c>
      <c r="U12" s="11">
        <v>15</v>
      </c>
      <c r="V12" s="15">
        <f t="shared" si="1"/>
        <v>3.9750000000000001</v>
      </c>
      <c r="W12" s="12">
        <v>6</v>
      </c>
      <c r="Y12" s="36">
        <f t="shared" si="2"/>
        <v>5</v>
      </c>
      <c r="Z12" s="37">
        <f t="shared" si="3"/>
        <v>3.9750000000000001</v>
      </c>
      <c r="AA12" s="38">
        <f t="shared" si="4"/>
        <v>1.0249999999999999</v>
      </c>
    </row>
    <row r="13" spans="1:27" x14ac:dyDescent="0.35">
      <c r="A13" s="16"/>
      <c r="B13" s="17" t="s">
        <v>16</v>
      </c>
      <c r="C13" s="11"/>
      <c r="D13" s="11">
        <v>360</v>
      </c>
      <c r="E13" s="11">
        <v>240</v>
      </c>
      <c r="F13" s="11">
        <v>200</v>
      </c>
      <c r="G13" s="11">
        <v>400</v>
      </c>
      <c r="H13" s="11">
        <v>360</v>
      </c>
      <c r="I13" s="11">
        <v>1280</v>
      </c>
      <c r="J13" s="15">
        <f t="shared" si="0"/>
        <v>71</v>
      </c>
      <c r="K13" s="12">
        <v>6</v>
      </c>
      <c r="L13" s="13"/>
      <c r="M13" s="16"/>
      <c r="N13" s="17" t="s">
        <v>16</v>
      </c>
      <c r="O13" s="11">
        <v>385</v>
      </c>
      <c r="P13" s="11">
        <v>400</v>
      </c>
      <c r="Q13" s="11">
        <v>320</v>
      </c>
      <c r="R13" s="11">
        <v>280</v>
      </c>
      <c r="S13" s="11">
        <v>320</v>
      </c>
      <c r="T13" s="11">
        <v>320</v>
      </c>
      <c r="U13" s="11">
        <v>1200</v>
      </c>
      <c r="V13" s="15">
        <f t="shared" si="1"/>
        <v>80.625</v>
      </c>
      <c r="W13" s="12">
        <v>6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12</v>
      </c>
      <c r="K14" s="12">
        <v>10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20</v>
      </c>
      <c r="K15" s="12">
        <v>12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5</v>
      </c>
      <c r="K16" s="12">
        <v>4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31</v>
      </c>
      <c r="O17" s="11">
        <v>1600</v>
      </c>
      <c r="P17" s="11"/>
      <c r="Q17" s="11"/>
      <c r="R17" s="11"/>
      <c r="S17" s="11">
        <v>600</v>
      </c>
      <c r="T17" s="11">
        <v>1000</v>
      </c>
      <c r="U17" s="11">
        <v>800</v>
      </c>
      <c r="V17" s="15">
        <f t="shared" si="1"/>
        <v>100</v>
      </c>
      <c r="W17" s="18">
        <v>1</v>
      </c>
      <c r="Y17" s="36">
        <f t="shared" si="2"/>
        <v>0</v>
      </c>
      <c r="Z17" s="37">
        <f t="shared" si="3"/>
        <v>100</v>
      </c>
      <c r="AA17" s="38">
        <f t="shared" si="4"/>
        <v>-100</v>
      </c>
    </row>
    <row r="18" spans="1:27" x14ac:dyDescent="0.35">
      <c r="A18" s="1"/>
      <c r="B18" s="7"/>
      <c r="C18" s="25">
        <f t="shared" ref="C18:I18" si="5">SUM(C8:C17)</f>
        <v>231</v>
      </c>
      <c r="D18" s="25">
        <f t="shared" si="5"/>
        <v>398</v>
      </c>
      <c r="E18" s="25">
        <f t="shared" si="5"/>
        <v>479</v>
      </c>
      <c r="F18" s="25">
        <f t="shared" si="5"/>
        <v>444</v>
      </c>
      <c r="G18" s="25">
        <f t="shared" si="5"/>
        <v>624</v>
      </c>
      <c r="H18" s="25">
        <f t="shared" si="5"/>
        <v>526</v>
      </c>
      <c r="I18" s="25">
        <f t="shared" si="5"/>
        <v>1479</v>
      </c>
      <c r="J18" s="26">
        <f>SUM(C18:I18)</f>
        <v>4181</v>
      </c>
      <c r="K18" s="28"/>
      <c r="M18" s="1"/>
      <c r="N18" s="7"/>
      <c r="O18" s="25">
        <f>SUM(O8:O16)</f>
        <v>568</v>
      </c>
      <c r="P18" s="25">
        <f t="shared" ref="P18:U18" si="6">SUM(P8:P16)</f>
        <v>438</v>
      </c>
      <c r="Q18" s="25">
        <f t="shared" si="6"/>
        <v>549</v>
      </c>
      <c r="R18" s="25">
        <f t="shared" si="6"/>
        <v>518</v>
      </c>
      <c r="S18" s="25">
        <f t="shared" si="6"/>
        <v>504</v>
      </c>
      <c r="T18" s="25">
        <f t="shared" si="6"/>
        <v>476</v>
      </c>
      <c r="U18" s="25">
        <f t="shared" si="6"/>
        <v>1389</v>
      </c>
      <c r="V18" s="26">
        <f>SUM(O18:U18)</f>
        <v>4442</v>
      </c>
      <c r="W18" s="28"/>
      <c r="Y18" s="33">
        <f>SUM(Y8:Y17)</f>
        <v>385</v>
      </c>
      <c r="Z18" s="34">
        <f>SUM(Z8:Z17)</f>
        <v>130.42500000000001</v>
      </c>
      <c r="AA18" s="35">
        <f>SUM(AA8:AA17)</f>
        <v>254.57499999999999</v>
      </c>
    </row>
    <row r="19" spans="1:27" ht="15" thickBot="1" x14ac:dyDescent="0.4">
      <c r="A19" s="1"/>
      <c r="B19" s="20" t="s">
        <v>18</v>
      </c>
      <c r="C19" s="21">
        <f t="shared" ref="C19:I19" si="7">C18/40</f>
        <v>5.7750000000000004</v>
      </c>
      <c r="D19" s="21">
        <f t="shared" si="7"/>
        <v>9.9499999999999993</v>
      </c>
      <c r="E19" s="21">
        <f t="shared" si="7"/>
        <v>11.975</v>
      </c>
      <c r="F19" s="21">
        <f t="shared" si="7"/>
        <v>11.1</v>
      </c>
      <c r="G19" s="21">
        <f t="shared" si="7"/>
        <v>15.6</v>
      </c>
      <c r="H19" s="21">
        <f t="shared" si="7"/>
        <v>13.15</v>
      </c>
      <c r="I19" s="21">
        <f t="shared" si="7"/>
        <v>36.975000000000001</v>
      </c>
      <c r="J19" s="22">
        <f>SUM(J8:J16)</f>
        <v>493</v>
      </c>
      <c r="K19" s="23"/>
      <c r="M19" s="1"/>
      <c r="N19" s="20" t="s">
        <v>18</v>
      </c>
      <c r="O19" s="21">
        <f t="shared" ref="O19:V19" si="8">O18/40</f>
        <v>14.2</v>
      </c>
      <c r="P19" s="21">
        <f t="shared" si="8"/>
        <v>10.95</v>
      </c>
      <c r="Q19" s="21">
        <f t="shared" si="8"/>
        <v>13.725</v>
      </c>
      <c r="R19" s="21">
        <f t="shared" si="8"/>
        <v>12.95</v>
      </c>
      <c r="S19" s="21">
        <f t="shared" si="8"/>
        <v>12.6</v>
      </c>
      <c r="T19" s="21">
        <f t="shared" si="8"/>
        <v>11.9</v>
      </c>
      <c r="U19" s="21">
        <f t="shared" si="8"/>
        <v>34.725000000000001</v>
      </c>
      <c r="V19" s="22">
        <f t="shared" si="8"/>
        <v>111.05</v>
      </c>
      <c r="W19" s="23"/>
      <c r="Y19" s="39">
        <f>Y18/40</f>
        <v>9.625</v>
      </c>
      <c r="Z19" s="40">
        <f>Z18/40</f>
        <v>3.2606250000000001</v>
      </c>
      <c r="AA19" s="41">
        <f>AA18/40</f>
        <v>6.3643749999999999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C4E6D-17E5-4D33-833A-ACEA6390716F}">
  <dimension ref="A1:AA19"/>
  <sheetViews>
    <sheetView workbookViewId="0">
      <selection activeCell="Q14" sqref="Q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200</v>
      </c>
      <c r="D8" s="11">
        <v>40</v>
      </c>
      <c r="E8" s="11">
        <v>0</v>
      </c>
      <c r="F8" s="11">
        <v>0</v>
      </c>
      <c r="G8" s="11">
        <v>20</v>
      </c>
      <c r="H8" s="11">
        <v>15</v>
      </c>
      <c r="I8" s="11">
        <v>25</v>
      </c>
      <c r="J8" s="15">
        <f>SUM(C8:I8)/40</f>
        <v>7.5</v>
      </c>
      <c r="K8" s="12">
        <v>12</v>
      </c>
      <c r="L8" s="13"/>
      <c r="M8" s="14"/>
      <c r="N8" s="7" t="s">
        <v>13</v>
      </c>
      <c r="O8" s="11">
        <v>120</v>
      </c>
      <c r="P8" s="11">
        <v>40</v>
      </c>
      <c r="Q8" s="11">
        <v>0</v>
      </c>
      <c r="R8" s="11">
        <v>0</v>
      </c>
      <c r="S8" s="11">
        <v>20</v>
      </c>
      <c r="T8" s="11">
        <v>15</v>
      </c>
      <c r="U8" s="11">
        <v>20</v>
      </c>
      <c r="V8" s="15">
        <f>SUM(O8:U8)/40</f>
        <v>5.375</v>
      </c>
      <c r="W8" s="12">
        <v>11</v>
      </c>
      <c r="Y8" s="36">
        <f>J8</f>
        <v>7.5</v>
      </c>
      <c r="Z8" s="37">
        <f>V8</f>
        <v>5.375</v>
      </c>
      <c r="AA8" s="38">
        <f>Y8-Z8</f>
        <v>2.125</v>
      </c>
    </row>
    <row r="9" spans="1:27" x14ac:dyDescent="0.35">
      <c r="A9" s="14"/>
      <c r="B9" s="7" t="s">
        <v>14</v>
      </c>
      <c r="C9" s="11">
        <v>40</v>
      </c>
      <c r="D9" s="11">
        <v>45</v>
      </c>
      <c r="E9" s="11">
        <v>30</v>
      </c>
      <c r="F9" s="11">
        <v>10</v>
      </c>
      <c r="G9" s="11">
        <v>142</v>
      </c>
      <c r="H9" s="11">
        <v>71</v>
      </c>
      <c r="I9" s="11">
        <v>111</v>
      </c>
      <c r="J9" s="15">
        <f t="shared" ref="J9:J13" si="0">SUM(C9:I9)/40</f>
        <v>11.225</v>
      </c>
      <c r="K9" s="12">
        <v>15</v>
      </c>
      <c r="L9" s="13"/>
      <c r="M9" s="14"/>
      <c r="N9" s="7" t="s">
        <v>14</v>
      </c>
      <c r="O9" s="11"/>
      <c r="P9" s="11">
        <v>15</v>
      </c>
      <c r="Q9" s="11">
        <v>6</v>
      </c>
      <c r="R9" s="11">
        <v>9</v>
      </c>
      <c r="S9" s="11">
        <v>152</v>
      </c>
      <c r="T9" s="11">
        <v>81</v>
      </c>
      <c r="U9" s="11">
        <v>118</v>
      </c>
      <c r="V9" s="15">
        <f t="shared" ref="V9:V16" si="1">SUM(O9:U9)/40</f>
        <v>9.5250000000000004</v>
      </c>
      <c r="W9" s="12">
        <v>14</v>
      </c>
      <c r="Y9" s="36">
        <f t="shared" ref="Y9:Y17" si="2">J9</f>
        <v>11.225</v>
      </c>
      <c r="Z9" s="37">
        <f t="shared" ref="Z9:Z17" si="3">V9</f>
        <v>9.5250000000000004</v>
      </c>
      <c r="AA9" s="38">
        <f t="shared" ref="AA9:AA17" si="4">Y9-Z9</f>
        <v>1.6999999999999993</v>
      </c>
    </row>
    <row r="10" spans="1:27" x14ac:dyDescent="0.35">
      <c r="A10" s="14"/>
      <c r="B10" s="7" t="s">
        <v>15</v>
      </c>
      <c r="C10" s="11">
        <v>352</v>
      </c>
      <c r="D10" s="11">
        <v>18</v>
      </c>
      <c r="E10" s="11">
        <v>6</v>
      </c>
      <c r="F10" s="11">
        <v>6</v>
      </c>
      <c r="G10" s="11">
        <v>21</v>
      </c>
      <c r="H10" s="11">
        <v>27</v>
      </c>
      <c r="I10" s="11">
        <v>16</v>
      </c>
      <c r="J10" s="15">
        <f t="shared" si="0"/>
        <v>11.15</v>
      </c>
      <c r="K10" s="12">
        <v>13</v>
      </c>
      <c r="L10" s="13"/>
      <c r="M10" s="14"/>
      <c r="N10" s="7" t="s">
        <v>15</v>
      </c>
      <c r="O10" s="11">
        <v>320</v>
      </c>
      <c r="P10" s="11">
        <v>6</v>
      </c>
      <c r="Q10" s="11">
        <v>6</v>
      </c>
      <c r="R10" s="11">
        <v>0</v>
      </c>
      <c r="S10" s="11">
        <v>21</v>
      </c>
      <c r="T10" s="11">
        <v>27</v>
      </c>
      <c r="U10" s="11">
        <v>16</v>
      </c>
      <c r="V10" s="15">
        <f t="shared" si="1"/>
        <v>9.9</v>
      </c>
      <c r="W10" s="12">
        <v>11</v>
      </c>
      <c r="Y10" s="36">
        <f t="shared" si="2"/>
        <v>11.15</v>
      </c>
      <c r="Z10" s="37">
        <f t="shared" si="3"/>
        <v>9.9</v>
      </c>
      <c r="AA10" s="38">
        <f t="shared" si="4"/>
        <v>1.25</v>
      </c>
    </row>
    <row r="11" spans="1:27" x14ac:dyDescent="0.35">
      <c r="A11" s="16"/>
      <c r="B11" s="17" t="s">
        <v>39</v>
      </c>
      <c r="C11" s="11">
        <v>30</v>
      </c>
      <c r="D11" s="11">
        <v>25</v>
      </c>
      <c r="E11" s="11">
        <v>19</v>
      </c>
      <c r="F11" s="11">
        <v>24</v>
      </c>
      <c r="G11" s="11">
        <v>76</v>
      </c>
      <c r="H11" s="11">
        <v>19</v>
      </c>
      <c r="I11" s="11">
        <v>51</v>
      </c>
      <c r="J11" s="15">
        <f t="shared" si="0"/>
        <v>6.1</v>
      </c>
      <c r="K11" s="12">
        <v>5</v>
      </c>
      <c r="L11" s="13"/>
      <c r="M11" s="16"/>
      <c r="N11" s="17" t="s">
        <v>39</v>
      </c>
      <c r="O11" s="11">
        <v>30</v>
      </c>
      <c r="P11" s="11">
        <v>25</v>
      </c>
      <c r="Q11" s="11">
        <v>19</v>
      </c>
      <c r="R11" s="11">
        <v>24</v>
      </c>
      <c r="S11" s="11">
        <v>76</v>
      </c>
      <c r="T11" s="11">
        <v>19</v>
      </c>
      <c r="U11" s="11">
        <v>51</v>
      </c>
      <c r="V11" s="15">
        <f t="shared" si="1"/>
        <v>6.1</v>
      </c>
      <c r="W11" s="12">
        <v>5</v>
      </c>
      <c r="Y11" s="36">
        <f t="shared" si="2"/>
        <v>6.1</v>
      </c>
      <c r="Z11" s="37">
        <f t="shared" si="3"/>
        <v>6.1</v>
      </c>
      <c r="AA11" s="38">
        <f t="shared" si="4"/>
        <v>0</v>
      </c>
    </row>
    <row r="12" spans="1:27" x14ac:dyDescent="0.35">
      <c r="A12" s="16"/>
      <c r="B12" s="17" t="s">
        <v>37</v>
      </c>
      <c r="C12" s="11">
        <v>193</v>
      </c>
      <c r="D12" s="11">
        <v>21</v>
      </c>
      <c r="E12" s="11">
        <v>61</v>
      </c>
      <c r="F12" s="11">
        <v>10</v>
      </c>
      <c r="G12" s="11">
        <v>51</v>
      </c>
      <c r="H12" s="11">
        <v>35</v>
      </c>
      <c r="I12" s="11">
        <v>16</v>
      </c>
      <c r="J12" s="15">
        <f t="shared" si="0"/>
        <v>9.6750000000000007</v>
      </c>
      <c r="K12" s="12">
        <v>12</v>
      </c>
      <c r="L12" s="13"/>
      <c r="M12" s="16"/>
      <c r="N12" s="17" t="s">
        <v>37</v>
      </c>
      <c r="O12" s="11">
        <v>181</v>
      </c>
      <c r="P12" s="11">
        <v>15</v>
      </c>
      <c r="Q12" s="11">
        <v>55</v>
      </c>
      <c r="R12" s="11">
        <v>10</v>
      </c>
      <c r="S12" s="11">
        <v>51</v>
      </c>
      <c r="T12" s="11">
        <v>35</v>
      </c>
      <c r="U12" s="11">
        <v>16</v>
      </c>
      <c r="V12" s="15">
        <f t="shared" si="1"/>
        <v>9.0749999999999993</v>
      </c>
      <c r="W12" s="12">
        <v>11</v>
      </c>
      <c r="Y12" s="36">
        <f t="shared" si="2"/>
        <v>9.6750000000000007</v>
      </c>
      <c r="Z12" s="37">
        <f t="shared" si="3"/>
        <v>9.0749999999999993</v>
      </c>
      <c r="AA12" s="38">
        <f t="shared" si="4"/>
        <v>0.60000000000000142</v>
      </c>
    </row>
    <row r="13" spans="1:27" x14ac:dyDescent="0.35">
      <c r="A13" s="16"/>
      <c r="B13" s="17" t="s">
        <v>16</v>
      </c>
      <c r="C13" s="11"/>
      <c r="D13" s="11">
        <v>440</v>
      </c>
      <c r="E13" s="11">
        <v>280</v>
      </c>
      <c r="F13" s="11">
        <v>280</v>
      </c>
      <c r="G13" s="11">
        <v>440</v>
      </c>
      <c r="H13" s="11">
        <v>400</v>
      </c>
      <c r="I13" s="11">
        <v>840</v>
      </c>
      <c r="J13" s="15">
        <f t="shared" si="0"/>
        <v>67</v>
      </c>
      <c r="K13" s="12">
        <v>6</v>
      </c>
      <c r="L13" s="13"/>
      <c r="M13" s="16"/>
      <c r="N13" s="17" t="s">
        <v>16</v>
      </c>
      <c r="O13" s="11"/>
      <c r="P13" s="11">
        <v>200</v>
      </c>
      <c r="Q13" s="11">
        <v>160</v>
      </c>
      <c r="R13" s="11">
        <v>200</v>
      </c>
      <c r="S13" s="11">
        <v>398</v>
      </c>
      <c r="T13" s="11">
        <v>280</v>
      </c>
      <c r="U13" s="11">
        <v>560</v>
      </c>
      <c r="V13" s="15">
        <f t="shared" si="1"/>
        <v>44.95</v>
      </c>
      <c r="W13" s="12">
        <v>5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13</v>
      </c>
      <c r="K14" s="12">
        <v>13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6</v>
      </c>
      <c r="K15" s="12">
        <v>8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11</v>
      </c>
      <c r="K16" s="12">
        <v>13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815</v>
      </c>
      <c r="D18" s="25">
        <f t="shared" si="5"/>
        <v>589</v>
      </c>
      <c r="E18" s="25">
        <f t="shared" si="5"/>
        <v>396</v>
      </c>
      <c r="F18" s="25">
        <f t="shared" si="5"/>
        <v>330</v>
      </c>
      <c r="G18" s="25">
        <f t="shared" si="5"/>
        <v>750</v>
      </c>
      <c r="H18" s="25">
        <f t="shared" si="5"/>
        <v>567</v>
      </c>
      <c r="I18" s="25">
        <f t="shared" si="5"/>
        <v>1059</v>
      </c>
      <c r="J18" s="26">
        <f>SUM(C18:I18)</f>
        <v>4506</v>
      </c>
      <c r="K18" s="28"/>
      <c r="M18" s="1"/>
      <c r="N18" s="7"/>
      <c r="O18" s="25">
        <f t="shared" ref="O18:U18" si="6">SUM(O8:O17)</f>
        <v>651</v>
      </c>
      <c r="P18" s="25">
        <f t="shared" si="6"/>
        <v>301</v>
      </c>
      <c r="Q18" s="25">
        <f t="shared" si="6"/>
        <v>246</v>
      </c>
      <c r="R18" s="25">
        <f t="shared" si="6"/>
        <v>243</v>
      </c>
      <c r="S18" s="25">
        <f t="shared" si="6"/>
        <v>718</v>
      </c>
      <c r="T18" s="25">
        <f t="shared" si="6"/>
        <v>457</v>
      </c>
      <c r="U18" s="25">
        <f t="shared" si="6"/>
        <v>781</v>
      </c>
      <c r="V18" s="26">
        <f>SUM(O18:U18)</f>
        <v>3397</v>
      </c>
      <c r="W18" s="28"/>
      <c r="Y18" s="33">
        <f>SUM(Y8:Y17)</f>
        <v>45.650000000000006</v>
      </c>
      <c r="Z18" s="34">
        <f>SUM(Z8:Z17)</f>
        <v>39.974999999999994</v>
      </c>
      <c r="AA18" s="35">
        <f>SUM(AA8:AA17)</f>
        <v>5.6750000000000007</v>
      </c>
    </row>
    <row r="19" spans="1:27" ht="15" thickBot="1" x14ac:dyDescent="0.4">
      <c r="A19" s="1"/>
      <c r="B19" s="20" t="s">
        <v>18</v>
      </c>
      <c r="C19" s="21">
        <f t="shared" ref="C19:I19" si="7">C18/40</f>
        <v>20.375</v>
      </c>
      <c r="D19" s="21">
        <f t="shared" si="7"/>
        <v>14.725</v>
      </c>
      <c r="E19" s="21">
        <f t="shared" si="7"/>
        <v>9.9</v>
      </c>
      <c r="F19" s="21">
        <f t="shared" si="7"/>
        <v>8.25</v>
      </c>
      <c r="G19" s="21">
        <f t="shared" si="7"/>
        <v>18.75</v>
      </c>
      <c r="H19" s="21">
        <f t="shared" si="7"/>
        <v>14.175000000000001</v>
      </c>
      <c r="I19" s="21">
        <f t="shared" si="7"/>
        <v>26.475000000000001</v>
      </c>
      <c r="J19" s="22">
        <f>SUM(J8:J16)</f>
        <v>142.65</v>
      </c>
      <c r="K19" s="23"/>
      <c r="M19" s="1"/>
      <c r="N19" s="20" t="s">
        <v>18</v>
      </c>
      <c r="O19" s="21">
        <f t="shared" ref="O19:V19" si="8">O18/40</f>
        <v>16.274999999999999</v>
      </c>
      <c r="P19" s="21">
        <f t="shared" si="8"/>
        <v>7.5250000000000004</v>
      </c>
      <c r="Q19" s="21">
        <f t="shared" si="8"/>
        <v>6.15</v>
      </c>
      <c r="R19" s="21">
        <f t="shared" si="8"/>
        <v>6.0750000000000002</v>
      </c>
      <c r="S19" s="21">
        <f t="shared" si="8"/>
        <v>17.95</v>
      </c>
      <c r="T19" s="21">
        <f t="shared" si="8"/>
        <v>11.425000000000001</v>
      </c>
      <c r="U19" s="21">
        <f t="shared" si="8"/>
        <v>19.524999999999999</v>
      </c>
      <c r="V19" s="22">
        <f t="shared" si="8"/>
        <v>84.924999999999997</v>
      </c>
      <c r="W19" s="23"/>
      <c r="Y19" s="39">
        <f>Y18/40</f>
        <v>1.1412500000000001</v>
      </c>
      <c r="Z19" s="40">
        <f>Z18/40</f>
        <v>0.9993749999999999</v>
      </c>
      <c r="AA19" s="41">
        <f>AA18/40</f>
        <v>0.14187500000000003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F78AC-42E1-47D8-9009-F093134445D4}">
  <dimension ref="A1:AA22"/>
  <sheetViews>
    <sheetView topLeftCell="A2" workbookViewId="0">
      <selection activeCell="M12" sqref="M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4.26953125" bestFit="1" customWidth="1"/>
    <col min="19" max="19" width="3.90625" bestFit="1" customWidth="1"/>
    <col min="20" max="20" width="3.6328125" bestFit="1" customWidth="1"/>
    <col min="21" max="21" width="4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50</v>
      </c>
      <c r="D8" s="11">
        <v>30</v>
      </c>
      <c r="E8" s="11">
        <v>40</v>
      </c>
      <c r="F8" s="11">
        <v>0</v>
      </c>
      <c r="G8" s="11">
        <v>843</v>
      </c>
      <c r="H8" s="11">
        <v>448</v>
      </c>
      <c r="I8" s="11">
        <v>875</v>
      </c>
      <c r="J8" s="15">
        <f>SUM(C8:I8)/40</f>
        <v>57.15</v>
      </c>
      <c r="K8" s="12">
        <v>19</v>
      </c>
      <c r="L8" s="13"/>
      <c r="M8" s="14"/>
      <c r="N8" s="7" t="s">
        <v>13</v>
      </c>
      <c r="O8" s="11">
        <v>50</v>
      </c>
      <c r="P8" s="11">
        <v>30</v>
      </c>
      <c r="Q8" s="11">
        <v>40</v>
      </c>
      <c r="R8" s="11">
        <v>0</v>
      </c>
      <c r="S8" s="11">
        <v>843</v>
      </c>
      <c r="T8" s="11">
        <v>448</v>
      </c>
      <c r="U8" s="11">
        <v>875</v>
      </c>
      <c r="V8" s="15">
        <f>SUM(O8:U8)/40</f>
        <v>57.15</v>
      </c>
      <c r="W8" s="12">
        <v>19</v>
      </c>
      <c r="Y8" s="36">
        <f>J8</f>
        <v>57.15</v>
      </c>
      <c r="Z8" s="37">
        <f>V8</f>
        <v>57.15</v>
      </c>
      <c r="AA8" s="38">
        <f>Y8-Z8</f>
        <v>0</v>
      </c>
    </row>
    <row r="9" spans="1:27" x14ac:dyDescent="0.35">
      <c r="A9" s="14"/>
      <c r="B9" s="7" t="s">
        <v>14</v>
      </c>
      <c r="C9" s="11">
        <v>130</v>
      </c>
      <c r="D9" s="11">
        <v>40</v>
      </c>
      <c r="E9" s="11">
        <v>0</v>
      </c>
      <c r="F9" s="11">
        <v>12</v>
      </c>
      <c r="G9" s="11">
        <v>80</v>
      </c>
      <c r="H9" s="11">
        <v>85</v>
      </c>
      <c r="I9" s="11">
        <v>85</v>
      </c>
      <c r="J9" s="15">
        <f t="shared" ref="J9:J12" si="0">SUM(C9:I9)/40</f>
        <v>10.8</v>
      </c>
      <c r="K9" s="12">
        <v>21</v>
      </c>
      <c r="L9" s="13"/>
      <c r="M9" s="14"/>
      <c r="N9" s="7" t="s">
        <v>14</v>
      </c>
      <c r="O9" s="11">
        <v>130</v>
      </c>
      <c r="P9" s="11">
        <v>40</v>
      </c>
      <c r="Q9" s="11">
        <v>0</v>
      </c>
      <c r="R9" s="11">
        <v>12</v>
      </c>
      <c r="S9" s="11">
        <v>80</v>
      </c>
      <c r="T9" s="11">
        <v>80</v>
      </c>
      <c r="U9" s="11">
        <v>80</v>
      </c>
      <c r="V9" s="15">
        <f t="shared" ref="V9:V16" si="1">SUM(O9:U9)/40</f>
        <v>10.55</v>
      </c>
      <c r="W9" s="12">
        <v>20</v>
      </c>
      <c r="Y9" s="36">
        <f t="shared" ref="Y9:Y17" si="2">J9</f>
        <v>10.8</v>
      </c>
      <c r="Z9" s="37">
        <f t="shared" ref="Z9:Z17" si="3">V9</f>
        <v>10.55</v>
      </c>
      <c r="AA9" s="38">
        <f t="shared" ref="AA9:AA17" si="4">Y9-Z9</f>
        <v>0.25</v>
      </c>
    </row>
    <row r="10" spans="1:27" x14ac:dyDescent="0.35">
      <c r="A10" s="14"/>
      <c r="B10" s="7" t="s">
        <v>15</v>
      </c>
      <c r="C10" s="11">
        <v>152</v>
      </c>
      <c r="D10" s="11">
        <v>50</v>
      </c>
      <c r="E10" s="11">
        <v>50</v>
      </c>
      <c r="F10" s="11">
        <v>60</v>
      </c>
      <c r="G10" s="11">
        <v>127</v>
      </c>
      <c r="H10" s="11">
        <v>170</v>
      </c>
      <c r="I10" s="11">
        <v>147</v>
      </c>
      <c r="J10" s="15">
        <f t="shared" si="0"/>
        <v>18.899999999999999</v>
      </c>
      <c r="K10" s="12">
        <v>11</v>
      </c>
      <c r="L10" s="13"/>
      <c r="M10" s="14"/>
      <c r="N10" s="7" t="s">
        <v>15</v>
      </c>
      <c r="O10" s="11">
        <v>112</v>
      </c>
      <c r="P10" s="11">
        <v>49</v>
      </c>
      <c r="Q10" s="11">
        <v>49</v>
      </c>
      <c r="R10" s="11">
        <v>60</v>
      </c>
      <c r="S10" s="11">
        <v>127</v>
      </c>
      <c r="T10" s="11">
        <v>170</v>
      </c>
      <c r="U10" s="11">
        <v>147</v>
      </c>
      <c r="V10" s="15">
        <f t="shared" si="1"/>
        <v>17.850000000000001</v>
      </c>
      <c r="W10" s="12">
        <v>11</v>
      </c>
      <c r="Y10" s="36">
        <f t="shared" si="2"/>
        <v>18.899999999999999</v>
      </c>
      <c r="Z10" s="37">
        <f t="shared" si="3"/>
        <v>17.850000000000001</v>
      </c>
      <c r="AA10" s="38">
        <f t="shared" si="4"/>
        <v>1.0499999999999972</v>
      </c>
    </row>
    <row r="11" spans="1:27" x14ac:dyDescent="0.35">
      <c r="A11" s="16"/>
      <c r="B11" s="17" t="s">
        <v>39</v>
      </c>
      <c r="C11" s="11">
        <v>38</v>
      </c>
      <c r="D11" s="11">
        <v>24</v>
      </c>
      <c r="E11" s="11">
        <v>4</v>
      </c>
      <c r="F11" s="11">
        <v>24</v>
      </c>
      <c r="G11" s="11">
        <v>57</v>
      </c>
      <c r="H11" s="11">
        <v>25</v>
      </c>
      <c r="I11" s="11">
        <v>77</v>
      </c>
      <c r="J11" s="15">
        <f t="shared" si="0"/>
        <v>6.2249999999999996</v>
      </c>
      <c r="K11" s="12">
        <v>6</v>
      </c>
      <c r="L11" s="13"/>
      <c r="M11" s="16"/>
      <c r="N11" s="17" t="s">
        <v>39</v>
      </c>
      <c r="O11" s="11">
        <v>20</v>
      </c>
      <c r="P11" s="11">
        <v>24</v>
      </c>
      <c r="Q11" s="11">
        <v>4</v>
      </c>
      <c r="R11" s="11">
        <v>24</v>
      </c>
      <c r="S11" s="11">
        <v>52</v>
      </c>
      <c r="T11" s="11">
        <v>20</v>
      </c>
      <c r="U11" s="11">
        <v>72</v>
      </c>
      <c r="V11" s="15">
        <f t="shared" si="1"/>
        <v>5.4</v>
      </c>
      <c r="W11" s="12">
        <v>4</v>
      </c>
      <c r="Y11" s="36">
        <f t="shared" si="2"/>
        <v>6.2249999999999996</v>
      </c>
      <c r="Z11" s="37">
        <f t="shared" si="3"/>
        <v>5.4</v>
      </c>
      <c r="AA11" s="38">
        <f t="shared" si="4"/>
        <v>0.82499999999999929</v>
      </c>
    </row>
    <row r="12" spans="1:27" x14ac:dyDescent="0.35">
      <c r="A12" s="16"/>
      <c r="B12" s="17" t="s">
        <v>37</v>
      </c>
      <c r="C12" s="11">
        <v>104</v>
      </c>
      <c r="D12" s="11">
        <v>32</v>
      </c>
      <c r="E12" s="11">
        <v>32</v>
      </c>
      <c r="F12" s="11">
        <v>32</v>
      </c>
      <c r="G12" s="11">
        <v>26</v>
      </c>
      <c r="H12" s="11">
        <v>32</v>
      </c>
      <c r="I12" s="11">
        <v>32</v>
      </c>
      <c r="J12" s="15">
        <f t="shared" si="0"/>
        <v>7.25</v>
      </c>
      <c r="K12" s="12">
        <v>5</v>
      </c>
      <c r="L12" s="13"/>
      <c r="M12" s="16"/>
      <c r="N12" s="17" t="s">
        <v>37</v>
      </c>
      <c r="O12" s="11">
        <v>12</v>
      </c>
      <c r="P12" s="11">
        <v>12</v>
      </c>
      <c r="Q12" s="11">
        <v>12</v>
      </c>
      <c r="R12" s="11">
        <v>12</v>
      </c>
      <c r="S12" s="11">
        <v>6</v>
      </c>
      <c r="T12" s="11">
        <v>12</v>
      </c>
      <c r="U12" s="11">
        <v>12</v>
      </c>
      <c r="V12" s="15">
        <f t="shared" si="1"/>
        <v>1.95</v>
      </c>
      <c r="W12" s="12">
        <v>2</v>
      </c>
      <c r="Y12" s="36">
        <f t="shared" si="2"/>
        <v>7.25</v>
      </c>
      <c r="Z12" s="37">
        <f t="shared" si="3"/>
        <v>1.95</v>
      </c>
      <c r="AA12" s="38">
        <f t="shared" si="4"/>
        <v>5.3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v>192</v>
      </c>
      <c r="K13" s="12">
        <v>8</v>
      </c>
      <c r="L13" s="13"/>
      <c r="M13" s="16"/>
      <c r="N13" s="17" t="s">
        <v>16</v>
      </c>
      <c r="O13" s="11"/>
      <c r="P13" s="11">
        <v>540</v>
      </c>
      <c r="Q13" s="11">
        <v>730</v>
      </c>
      <c r="R13" s="11">
        <v>1370</v>
      </c>
      <c r="S13" s="11">
        <v>720</v>
      </c>
      <c r="T13" s="11">
        <v>1320</v>
      </c>
      <c r="U13" s="11">
        <v>2120</v>
      </c>
      <c r="V13" s="15">
        <f t="shared" si="1"/>
        <v>170</v>
      </c>
      <c r="W13" s="12">
        <v>2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12</v>
      </c>
      <c r="K14" s="12">
        <v>12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10</v>
      </c>
      <c r="K15" s="12">
        <v>12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8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474</v>
      </c>
      <c r="D18" s="25">
        <f t="shared" si="5"/>
        <v>176</v>
      </c>
      <c r="E18" s="25">
        <f t="shared" si="5"/>
        <v>126</v>
      </c>
      <c r="F18" s="25">
        <f t="shared" si="5"/>
        <v>128</v>
      </c>
      <c r="G18" s="25">
        <f t="shared" si="5"/>
        <v>1133</v>
      </c>
      <c r="H18" s="25">
        <f t="shared" si="5"/>
        <v>760</v>
      </c>
      <c r="I18" s="25">
        <f t="shared" si="5"/>
        <v>1216</v>
      </c>
      <c r="J18" s="26">
        <f>SUM(C18:I18)</f>
        <v>4013</v>
      </c>
      <c r="K18" s="28"/>
      <c r="M18" s="1"/>
      <c r="N18" s="7"/>
      <c r="O18" s="25">
        <f t="shared" ref="O18:U18" si="6">SUM(O8:O17)</f>
        <v>324</v>
      </c>
      <c r="P18" s="25">
        <f t="shared" si="6"/>
        <v>695</v>
      </c>
      <c r="Q18" s="25">
        <f t="shared" si="6"/>
        <v>835</v>
      </c>
      <c r="R18" s="25">
        <f t="shared" si="6"/>
        <v>1478</v>
      </c>
      <c r="S18" s="25">
        <f t="shared" si="6"/>
        <v>1828</v>
      </c>
      <c r="T18" s="25">
        <f t="shared" si="6"/>
        <v>2050</v>
      </c>
      <c r="U18" s="25">
        <f t="shared" si="6"/>
        <v>3306</v>
      </c>
      <c r="V18" s="26">
        <f>SUM(O18:U18)</f>
        <v>10516</v>
      </c>
      <c r="W18" s="28"/>
      <c r="Y18" s="33">
        <f>SUM(Y8:Y17)</f>
        <v>100.32499999999999</v>
      </c>
      <c r="Z18" s="34">
        <f>SUM(Z8:Z17)</f>
        <v>92.90000000000002</v>
      </c>
      <c r="AA18" s="35">
        <f>SUM(AA8:AA17)</f>
        <v>7.4249999999999963</v>
      </c>
    </row>
    <row r="19" spans="1:27" ht="15" thickBot="1" x14ac:dyDescent="0.4">
      <c r="A19" s="1"/>
      <c r="B19" s="20" t="s">
        <v>18</v>
      </c>
      <c r="C19" s="21">
        <f t="shared" ref="C19:I19" si="7">C18/40</f>
        <v>11.85</v>
      </c>
      <c r="D19" s="21">
        <f t="shared" si="7"/>
        <v>4.4000000000000004</v>
      </c>
      <c r="E19" s="21">
        <f t="shared" si="7"/>
        <v>3.15</v>
      </c>
      <c r="F19" s="21">
        <f t="shared" si="7"/>
        <v>3.2</v>
      </c>
      <c r="G19" s="21">
        <f t="shared" si="7"/>
        <v>28.324999999999999</v>
      </c>
      <c r="H19" s="21">
        <f t="shared" si="7"/>
        <v>19</v>
      </c>
      <c r="I19" s="21">
        <f t="shared" si="7"/>
        <v>30.4</v>
      </c>
      <c r="J19" s="22">
        <f>SUM(J8:J16)</f>
        <v>320.32499999999999</v>
      </c>
      <c r="K19" s="23"/>
      <c r="M19" s="1"/>
      <c r="N19" s="20" t="s">
        <v>18</v>
      </c>
      <c r="O19" s="21">
        <f t="shared" ref="O19:V19" si="8">O18/40</f>
        <v>8.1</v>
      </c>
      <c r="P19" s="21">
        <f t="shared" si="8"/>
        <v>17.375</v>
      </c>
      <c r="Q19" s="21">
        <f t="shared" si="8"/>
        <v>20.875</v>
      </c>
      <c r="R19" s="21">
        <f t="shared" si="8"/>
        <v>36.950000000000003</v>
      </c>
      <c r="S19" s="21">
        <f t="shared" si="8"/>
        <v>45.7</v>
      </c>
      <c r="T19" s="21">
        <f t="shared" si="8"/>
        <v>51.25</v>
      </c>
      <c r="U19" s="21">
        <f t="shared" si="8"/>
        <v>82.65</v>
      </c>
      <c r="V19" s="22">
        <f t="shared" si="8"/>
        <v>262.89999999999998</v>
      </c>
      <c r="W19" s="23"/>
      <c r="Y19" s="39">
        <f>Y18/40</f>
        <v>2.5081249999999997</v>
      </c>
      <c r="Z19" s="40">
        <f>Z18/40</f>
        <v>2.3225000000000007</v>
      </c>
      <c r="AA19" s="41">
        <f>AA18/40</f>
        <v>0.1856249999999999</v>
      </c>
    </row>
    <row r="22" spans="1:27" x14ac:dyDescent="0.35">
      <c r="J22" t="s">
        <v>49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57C8-6669-47B4-92C0-B801164619FC}">
  <dimension ref="A1:AA19"/>
  <sheetViews>
    <sheetView topLeftCell="A3" workbookViewId="0">
      <selection activeCell="W13" sqref="W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10</v>
      </c>
      <c r="D8" s="11">
        <v>95</v>
      </c>
      <c r="E8" s="11">
        <v>75</v>
      </c>
      <c r="F8" s="11">
        <v>20</v>
      </c>
      <c r="G8" s="11">
        <v>85</v>
      </c>
      <c r="H8" s="11">
        <v>60</v>
      </c>
      <c r="I8" s="11">
        <v>75</v>
      </c>
      <c r="J8" s="15">
        <v>13</v>
      </c>
      <c r="K8" s="12">
        <v>14</v>
      </c>
      <c r="L8" s="13"/>
      <c r="M8" s="14"/>
      <c r="N8" s="7" t="s">
        <v>13</v>
      </c>
      <c r="O8" s="11">
        <v>10</v>
      </c>
      <c r="P8" s="11">
        <v>90</v>
      </c>
      <c r="Q8" s="11">
        <v>90</v>
      </c>
      <c r="R8" s="11">
        <v>45</v>
      </c>
      <c r="S8" s="11">
        <v>75</v>
      </c>
      <c r="T8" s="11">
        <v>60</v>
      </c>
      <c r="U8" s="11">
        <v>75</v>
      </c>
      <c r="V8" s="15">
        <f>SUM(O8:U8)/40</f>
        <v>11.125</v>
      </c>
      <c r="W8" s="12">
        <v>14</v>
      </c>
      <c r="Y8" s="36">
        <f>J8</f>
        <v>13</v>
      </c>
      <c r="Z8" s="37">
        <f>V8</f>
        <v>11.125</v>
      </c>
      <c r="AA8" s="38">
        <f>Y8-Z8</f>
        <v>1.875</v>
      </c>
    </row>
    <row r="9" spans="1:27" x14ac:dyDescent="0.35">
      <c r="A9" s="14"/>
      <c r="B9" s="7" t="s">
        <v>14</v>
      </c>
      <c r="C9" s="11">
        <v>80</v>
      </c>
      <c r="D9" s="11">
        <v>40</v>
      </c>
      <c r="E9" s="11">
        <v>40</v>
      </c>
      <c r="F9" s="11">
        <v>80</v>
      </c>
      <c r="G9" s="11">
        <v>80</v>
      </c>
      <c r="H9" s="11">
        <v>80</v>
      </c>
      <c r="I9" s="11">
        <v>80</v>
      </c>
      <c r="J9" s="15">
        <f t="shared" ref="J9:J13" si="0">SUM(C9:I9)/40</f>
        <v>12</v>
      </c>
      <c r="K9" s="12">
        <v>21</v>
      </c>
      <c r="L9" s="13"/>
      <c r="M9" s="14"/>
      <c r="N9" s="7" t="s">
        <v>14</v>
      </c>
      <c r="O9" s="11">
        <v>82</v>
      </c>
      <c r="P9" s="11">
        <v>40</v>
      </c>
      <c r="Q9" s="11">
        <v>40</v>
      </c>
      <c r="R9" s="11">
        <v>80</v>
      </c>
      <c r="S9" s="11">
        <v>80</v>
      </c>
      <c r="T9" s="11">
        <v>80</v>
      </c>
      <c r="U9" s="11">
        <v>80</v>
      </c>
      <c r="V9" s="15">
        <f t="shared" ref="V9:V16" si="1">SUM(O9:U9)/40</f>
        <v>12.05</v>
      </c>
      <c r="W9" s="12">
        <v>21</v>
      </c>
      <c r="Y9" s="36">
        <f t="shared" ref="Y9:Y17" si="2">J9</f>
        <v>12</v>
      </c>
      <c r="Z9" s="37">
        <f t="shared" ref="Z9:Z17" si="3">V9</f>
        <v>12.05</v>
      </c>
      <c r="AA9" s="38">
        <f t="shared" ref="AA9:AA17" si="4">Y9-Z9</f>
        <v>-5.0000000000000711E-2</v>
      </c>
    </row>
    <row r="10" spans="1:27" x14ac:dyDescent="0.35">
      <c r="A10" s="14"/>
      <c r="B10" s="7" t="s">
        <v>15</v>
      </c>
      <c r="C10" s="11">
        <v>530</v>
      </c>
      <c r="D10" s="11"/>
      <c r="E10" s="11"/>
      <c r="F10" s="11"/>
      <c r="G10" s="11"/>
      <c r="H10" s="11"/>
      <c r="I10" s="11"/>
      <c r="J10" s="15">
        <f t="shared" si="0"/>
        <v>13.25</v>
      </c>
      <c r="K10" s="12">
        <v>6</v>
      </c>
      <c r="L10" s="13"/>
      <c r="M10" s="14"/>
      <c r="N10" s="7" t="s">
        <v>15</v>
      </c>
      <c r="O10" s="11">
        <v>530</v>
      </c>
      <c r="P10" s="11"/>
      <c r="Q10" s="11"/>
      <c r="R10" s="11"/>
      <c r="S10" s="11"/>
      <c r="T10" s="11"/>
      <c r="U10" s="11"/>
      <c r="V10" s="15">
        <f t="shared" si="1"/>
        <v>13.25</v>
      </c>
      <c r="W10" s="12">
        <v>4</v>
      </c>
      <c r="Y10" s="36">
        <f t="shared" si="2"/>
        <v>13.25</v>
      </c>
      <c r="Z10" s="37">
        <f t="shared" si="3"/>
        <v>13.25</v>
      </c>
      <c r="AA10" s="38">
        <f t="shared" si="4"/>
        <v>0</v>
      </c>
    </row>
    <row r="11" spans="1:27" x14ac:dyDescent="0.35">
      <c r="A11" s="16"/>
      <c r="B11" s="17" t="s">
        <v>39</v>
      </c>
      <c r="C11" s="11">
        <v>119</v>
      </c>
      <c r="D11" s="11">
        <v>13</v>
      </c>
      <c r="E11" s="11">
        <v>13</v>
      </c>
      <c r="F11" s="11">
        <v>14</v>
      </c>
      <c r="G11" s="11">
        <v>78</v>
      </c>
      <c r="H11" s="11">
        <v>53</v>
      </c>
      <c r="I11" s="11">
        <v>71</v>
      </c>
      <c r="J11" s="15">
        <f t="shared" si="0"/>
        <v>9.0250000000000004</v>
      </c>
      <c r="K11" s="12">
        <v>11</v>
      </c>
      <c r="L11" s="13"/>
      <c r="M11" s="16"/>
      <c r="N11" s="17" t="s">
        <v>39</v>
      </c>
      <c r="O11" s="11">
        <v>79</v>
      </c>
      <c r="P11" s="11">
        <v>13</v>
      </c>
      <c r="Q11" s="11">
        <v>13</v>
      </c>
      <c r="R11" s="11">
        <v>14</v>
      </c>
      <c r="S11" s="11">
        <v>65</v>
      </c>
      <c r="T11" s="11">
        <v>40</v>
      </c>
      <c r="U11" s="11">
        <v>57</v>
      </c>
      <c r="V11" s="15">
        <f t="shared" si="1"/>
        <v>7.0250000000000004</v>
      </c>
      <c r="W11" s="12">
        <v>10</v>
      </c>
      <c r="Y11" s="36">
        <f t="shared" si="2"/>
        <v>9.0250000000000004</v>
      </c>
      <c r="Z11" s="37">
        <f t="shared" si="3"/>
        <v>7.0250000000000004</v>
      </c>
      <c r="AA11" s="38">
        <f t="shared" si="4"/>
        <v>2</v>
      </c>
    </row>
    <row r="12" spans="1:27" x14ac:dyDescent="0.35">
      <c r="A12" s="16"/>
      <c r="B12" s="17" t="s">
        <v>37</v>
      </c>
      <c r="C12" s="11">
        <v>60</v>
      </c>
      <c r="D12" s="11">
        <v>30</v>
      </c>
      <c r="E12" s="11">
        <v>44</v>
      </c>
      <c r="F12" s="11">
        <v>44</v>
      </c>
      <c r="G12" s="11">
        <v>22</v>
      </c>
      <c r="H12" s="11">
        <v>23</v>
      </c>
      <c r="I12" s="11">
        <v>23</v>
      </c>
      <c r="J12" s="15">
        <f t="shared" si="0"/>
        <v>6.15</v>
      </c>
      <c r="K12" s="12">
        <v>10</v>
      </c>
      <c r="L12" s="13"/>
      <c r="M12" s="16"/>
      <c r="N12" s="17" t="s">
        <v>37</v>
      </c>
      <c r="O12" s="11">
        <v>54</v>
      </c>
      <c r="P12" s="11">
        <v>30</v>
      </c>
      <c r="Q12" s="11">
        <v>44</v>
      </c>
      <c r="R12" s="11">
        <v>44</v>
      </c>
      <c r="S12" s="11">
        <v>22</v>
      </c>
      <c r="T12" s="11">
        <v>23</v>
      </c>
      <c r="U12" s="11">
        <v>23</v>
      </c>
      <c r="V12" s="15">
        <f t="shared" si="1"/>
        <v>6</v>
      </c>
      <c r="W12" s="12">
        <v>9</v>
      </c>
      <c r="Y12" s="36">
        <f t="shared" si="2"/>
        <v>6.15</v>
      </c>
      <c r="Z12" s="37">
        <f t="shared" si="3"/>
        <v>6</v>
      </c>
      <c r="AA12" s="38">
        <f t="shared" si="4"/>
        <v>0.15000000000000036</v>
      </c>
    </row>
    <row r="13" spans="1:27" x14ac:dyDescent="0.35">
      <c r="A13" s="16"/>
      <c r="B13" s="17" t="s">
        <v>16</v>
      </c>
      <c r="C13" s="11">
        <v>200</v>
      </c>
      <c r="D13" s="11">
        <v>340</v>
      </c>
      <c r="E13" s="11">
        <v>320</v>
      </c>
      <c r="F13" s="11">
        <v>440</v>
      </c>
      <c r="G13" s="11">
        <v>380</v>
      </c>
      <c r="H13" s="11">
        <v>360</v>
      </c>
      <c r="I13" s="11">
        <v>600</v>
      </c>
      <c r="J13" s="15">
        <f t="shared" si="0"/>
        <v>66</v>
      </c>
      <c r="K13" s="12">
        <v>5</v>
      </c>
      <c r="L13" s="13"/>
      <c r="M13" s="16"/>
      <c r="N13" s="17" t="s">
        <v>16</v>
      </c>
      <c r="O13" s="11"/>
      <c r="P13" s="11">
        <v>100</v>
      </c>
      <c r="Q13" s="11">
        <v>80</v>
      </c>
      <c r="R13" s="11">
        <v>200</v>
      </c>
      <c r="S13" s="11">
        <v>140</v>
      </c>
      <c r="T13" s="11">
        <v>120</v>
      </c>
      <c r="U13" s="11">
        <v>360</v>
      </c>
      <c r="V13" s="15">
        <f t="shared" si="1"/>
        <v>25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16</v>
      </c>
      <c r="K14" s="12">
        <v>14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9</v>
      </c>
      <c r="K15" s="12">
        <v>10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5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33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999</v>
      </c>
      <c r="D18" s="25">
        <f t="shared" si="5"/>
        <v>518</v>
      </c>
      <c r="E18" s="25">
        <f t="shared" si="5"/>
        <v>492</v>
      </c>
      <c r="F18" s="25">
        <f t="shared" si="5"/>
        <v>598</v>
      </c>
      <c r="G18" s="25">
        <f t="shared" si="5"/>
        <v>645</v>
      </c>
      <c r="H18" s="25">
        <f t="shared" si="5"/>
        <v>576</v>
      </c>
      <c r="I18" s="25">
        <f t="shared" si="5"/>
        <v>849</v>
      </c>
      <c r="J18" s="26">
        <f>SUM(C18:I18)</f>
        <v>4677</v>
      </c>
      <c r="K18" s="28"/>
      <c r="M18" s="1"/>
      <c r="N18" s="7"/>
      <c r="O18" s="25">
        <f t="shared" ref="O18:U18" si="6">SUM(O8:O17)</f>
        <v>755</v>
      </c>
      <c r="P18" s="25">
        <f t="shared" si="6"/>
        <v>273</v>
      </c>
      <c r="Q18" s="25">
        <f t="shared" si="6"/>
        <v>267</v>
      </c>
      <c r="R18" s="25">
        <f t="shared" si="6"/>
        <v>383</v>
      </c>
      <c r="S18" s="25">
        <f t="shared" si="6"/>
        <v>382</v>
      </c>
      <c r="T18" s="25">
        <f t="shared" si="6"/>
        <v>323</v>
      </c>
      <c r="U18" s="25">
        <f t="shared" si="6"/>
        <v>595</v>
      </c>
      <c r="V18" s="26">
        <f>SUM(O18:U18)</f>
        <v>2978</v>
      </c>
      <c r="W18" s="28"/>
      <c r="Y18" s="33">
        <f>SUM(Y8:Y17)</f>
        <v>53.424999999999997</v>
      </c>
      <c r="Z18" s="34">
        <f>SUM(Z8:Z17)</f>
        <v>49.449999999999996</v>
      </c>
      <c r="AA18" s="35">
        <f>SUM(AA8:AA17)</f>
        <v>3.9749999999999996</v>
      </c>
    </row>
    <row r="19" spans="1:27" ht="15" thickBot="1" x14ac:dyDescent="0.4">
      <c r="A19" s="1"/>
      <c r="B19" s="20" t="s">
        <v>18</v>
      </c>
      <c r="C19" s="21">
        <f t="shared" ref="C19:J19" si="7">C18/40</f>
        <v>24.975000000000001</v>
      </c>
      <c r="D19" s="21">
        <f t="shared" si="7"/>
        <v>12.95</v>
      </c>
      <c r="E19" s="21">
        <f t="shared" si="7"/>
        <v>12.3</v>
      </c>
      <c r="F19" s="21">
        <f t="shared" si="7"/>
        <v>14.95</v>
      </c>
      <c r="G19" s="21">
        <f t="shared" si="7"/>
        <v>16.125</v>
      </c>
      <c r="H19" s="21">
        <f t="shared" si="7"/>
        <v>14.4</v>
      </c>
      <c r="I19" s="21">
        <f t="shared" si="7"/>
        <v>21.225000000000001</v>
      </c>
      <c r="J19" s="22">
        <f t="shared" si="7"/>
        <v>116.925</v>
      </c>
      <c r="K19" s="23"/>
      <c r="M19" s="1"/>
      <c r="N19" s="20" t="s">
        <v>18</v>
      </c>
      <c r="O19" s="21">
        <f t="shared" ref="O19:V19" si="8">O18/40</f>
        <v>18.875</v>
      </c>
      <c r="P19" s="21">
        <f t="shared" si="8"/>
        <v>6.8250000000000002</v>
      </c>
      <c r="Q19" s="21">
        <f t="shared" si="8"/>
        <v>6.6749999999999998</v>
      </c>
      <c r="R19" s="21">
        <f t="shared" si="8"/>
        <v>9.5749999999999993</v>
      </c>
      <c r="S19" s="21">
        <f t="shared" si="8"/>
        <v>9.5500000000000007</v>
      </c>
      <c r="T19" s="21">
        <f t="shared" si="8"/>
        <v>8.0749999999999993</v>
      </c>
      <c r="U19" s="21">
        <f t="shared" si="8"/>
        <v>14.875</v>
      </c>
      <c r="V19" s="22">
        <f t="shared" si="8"/>
        <v>74.45</v>
      </c>
      <c r="W19" s="23"/>
      <c r="Y19" s="39">
        <f>Y18/40</f>
        <v>1.3356249999999998</v>
      </c>
      <c r="Z19" s="40">
        <f>Z18/40</f>
        <v>1.2362499999999998</v>
      </c>
      <c r="AA19" s="41">
        <f>AA18/40</f>
        <v>9.9374999999999991E-2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DB511-BA97-45BD-9562-F3C78F09ECB1}">
  <dimension ref="A1:AA19"/>
  <sheetViews>
    <sheetView topLeftCell="A2" workbookViewId="0">
      <selection activeCell="L16" sqref="L16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80</v>
      </c>
      <c r="D8" s="11">
        <v>30</v>
      </c>
      <c r="E8" s="11">
        <v>30</v>
      </c>
      <c r="F8" s="11">
        <v>20</v>
      </c>
      <c r="G8" s="11">
        <v>15</v>
      </c>
      <c r="H8" s="11">
        <v>10</v>
      </c>
      <c r="I8" s="11">
        <v>15</v>
      </c>
      <c r="J8" s="15">
        <f>SUM(C8:I8)/40</f>
        <v>5</v>
      </c>
      <c r="K8" s="12">
        <v>8</v>
      </c>
      <c r="L8" s="13"/>
      <c r="M8" s="14"/>
      <c r="N8" s="7" t="s">
        <v>13</v>
      </c>
      <c r="O8" s="11"/>
      <c r="P8" s="11">
        <v>30</v>
      </c>
      <c r="Q8" s="11">
        <v>30</v>
      </c>
      <c r="R8" s="11">
        <v>20</v>
      </c>
      <c r="S8" s="11">
        <v>15</v>
      </c>
      <c r="T8" s="11">
        <v>10</v>
      </c>
      <c r="U8" s="11">
        <v>15</v>
      </c>
      <c r="V8" s="15">
        <f>SUM(O8:U8)/40</f>
        <v>3</v>
      </c>
      <c r="W8" s="12">
        <v>7</v>
      </c>
      <c r="Y8" s="36">
        <f>J8</f>
        <v>5</v>
      </c>
      <c r="Z8" s="37">
        <f>V8</f>
        <v>3</v>
      </c>
      <c r="AA8" s="38">
        <f>Y8-Z8</f>
        <v>2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94</v>
      </c>
      <c r="H9" s="11">
        <v>40</v>
      </c>
      <c r="I9" s="11">
        <v>186</v>
      </c>
      <c r="J9" s="15">
        <f t="shared" ref="J9:J12" si="0">SUM(C9:I9)/40</f>
        <v>8</v>
      </c>
      <c r="K9" s="12">
        <v>15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0</v>
      </c>
      <c r="S9" s="11">
        <v>94</v>
      </c>
      <c r="T9" s="11">
        <v>40</v>
      </c>
      <c r="U9" s="11">
        <v>186</v>
      </c>
      <c r="V9" s="15">
        <f t="shared" ref="V9:V17" si="1">SUM(O9:U9)/40</f>
        <v>8</v>
      </c>
      <c r="W9" s="12">
        <v>15</v>
      </c>
      <c r="Y9" s="36">
        <f t="shared" ref="Y9:Y17" si="2">J9</f>
        <v>8</v>
      </c>
      <c r="Z9" s="37">
        <f t="shared" ref="Z9:Z17" si="3">V9</f>
        <v>8</v>
      </c>
      <c r="AA9" s="38">
        <f t="shared" ref="AA9:AA17" si="4">Y9-Z9</f>
        <v>0</v>
      </c>
    </row>
    <row r="10" spans="1:27" ht="15.5" x14ac:dyDescent="0.35">
      <c r="A10" s="14"/>
      <c r="B10" s="7" t="s">
        <v>15</v>
      </c>
      <c r="C10" s="83" t="s">
        <v>50</v>
      </c>
      <c r="D10" s="84"/>
      <c r="E10" s="84"/>
      <c r="F10" s="84"/>
      <c r="G10" s="84"/>
      <c r="H10" s="84"/>
      <c r="I10" s="85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>
        <v>120</v>
      </c>
      <c r="D11" s="11">
        <v>15</v>
      </c>
      <c r="E11" s="11">
        <v>10</v>
      </c>
      <c r="F11" s="11">
        <v>15</v>
      </c>
      <c r="G11" s="11">
        <v>97</v>
      </c>
      <c r="H11" s="11">
        <v>92</v>
      </c>
      <c r="I11" s="11">
        <v>99</v>
      </c>
      <c r="J11" s="15">
        <f t="shared" si="0"/>
        <v>11.2</v>
      </c>
      <c r="K11" s="12">
        <v>6</v>
      </c>
      <c r="L11" s="13"/>
      <c r="M11" s="16"/>
      <c r="N11" s="17" t="s">
        <v>39</v>
      </c>
      <c r="O11" s="11">
        <v>120</v>
      </c>
      <c r="P11" s="11">
        <v>15</v>
      </c>
      <c r="Q11" s="11">
        <v>9</v>
      </c>
      <c r="R11" s="11">
        <v>15</v>
      </c>
      <c r="S11" s="11">
        <v>91</v>
      </c>
      <c r="T11" s="11">
        <v>86</v>
      </c>
      <c r="U11" s="11">
        <v>93</v>
      </c>
      <c r="V11" s="15">
        <f t="shared" si="1"/>
        <v>10.725</v>
      </c>
      <c r="W11" s="12">
        <v>5</v>
      </c>
      <c r="Y11" s="36">
        <f t="shared" si="2"/>
        <v>11.2</v>
      </c>
      <c r="Z11" s="37">
        <f t="shared" si="3"/>
        <v>10.725</v>
      </c>
      <c r="AA11" s="38">
        <f t="shared" si="4"/>
        <v>0.47499999999999964</v>
      </c>
    </row>
    <row r="12" spans="1:27" x14ac:dyDescent="0.35">
      <c r="A12" s="16"/>
      <c r="B12" s="17" t="s">
        <v>37</v>
      </c>
      <c r="C12" s="11">
        <v>124</v>
      </c>
      <c r="D12" s="11">
        <v>29</v>
      </c>
      <c r="E12" s="11">
        <v>24</v>
      </c>
      <c r="F12" s="11">
        <v>29</v>
      </c>
      <c r="G12" s="11">
        <v>23</v>
      </c>
      <c r="H12" s="11">
        <v>18</v>
      </c>
      <c r="I12" s="11">
        <v>23</v>
      </c>
      <c r="J12" s="15">
        <f t="shared" si="0"/>
        <v>6.75</v>
      </c>
      <c r="K12" s="12">
        <v>7</v>
      </c>
      <c r="L12" s="13"/>
      <c r="M12" s="16"/>
      <c r="N12" s="17" t="s">
        <v>37</v>
      </c>
      <c r="O12" s="11">
        <v>112</v>
      </c>
      <c r="P12" s="11">
        <v>29</v>
      </c>
      <c r="Q12" s="11">
        <v>24</v>
      </c>
      <c r="R12" s="11">
        <v>29</v>
      </c>
      <c r="S12" s="11">
        <v>23</v>
      </c>
      <c r="T12" s="11">
        <v>18</v>
      </c>
      <c r="U12" s="11">
        <v>23</v>
      </c>
      <c r="V12" s="15">
        <f t="shared" si="1"/>
        <v>6.45</v>
      </c>
      <c r="W12" s="12">
        <v>6</v>
      </c>
      <c r="Y12" s="36">
        <f t="shared" si="2"/>
        <v>6.75</v>
      </c>
      <c r="Z12" s="37">
        <f t="shared" si="3"/>
        <v>6.45</v>
      </c>
      <c r="AA12" s="38">
        <f t="shared" si="4"/>
        <v>0.29999999999999982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v>90</v>
      </c>
      <c r="K13" s="12">
        <v>4</v>
      </c>
      <c r="L13" s="13"/>
      <c r="M13" s="16"/>
      <c r="N13" s="17" t="s">
        <v>16</v>
      </c>
      <c r="O13" s="11"/>
      <c r="P13" s="11">
        <v>240</v>
      </c>
      <c r="Q13" s="11">
        <v>360</v>
      </c>
      <c r="R13" s="11">
        <v>720</v>
      </c>
      <c r="S13" s="11">
        <v>480</v>
      </c>
      <c r="T13" s="11">
        <v>560</v>
      </c>
      <c r="U13" s="11">
        <v>1200</v>
      </c>
      <c r="V13" s="15">
        <f t="shared" si="1"/>
        <v>89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16</v>
      </c>
      <c r="K14" s="12">
        <v>14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9</v>
      </c>
      <c r="K15" s="12">
        <v>10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5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32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324</v>
      </c>
      <c r="D18" s="25">
        <f t="shared" si="5"/>
        <v>74</v>
      </c>
      <c r="E18" s="25">
        <f t="shared" si="5"/>
        <v>64</v>
      </c>
      <c r="F18" s="25">
        <f t="shared" si="5"/>
        <v>64</v>
      </c>
      <c r="G18" s="25">
        <f t="shared" si="5"/>
        <v>229</v>
      </c>
      <c r="H18" s="25">
        <f t="shared" si="5"/>
        <v>160</v>
      </c>
      <c r="I18" s="25">
        <f t="shared" si="5"/>
        <v>323</v>
      </c>
      <c r="J18" s="26">
        <f>SUM(C18:I18)</f>
        <v>1238</v>
      </c>
      <c r="K18" s="28"/>
      <c r="M18" s="1"/>
      <c r="N18" s="7"/>
      <c r="O18" s="25">
        <f t="shared" ref="O18:U18" si="6">SUM(O8:O17)</f>
        <v>232</v>
      </c>
      <c r="P18" s="25">
        <f t="shared" si="6"/>
        <v>314</v>
      </c>
      <c r="Q18" s="25">
        <f t="shared" si="6"/>
        <v>423</v>
      </c>
      <c r="R18" s="25">
        <f t="shared" si="6"/>
        <v>784</v>
      </c>
      <c r="S18" s="25">
        <f t="shared" si="6"/>
        <v>703</v>
      </c>
      <c r="T18" s="25">
        <f t="shared" si="6"/>
        <v>714</v>
      </c>
      <c r="U18" s="25">
        <f t="shared" si="6"/>
        <v>1517</v>
      </c>
      <c r="V18" s="26">
        <f>SUM(O18:U18)</f>
        <v>4687</v>
      </c>
      <c r="W18" s="28"/>
      <c r="Y18" s="33">
        <f>SUM(Y8:Y17)</f>
        <v>30.95</v>
      </c>
      <c r="Z18" s="34">
        <f>SUM(Z8:Z17)</f>
        <v>28.175000000000001</v>
      </c>
      <c r="AA18" s="35">
        <f>SUM(AA8:AA17)</f>
        <v>2.7749999999999995</v>
      </c>
    </row>
    <row r="19" spans="1:27" ht="15" thickBot="1" x14ac:dyDescent="0.4">
      <c r="A19" s="1"/>
      <c r="B19" s="20" t="s">
        <v>18</v>
      </c>
      <c r="C19" s="21">
        <f t="shared" ref="C19:I19" si="7">C18/40</f>
        <v>8.1</v>
      </c>
      <c r="D19" s="21">
        <f t="shared" si="7"/>
        <v>1.85</v>
      </c>
      <c r="E19" s="21">
        <f t="shared" si="7"/>
        <v>1.6</v>
      </c>
      <c r="F19" s="21">
        <f t="shared" si="7"/>
        <v>1.6</v>
      </c>
      <c r="G19" s="21">
        <f t="shared" si="7"/>
        <v>5.7249999999999996</v>
      </c>
      <c r="H19" s="21">
        <f t="shared" si="7"/>
        <v>4</v>
      </c>
      <c r="I19" s="21">
        <f t="shared" si="7"/>
        <v>8.0749999999999993</v>
      </c>
      <c r="J19" s="22">
        <f>SUM(J8:J16)</f>
        <v>151.94999999999999</v>
      </c>
      <c r="K19" s="23"/>
      <c r="M19" s="1"/>
      <c r="N19" s="20" t="s">
        <v>18</v>
      </c>
      <c r="O19" s="21">
        <f t="shared" ref="O19:V19" si="8">O18/40</f>
        <v>5.8</v>
      </c>
      <c r="P19" s="21">
        <f t="shared" si="8"/>
        <v>7.85</v>
      </c>
      <c r="Q19" s="21">
        <f t="shared" si="8"/>
        <v>10.574999999999999</v>
      </c>
      <c r="R19" s="21">
        <f t="shared" si="8"/>
        <v>19.600000000000001</v>
      </c>
      <c r="S19" s="21">
        <f t="shared" si="8"/>
        <v>17.574999999999999</v>
      </c>
      <c r="T19" s="21">
        <f t="shared" si="8"/>
        <v>17.850000000000001</v>
      </c>
      <c r="U19" s="21">
        <f t="shared" si="8"/>
        <v>37.924999999999997</v>
      </c>
      <c r="V19" s="22">
        <f t="shared" si="8"/>
        <v>117.175</v>
      </c>
      <c r="W19" s="23"/>
      <c r="Y19" s="39">
        <f>Y18/40</f>
        <v>0.77374999999999994</v>
      </c>
      <c r="Z19" s="40">
        <f>Z18/40</f>
        <v>0.70437499999999997</v>
      </c>
      <c r="AA19" s="41">
        <f>AA18/40</f>
        <v>6.9374999999999992E-2</v>
      </c>
    </row>
  </sheetData>
  <mergeCells count="8">
    <mergeCell ref="C10:I10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0B926-7A0E-4186-8371-73B2B7C1B1B1}">
  <dimension ref="A1:AA19"/>
  <sheetViews>
    <sheetView workbookViewId="0">
      <selection activeCell="Q16" sqref="Q16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80</v>
      </c>
      <c r="D8" s="11">
        <v>60</v>
      </c>
      <c r="E8" s="11">
        <v>60</v>
      </c>
      <c r="F8" s="11">
        <v>0</v>
      </c>
      <c r="G8" s="11">
        <v>80</v>
      </c>
      <c r="H8" s="11">
        <v>80</v>
      </c>
      <c r="I8" s="11">
        <v>240</v>
      </c>
      <c r="J8" s="15">
        <f>SUM(C8:I8)/40</f>
        <v>15</v>
      </c>
      <c r="K8" s="12">
        <v>13</v>
      </c>
      <c r="L8" s="13"/>
      <c r="M8" s="14"/>
      <c r="N8" s="7" t="s">
        <v>13</v>
      </c>
      <c r="O8" s="11">
        <v>80</v>
      </c>
      <c r="P8" s="11">
        <v>60</v>
      </c>
      <c r="Q8" s="11">
        <v>60</v>
      </c>
      <c r="R8" s="11">
        <v>0</v>
      </c>
      <c r="S8" s="11">
        <v>80</v>
      </c>
      <c r="T8" s="11">
        <v>80</v>
      </c>
      <c r="U8" s="11">
        <v>240</v>
      </c>
      <c r="V8" s="15">
        <f>SUM(O8:U8)/40</f>
        <v>15</v>
      </c>
      <c r="W8" s="12">
        <v>13</v>
      </c>
      <c r="Y8" s="36">
        <f>J8</f>
        <v>15</v>
      </c>
      <c r="Z8" s="37">
        <f>V8</f>
        <v>15</v>
      </c>
      <c r="AA8" s="38">
        <f>Y8-Z8</f>
        <v>0</v>
      </c>
    </row>
    <row r="9" spans="1:27" x14ac:dyDescent="0.35">
      <c r="A9" s="14"/>
      <c r="B9" s="7" t="s">
        <v>14</v>
      </c>
      <c r="C9" s="11">
        <v>70</v>
      </c>
      <c r="D9" s="11">
        <v>131</v>
      </c>
      <c r="E9" s="11">
        <v>31</v>
      </c>
      <c r="F9" s="11">
        <v>21</v>
      </c>
      <c r="G9" s="11">
        <v>170</v>
      </c>
      <c r="H9" s="11">
        <v>140</v>
      </c>
      <c r="I9" s="11">
        <v>190</v>
      </c>
      <c r="J9" s="15">
        <f t="shared" ref="J9:J17" si="0">SUM(C9:I9)/40</f>
        <v>18.824999999999999</v>
      </c>
      <c r="K9" s="12">
        <v>9</v>
      </c>
      <c r="L9" s="13"/>
      <c r="M9" s="14"/>
      <c r="N9" s="7" t="s">
        <v>14</v>
      </c>
      <c r="O9" s="11">
        <v>70</v>
      </c>
      <c r="P9" s="11">
        <v>131</v>
      </c>
      <c r="Q9" s="11">
        <v>31</v>
      </c>
      <c r="R9" s="11">
        <v>21</v>
      </c>
      <c r="S9" s="11">
        <v>170</v>
      </c>
      <c r="T9" s="11">
        <v>140</v>
      </c>
      <c r="U9" s="11">
        <v>190</v>
      </c>
      <c r="V9" s="15">
        <f t="shared" ref="V9:V17" si="1">SUM(O9:U9)/40</f>
        <v>18.824999999999999</v>
      </c>
      <c r="W9" s="12">
        <v>9</v>
      </c>
      <c r="Y9" s="36">
        <f t="shared" ref="Y9:Y17" si="2">J9</f>
        <v>18.824999999999999</v>
      </c>
      <c r="Z9" s="37">
        <f t="shared" ref="Z9:Z17" si="3">V9</f>
        <v>18.824999999999999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>
        <v>118</v>
      </c>
      <c r="D10" s="11">
        <v>0</v>
      </c>
      <c r="E10" s="11">
        <v>0</v>
      </c>
      <c r="F10" s="11">
        <v>0</v>
      </c>
      <c r="G10" s="11">
        <v>45</v>
      </c>
      <c r="H10" s="11">
        <v>34</v>
      </c>
      <c r="I10" s="11">
        <v>28</v>
      </c>
      <c r="J10" s="15">
        <f t="shared" si="0"/>
        <v>5.625</v>
      </c>
      <c r="K10" s="12">
        <v>10</v>
      </c>
      <c r="L10" s="13"/>
      <c r="M10" s="14"/>
      <c r="N10" s="7" t="s">
        <v>15</v>
      </c>
      <c r="O10" s="11">
        <v>112</v>
      </c>
      <c r="P10" s="11">
        <v>0</v>
      </c>
      <c r="Q10" s="11">
        <v>0</v>
      </c>
      <c r="R10" s="11">
        <v>0</v>
      </c>
      <c r="S10" s="11">
        <v>45</v>
      </c>
      <c r="T10" s="11">
        <v>34</v>
      </c>
      <c r="U10" s="11">
        <v>28</v>
      </c>
      <c r="V10" s="15">
        <f t="shared" si="1"/>
        <v>5.4749999999999996</v>
      </c>
      <c r="W10" s="12">
        <v>9</v>
      </c>
      <c r="Y10" s="36">
        <f t="shared" si="2"/>
        <v>5.625</v>
      </c>
      <c r="Z10" s="37">
        <f t="shared" si="3"/>
        <v>5.4749999999999996</v>
      </c>
      <c r="AA10" s="38">
        <f t="shared" si="4"/>
        <v>0.15000000000000036</v>
      </c>
    </row>
    <row r="11" spans="1:27" x14ac:dyDescent="0.35">
      <c r="A11" s="16"/>
      <c r="B11" s="17" t="s">
        <v>39</v>
      </c>
      <c r="C11" s="11">
        <v>106</v>
      </c>
      <c r="D11" s="11">
        <v>6</v>
      </c>
      <c r="E11" s="11">
        <v>0</v>
      </c>
      <c r="F11" s="11">
        <v>0</v>
      </c>
      <c r="G11" s="11">
        <v>86</v>
      </c>
      <c r="H11" s="11">
        <v>52</v>
      </c>
      <c r="I11" s="11">
        <v>133</v>
      </c>
      <c r="J11" s="15">
        <f t="shared" si="0"/>
        <v>9.5749999999999993</v>
      </c>
      <c r="K11" s="12">
        <v>11</v>
      </c>
      <c r="L11" s="13"/>
      <c r="M11" s="16"/>
      <c r="N11" s="17" t="s">
        <v>39</v>
      </c>
      <c r="O11" s="11">
        <v>106</v>
      </c>
      <c r="P11" s="11">
        <v>6</v>
      </c>
      <c r="Q11" s="11">
        <v>0</v>
      </c>
      <c r="R11" s="11">
        <v>0</v>
      </c>
      <c r="S11" s="11">
        <v>86</v>
      </c>
      <c r="T11" s="11">
        <v>54</v>
      </c>
      <c r="U11" s="11">
        <v>121</v>
      </c>
      <c r="V11" s="15">
        <f t="shared" si="1"/>
        <v>9.3249999999999993</v>
      </c>
      <c r="W11" s="12">
        <v>11</v>
      </c>
      <c r="Y11" s="36">
        <f t="shared" si="2"/>
        <v>9.5749999999999993</v>
      </c>
      <c r="Z11" s="37">
        <f t="shared" si="3"/>
        <v>9.3249999999999993</v>
      </c>
      <c r="AA11" s="38">
        <f t="shared" si="4"/>
        <v>0.25</v>
      </c>
    </row>
    <row r="12" spans="1:27" x14ac:dyDescent="0.35">
      <c r="A12" s="16"/>
      <c r="B12" s="17" t="s">
        <v>37</v>
      </c>
      <c r="C12" s="11">
        <v>24</v>
      </c>
      <c r="D12" s="11">
        <v>0</v>
      </c>
      <c r="E12" s="11">
        <v>0</v>
      </c>
      <c r="F12" s="11">
        <v>0</v>
      </c>
      <c r="G12" s="11">
        <v>25</v>
      </c>
      <c r="H12" s="11">
        <v>20</v>
      </c>
      <c r="I12" s="11">
        <v>35</v>
      </c>
      <c r="J12" s="15">
        <f t="shared" si="0"/>
        <v>2.6</v>
      </c>
      <c r="K12" s="12">
        <v>2</v>
      </c>
      <c r="L12" s="13"/>
      <c r="M12" s="16"/>
      <c r="N12" s="17" t="s">
        <v>37</v>
      </c>
      <c r="O12" s="11">
        <v>24</v>
      </c>
      <c r="P12" s="11">
        <v>0</v>
      </c>
      <c r="Q12" s="11">
        <v>0</v>
      </c>
      <c r="R12" s="11">
        <v>0</v>
      </c>
      <c r="S12" s="11">
        <v>25</v>
      </c>
      <c r="T12" s="11">
        <v>20</v>
      </c>
      <c r="U12" s="11">
        <v>35</v>
      </c>
      <c r="V12" s="15">
        <f t="shared" si="1"/>
        <v>2.6</v>
      </c>
      <c r="W12" s="12">
        <v>2</v>
      </c>
      <c r="Y12" s="36">
        <f t="shared" si="2"/>
        <v>2.6</v>
      </c>
      <c r="Z12" s="37">
        <f t="shared" si="3"/>
        <v>2.6</v>
      </c>
      <c r="AA12" s="38">
        <f t="shared" si="4"/>
        <v>0</v>
      </c>
    </row>
    <row r="13" spans="1:27" x14ac:dyDescent="0.35">
      <c r="A13" s="16"/>
      <c r="B13" s="17" t="s">
        <v>16</v>
      </c>
      <c r="C13" s="11">
        <v>200</v>
      </c>
      <c r="D13" s="11">
        <v>600</v>
      </c>
      <c r="E13" s="11">
        <v>480</v>
      </c>
      <c r="F13" s="11">
        <v>600</v>
      </c>
      <c r="G13" s="11">
        <v>1080</v>
      </c>
      <c r="H13" s="11">
        <v>800</v>
      </c>
      <c r="I13" s="11">
        <v>720</v>
      </c>
      <c r="J13" s="15">
        <f t="shared" si="0"/>
        <v>112</v>
      </c>
      <c r="K13" s="12">
        <v>5</v>
      </c>
      <c r="L13" s="13"/>
      <c r="M13" s="16"/>
      <c r="N13" s="17" t="s">
        <v>16</v>
      </c>
      <c r="O13" s="11"/>
      <c r="P13" s="11">
        <v>240</v>
      </c>
      <c r="Q13" s="11">
        <v>160</v>
      </c>
      <c r="R13" s="11">
        <v>200</v>
      </c>
      <c r="S13" s="11">
        <v>760</v>
      </c>
      <c r="T13" s="11">
        <v>440</v>
      </c>
      <c r="U13" s="11">
        <v>520</v>
      </c>
      <c r="V13" s="15">
        <f t="shared" si="1"/>
        <v>58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32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M17" s="16"/>
      <c r="N17" s="17" t="s">
        <v>34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598</v>
      </c>
      <c r="D18" s="25">
        <f t="shared" si="5"/>
        <v>797</v>
      </c>
      <c r="E18" s="25">
        <f t="shared" si="5"/>
        <v>571</v>
      </c>
      <c r="F18" s="25">
        <f t="shared" si="5"/>
        <v>621</v>
      </c>
      <c r="G18" s="25">
        <f t="shared" si="5"/>
        <v>1486</v>
      </c>
      <c r="H18" s="25">
        <f t="shared" si="5"/>
        <v>1126</v>
      </c>
      <c r="I18" s="25">
        <f t="shared" si="5"/>
        <v>1346</v>
      </c>
      <c r="J18" s="26">
        <f>SUM(C18:I18)</f>
        <v>6545</v>
      </c>
      <c r="K18" s="28"/>
      <c r="M18" s="1"/>
      <c r="N18" s="7"/>
      <c r="O18" s="25">
        <f t="shared" ref="O18:U18" si="6">SUM(O8:O17)</f>
        <v>392</v>
      </c>
      <c r="P18" s="25">
        <f t="shared" si="6"/>
        <v>437</v>
      </c>
      <c r="Q18" s="25">
        <f t="shared" si="6"/>
        <v>251</v>
      </c>
      <c r="R18" s="25">
        <f t="shared" si="6"/>
        <v>221</v>
      </c>
      <c r="S18" s="25">
        <f t="shared" si="6"/>
        <v>1166</v>
      </c>
      <c r="T18" s="25">
        <f t="shared" si="6"/>
        <v>768</v>
      </c>
      <c r="U18" s="25">
        <f t="shared" si="6"/>
        <v>1134</v>
      </c>
      <c r="V18" s="26">
        <f>SUM(O18:U18)</f>
        <v>4369</v>
      </c>
      <c r="W18" s="28"/>
      <c r="Y18" s="33">
        <f>SUM(Y8:Y17)</f>
        <v>51.625000000000007</v>
      </c>
      <c r="Z18" s="34">
        <f>SUM(Z8:Z17)</f>
        <v>51.225000000000001</v>
      </c>
      <c r="AA18" s="35">
        <f>SUM(AA8:AA17)</f>
        <v>0.40000000000000036</v>
      </c>
    </row>
    <row r="19" spans="1:27" ht="15" thickBot="1" x14ac:dyDescent="0.4">
      <c r="A19" s="1"/>
      <c r="B19" s="20" t="s">
        <v>18</v>
      </c>
      <c r="C19" s="21">
        <f t="shared" ref="C19:J19" si="7">C18/40</f>
        <v>14.95</v>
      </c>
      <c r="D19" s="21">
        <f t="shared" si="7"/>
        <v>19.925000000000001</v>
      </c>
      <c r="E19" s="21">
        <f t="shared" si="7"/>
        <v>14.275</v>
      </c>
      <c r="F19" s="21">
        <f t="shared" si="7"/>
        <v>15.525</v>
      </c>
      <c r="G19" s="21">
        <f t="shared" si="7"/>
        <v>37.15</v>
      </c>
      <c r="H19" s="21">
        <f t="shared" si="7"/>
        <v>28.15</v>
      </c>
      <c r="I19" s="21">
        <f t="shared" si="7"/>
        <v>33.65</v>
      </c>
      <c r="J19" s="22">
        <f t="shared" si="7"/>
        <v>163.625</v>
      </c>
      <c r="K19" s="23"/>
      <c r="M19" s="1"/>
      <c r="N19" s="20" t="s">
        <v>18</v>
      </c>
      <c r="O19" s="21">
        <f t="shared" ref="O19:V19" si="8">O18/40</f>
        <v>9.8000000000000007</v>
      </c>
      <c r="P19" s="21">
        <f t="shared" si="8"/>
        <v>10.925000000000001</v>
      </c>
      <c r="Q19" s="21">
        <f t="shared" si="8"/>
        <v>6.2750000000000004</v>
      </c>
      <c r="R19" s="21">
        <f t="shared" si="8"/>
        <v>5.5250000000000004</v>
      </c>
      <c r="S19" s="21">
        <f t="shared" si="8"/>
        <v>29.15</v>
      </c>
      <c r="T19" s="21">
        <f t="shared" si="8"/>
        <v>19.2</v>
      </c>
      <c r="U19" s="21">
        <f t="shared" si="8"/>
        <v>28.35</v>
      </c>
      <c r="V19" s="22">
        <f t="shared" si="8"/>
        <v>109.22499999999999</v>
      </c>
      <c r="W19" s="23"/>
      <c r="Y19" s="39">
        <f>Y18/40</f>
        <v>1.2906250000000001</v>
      </c>
      <c r="Z19" s="40">
        <f>Z18/40</f>
        <v>1.2806250000000001</v>
      </c>
      <c r="AA19" s="41">
        <f>AA18/40</f>
        <v>1.0000000000000009E-2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F7685-68CE-4230-832D-5008B05982CE}">
  <dimension ref="A1:AA19"/>
  <sheetViews>
    <sheetView workbookViewId="0">
      <selection activeCell="L2" sqref="L2"/>
    </sheetView>
  </sheetViews>
  <sheetFormatPr defaultRowHeight="14.5" x14ac:dyDescent="0.35"/>
  <cols>
    <col min="1" max="1" width="5.6328125" customWidth="1"/>
    <col min="2" max="2" width="8.17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L1" t="s">
        <v>51</v>
      </c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7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39</v>
      </c>
      <c r="O11" s="43"/>
      <c r="P11" s="43"/>
      <c r="Q11" s="43"/>
      <c r="R11" s="43"/>
      <c r="S11" s="43"/>
      <c r="T11" s="43"/>
      <c r="U11" s="43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37</v>
      </c>
      <c r="O12" s="43"/>
      <c r="P12" s="43"/>
      <c r="Q12" s="43"/>
      <c r="R12" s="43"/>
      <c r="S12" s="43"/>
      <c r="T12" s="43"/>
      <c r="U12" s="43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16</v>
      </c>
      <c r="O13" s="43"/>
      <c r="P13" s="43"/>
      <c r="Q13" s="43"/>
      <c r="R13" s="43"/>
      <c r="S13" s="43"/>
      <c r="T13" s="43"/>
      <c r="U13" s="43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45</v>
      </c>
      <c r="O14" s="43"/>
      <c r="P14" s="43"/>
      <c r="Q14" s="43"/>
      <c r="R14" s="43"/>
      <c r="S14" s="43"/>
      <c r="T14" s="43"/>
      <c r="U14" s="43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46</v>
      </c>
      <c r="O15" s="43"/>
      <c r="P15" s="43"/>
      <c r="Q15" s="43"/>
      <c r="R15" s="43"/>
      <c r="S15" s="43"/>
      <c r="T15" s="43"/>
      <c r="U15" s="43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35</v>
      </c>
      <c r="C17" s="43"/>
      <c r="D17" s="43"/>
      <c r="E17" s="43"/>
      <c r="F17" s="43"/>
      <c r="G17" s="43"/>
      <c r="H17" s="43"/>
      <c r="I17" s="43"/>
      <c r="J17" s="15">
        <f t="shared" si="0"/>
        <v>0</v>
      </c>
      <c r="K17" s="12"/>
      <c r="M17" s="16"/>
      <c r="N17" s="17" t="s">
        <v>36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2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48549-5414-4AF3-BA9C-2F8578E10521}">
  <dimension ref="A1:AA19"/>
  <sheetViews>
    <sheetView topLeftCell="A3" workbookViewId="0">
      <selection activeCell="M17" sqref="M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 t="s">
        <v>52</v>
      </c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40</v>
      </c>
      <c r="D8" s="11">
        <v>105</v>
      </c>
      <c r="E8" s="11">
        <v>140</v>
      </c>
      <c r="F8" s="11">
        <v>110</v>
      </c>
      <c r="G8" s="11">
        <v>141</v>
      </c>
      <c r="H8" s="11">
        <v>96</v>
      </c>
      <c r="I8" s="11">
        <v>101</v>
      </c>
      <c r="J8" s="15">
        <f>SUM(C8:I8)/40</f>
        <v>18.324999999999999</v>
      </c>
      <c r="K8" s="12">
        <v>21</v>
      </c>
      <c r="L8" s="13"/>
      <c r="M8" s="14"/>
      <c r="N8" s="7" t="s">
        <v>13</v>
      </c>
      <c r="O8" s="11">
        <v>40</v>
      </c>
      <c r="P8" s="11">
        <v>105</v>
      </c>
      <c r="Q8" s="11">
        <v>140</v>
      </c>
      <c r="R8" s="11">
        <v>110</v>
      </c>
      <c r="S8" s="11">
        <v>141</v>
      </c>
      <c r="T8" s="11">
        <v>96</v>
      </c>
      <c r="U8" s="11">
        <v>101</v>
      </c>
      <c r="V8" s="15">
        <f>SUM(O8:U8)/40</f>
        <v>18.324999999999999</v>
      </c>
      <c r="W8" s="12">
        <v>21</v>
      </c>
      <c r="Y8" s="36">
        <f>J8</f>
        <v>18.324999999999999</v>
      </c>
      <c r="Z8" s="37">
        <f>V8</f>
        <v>18.324999999999999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>
        <v>300</v>
      </c>
      <c r="D10" s="11">
        <v>132</v>
      </c>
      <c r="E10" s="11">
        <v>132</v>
      </c>
      <c r="F10" s="11">
        <v>172</v>
      </c>
      <c r="G10" s="11">
        <v>148</v>
      </c>
      <c r="H10" s="11">
        <v>146</v>
      </c>
      <c r="I10" s="11">
        <v>226</v>
      </c>
      <c r="J10" s="15">
        <f t="shared" si="0"/>
        <v>31.4</v>
      </c>
      <c r="K10" s="12">
        <v>9</v>
      </c>
      <c r="L10" s="13"/>
      <c r="M10" s="14"/>
      <c r="N10" s="7" t="s">
        <v>15</v>
      </c>
      <c r="O10" s="74" t="s">
        <v>53</v>
      </c>
      <c r="P10" s="74" t="s">
        <v>54</v>
      </c>
      <c r="Q10" s="74" t="s">
        <v>55</v>
      </c>
      <c r="R10" s="74" t="s">
        <v>56</v>
      </c>
      <c r="S10" s="74" t="s">
        <v>57</v>
      </c>
      <c r="T10" s="74" t="s">
        <v>55</v>
      </c>
      <c r="U10" s="74" t="s">
        <v>58</v>
      </c>
      <c r="V10" s="75">
        <f t="shared" si="1"/>
        <v>0</v>
      </c>
      <c r="W10" s="12"/>
      <c r="Y10" s="36">
        <f t="shared" si="2"/>
        <v>31.4</v>
      </c>
      <c r="Z10" s="37">
        <f t="shared" si="3"/>
        <v>0</v>
      </c>
      <c r="AA10" s="38">
        <f t="shared" si="4"/>
        <v>31.4</v>
      </c>
    </row>
    <row r="11" spans="1:27" x14ac:dyDescent="0.35">
      <c r="A11" s="16"/>
      <c r="B11" s="17" t="s">
        <v>39</v>
      </c>
      <c r="C11" s="11">
        <v>32</v>
      </c>
      <c r="D11" s="11">
        <v>44</v>
      </c>
      <c r="E11" s="11">
        <v>42</v>
      </c>
      <c r="F11" s="11">
        <v>36</v>
      </c>
      <c r="G11" s="11">
        <v>163</v>
      </c>
      <c r="H11" s="11">
        <v>133</v>
      </c>
      <c r="I11" s="11">
        <v>134</v>
      </c>
      <c r="J11" s="15">
        <f t="shared" si="0"/>
        <v>14.6</v>
      </c>
      <c r="K11" s="12">
        <v>8</v>
      </c>
      <c r="L11" s="13"/>
      <c r="M11" s="16"/>
      <c r="N11" s="17" t="s">
        <v>39</v>
      </c>
      <c r="O11" s="11">
        <v>32</v>
      </c>
      <c r="P11" s="11">
        <v>44</v>
      </c>
      <c r="Q11" s="11">
        <v>42</v>
      </c>
      <c r="R11" s="11">
        <v>24</v>
      </c>
      <c r="S11" s="11">
        <v>153</v>
      </c>
      <c r="T11" s="11">
        <v>133</v>
      </c>
      <c r="U11" s="11">
        <v>134</v>
      </c>
      <c r="V11" s="15">
        <f t="shared" si="1"/>
        <v>14.05</v>
      </c>
      <c r="W11" s="12">
        <v>7</v>
      </c>
      <c r="Y11" s="36">
        <f t="shared" si="2"/>
        <v>14.6</v>
      </c>
      <c r="Z11" s="37">
        <f t="shared" si="3"/>
        <v>14.05</v>
      </c>
      <c r="AA11" s="38">
        <f t="shared" si="4"/>
        <v>0.54999999999999893</v>
      </c>
    </row>
    <row r="12" spans="1:27" x14ac:dyDescent="0.35">
      <c r="A12" s="16"/>
      <c r="B12" s="17" t="s">
        <v>37</v>
      </c>
      <c r="C12" s="11">
        <v>166</v>
      </c>
      <c r="D12" s="11">
        <v>30</v>
      </c>
      <c r="E12" s="11">
        <v>45</v>
      </c>
      <c r="F12" s="11">
        <v>35</v>
      </c>
      <c r="G12" s="11">
        <v>56</v>
      </c>
      <c r="H12" s="11">
        <v>56</v>
      </c>
      <c r="I12" s="11">
        <v>56</v>
      </c>
      <c r="J12" s="15">
        <f t="shared" si="0"/>
        <v>11.1</v>
      </c>
      <c r="K12" s="12">
        <v>12</v>
      </c>
      <c r="L12" s="13"/>
      <c r="M12" s="16"/>
      <c r="N12" s="17" t="s">
        <v>37</v>
      </c>
      <c r="O12" s="11">
        <v>134</v>
      </c>
      <c r="P12" s="11">
        <v>30</v>
      </c>
      <c r="Q12" s="11">
        <v>35</v>
      </c>
      <c r="R12" s="11">
        <v>35</v>
      </c>
      <c r="S12" s="11">
        <v>46</v>
      </c>
      <c r="T12" s="11">
        <v>56</v>
      </c>
      <c r="U12" s="11">
        <v>56</v>
      </c>
      <c r="V12" s="15">
        <f t="shared" si="1"/>
        <v>9.8000000000000007</v>
      </c>
      <c r="W12" s="12">
        <v>10</v>
      </c>
      <c r="Y12" s="36">
        <f t="shared" si="2"/>
        <v>11.1</v>
      </c>
      <c r="Z12" s="37">
        <f t="shared" si="3"/>
        <v>9.8000000000000007</v>
      </c>
      <c r="AA12" s="38">
        <f t="shared" si="4"/>
        <v>1.2999999999999989</v>
      </c>
    </row>
    <row r="13" spans="1:27" x14ac:dyDescent="0.35">
      <c r="A13" s="16"/>
      <c r="B13" s="17" t="s">
        <v>16</v>
      </c>
      <c r="C13" s="11"/>
      <c r="D13" s="11">
        <v>500</v>
      </c>
      <c r="E13" s="11">
        <v>760</v>
      </c>
      <c r="F13" s="11">
        <v>840</v>
      </c>
      <c r="G13" s="11">
        <v>480</v>
      </c>
      <c r="H13" s="11">
        <v>500</v>
      </c>
      <c r="I13" s="11">
        <v>660</v>
      </c>
      <c r="J13" s="15">
        <f t="shared" si="0"/>
        <v>93.5</v>
      </c>
      <c r="K13" s="12">
        <v>2</v>
      </c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538</v>
      </c>
      <c r="D18" s="25">
        <f t="shared" si="5"/>
        <v>811</v>
      </c>
      <c r="E18" s="25">
        <f t="shared" si="5"/>
        <v>1119</v>
      </c>
      <c r="F18" s="25">
        <f t="shared" si="5"/>
        <v>1193</v>
      </c>
      <c r="G18" s="25">
        <f t="shared" si="5"/>
        <v>988</v>
      </c>
      <c r="H18" s="25">
        <f t="shared" si="5"/>
        <v>931</v>
      </c>
      <c r="I18" s="25">
        <f t="shared" si="5"/>
        <v>1177</v>
      </c>
      <c r="J18" s="26">
        <f>SUM(C18:I18)</f>
        <v>6757</v>
      </c>
      <c r="K18" s="28"/>
      <c r="M18" s="1"/>
      <c r="N18" s="7"/>
      <c r="O18" s="25">
        <f t="shared" ref="O18:U18" si="6">SUM(O8:O17)</f>
        <v>206</v>
      </c>
      <c r="P18" s="25">
        <f t="shared" si="6"/>
        <v>179</v>
      </c>
      <c r="Q18" s="25">
        <f t="shared" si="6"/>
        <v>217</v>
      </c>
      <c r="R18" s="25">
        <f t="shared" si="6"/>
        <v>169</v>
      </c>
      <c r="S18" s="25">
        <f t="shared" si="6"/>
        <v>340</v>
      </c>
      <c r="T18" s="25">
        <f t="shared" si="6"/>
        <v>285</v>
      </c>
      <c r="U18" s="25">
        <f t="shared" si="6"/>
        <v>291</v>
      </c>
      <c r="V18" s="26">
        <f>SUM(O18:U18)</f>
        <v>1687</v>
      </c>
      <c r="W18" s="28"/>
      <c r="Y18" s="33">
        <f>SUM(Y8:Y17)</f>
        <v>75.424999999999983</v>
      </c>
      <c r="Z18" s="34">
        <f>SUM(Z8:Z17)</f>
        <v>42.174999999999997</v>
      </c>
      <c r="AA18" s="35">
        <f>SUM(AA8:AA17)</f>
        <v>33.249999999999993</v>
      </c>
    </row>
    <row r="19" spans="1:27" ht="15" thickBot="1" x14ac:dyDescent="0.4">
      <c r="A19" s="1"/>
      <c r="B19" s="20" t="s">
        <v>18</v>
      </c>
      <c r="C19" s="21">
        <f t="shared" ref="C19:J19" si="7">C18/40</f>
        <v>13.45</v>
      </c>
      <c r="D19" s="21">
        <f t="shared" si="7"/>
        <v>20.274999999999999</v>
      </c>
      <c r="E19" s="21">
        <f t="shared" si="7"/>
        <v>27.975000000000001</v>
      </c>
      <c r="F19" s="21">
        <f t="shared" si="7"/>
        <v>29.824999999999999</v>
      </c>
      <c r="G19" s="21">
        <f t="shared" si="7"/>
        <v>24.7</v>
      </c>
      <c r="H19" s="21">
        <f t="shared" si="7"/>
        <v>23.274999999999999</v>
      </c>
      <c r="I19" s="21">
        <f t="shared" si="7"/>
        <v>29.425000000000001</v>
      </c>
      <c r="J19" s="22">
        <f t="shared" si="7"/>
        <v>168.92500000000001</v>
      </c>
      <c r="K19" s="23"/>
      <c r="M19" s="1"/>
      <c r="N19" s="20" t="s">
        <v>18</v>
      </c>
      <c r="O19" s="21">
        <f t="shared" ref="O19:V19" si="8">O18/40</f>
        <v>5.15</v>
      </c>
      <c r="P19" s="21">
        <f t="shared" si="8"/>
        <v>4.4749999999999996</v>
      </c>
      <c r="Q19" s="21">
        <f t="shared" si="8"/>
        <v>5.4249999999999998</v>
      </c>
      <c r="R19" s="21">
        <f t="shared" si="8"/>
        <v>4.2249999999999996</v>
      </c>
      <c r="S19" s="21">
        <f t="shared" si="8"/>
        <v>8.5</v>
      </c>
      <c r="T19" s="21">
        <f t="shared" si="8"/>
        <v>7.125</v>
      </c>
      <c r="U19" s="21">
        <f t="shared" si="8"/>
        <v>7.2750000000000004</v>
      </c>
      <c r="V19" s="22">
        <f t="shared" si="8"/>
        <v>42.174999999999997</v>
      </c>
      <c r="W19" s="23"/>
      <c r="Y19" s="39">
        <f>Y18/40</f>
        <v>1.8856249999999997</v>
      </c>
      <c r="Z19" s="40">
        <f>Z18/40</f>
        <v>1.0543749999999998</v>
      </c>
      <c r="AA19" s="41">
        <f>AA18/40</f>
        <v>0.83124999999999982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409FB-57DF-48A4-8BA9-78EADEE000FC}">
  <dimension ref="A1:AA19"/>
  <sheetViews>
    <sheetView workbookViewId="0">
      <selection activeCell="M11" sqref="M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107</v>
      </c>
      <c r="D8" s="11">
        <v>130</v>
      </c>
      <c r="E8" s="11">
        <v>110</v>
      </c>
      <c r="F8" s="11">
        <v>0</v>
      </c>
      <c r="G8" s="11">
        <v>40</v>
      </c>
      <c r="H8" s="11">
        <v>42</v>
      </c>
      <c r="I8" s="11">
        <v>52</v>
      </c>
      <c r="J8" s="15">
        <f>SUM(C8:I8)/40</f>
        <v>12.025</v>
      </c>
      <c r="K8" s="12">
        <v>22</v>
      </c>
      <c r="L8" s="13"/>
      <c r="M8" s="14"/>
      <c r="N8" s="7" t="s">
        <v>13</v>
      </c>
      <c r="O8" s="11">
        <v>83</v>
      </c>
      <c r="P8" s="11">
        <v>106</v>
      </c>
      <c r="Q8" s="11">
        <v>86</v>
      </c>
      <c r="R8" s="11">
        <v>0</v>
      </c>
      <c r="S8" s="11">
        <v>40</v>
      </c>
      <c r="T8" s="11">
        <v>42</v>
      </c>
      <c r="U8" s="11">
        <v>52</v>
      </c>
      <c r="V8" s="15">
        <f>SUM(O8:U8)/40</f>
        <v>10.225</v>
      </c>
      <c r="W8" s="12">
        <v>21</v>
      </c>
      <c r="Y8" s="36">
        <f>J8</f>
        <v>12.025</v>
      </c>
      <c r="Z8" s="37">
        <f>V8</f>
        <v>10.225</v>
      </c>
      <c r="AA8" s="38">
        <f>Y8-Z8</f>
        <v>1.8000000000000007</v>
      </c>
    </row>
    <row r="9" spans="1:27" x14ac:dyDescent="0.35">
      <c r="A9" s="14"/>
      <c r="B9" s="7" t="s">
        <v>14</v>
      </c>
      <c r="C9" s="11">
        <v>52</v>
      </c>
      <c r="D9" s="11">
        <v>43</v>
      </c>
      <c r="E9" s="11">
        <v>84</v>
      </c>
      <c r="F9" s="11">
        <v>45</v>
      </c>
      <c r="G9" s="11">
        <v>46</v>
      </c>
      <c r="H9" s="11">
        <v>70</v>
      </c>
      <c r="I9" s="11">
        <v>61</v>
      </c>
      <c r="J9" s="15">
        <f t="shared" ref="J9:J17" si="0">SUM(C9:I9)/40</f>
        <v>10.025</v>
      </c>
      <c r="K9" s="12">
        <v>16</v>
      </c>
      <c r="L9" s="13"/>
      <c r="M9" s="14"/>
      <c r="N9" s="7" t="s">
        <v>14</v>
      </c>
      <c r="O9" s="11">
        <v>52</v>
      </c>
      <c r="P9" s="11">
        <v>31</v>
      </c>
      <c r="Q9" s="11">
        <v>66</v>
      </c>
      <c r="R9" s="11">
        <v>25</v>
      </c>
      <c r="S9" s="11">
        <v>36</v>
      </c>
      <c r="T9" s="11">
        <v>60</v>
      </c>
      <c r="U9" s="11">
        <v>51</v>
      </c>
      <c r="V9" s="15">
        <f t="shared" ref="V9:V16" si="1">SUM(O9:U9)/40</f>
        <v>8.0250000000000004</v>
      </c>
      <c r="W9" s="12">
        <v>14</v>
      </c>
      <c r="Y9" s="36">
        <f t="shared" ref="Y9:Y17" si="2">J9</f>
        <v>10.025</v>
      </c>
      <c r="Z9" s="37">
        <f t="shared" ref="Z9:Z17" si="3">V9</f>
        <v>8.0250000000000004</v>
      </c>
      <c r="AA9" s="38">
        <f t="shared" ref="AA9:AA17" si="4">Y9-Z9</f>
        <v>2</v>
      </c>
    </row>
    <row r="10" spans="1:27" x14ac:dyDescent="0.35">
      <c r="A10" s="14"/>
      <c r="B10" s="7" t="s">
        <v>15</v>
      </c>
      <c r="C10" s="11">
        <v>276</v>
      </c>
      <c r="D10" s="11">
        <v>6</v>
      </c>
      <c r="E10" s="11">
        <v>6</v>
      </c>
      <c r="F10" s="11">
        <v>0</v>
      </c>
      <c r="G10" s="11">
        <v>34</v>
      </c>
      <c r="H10" s="11">
        <v>68</v>
      </c>
      <c r="I10" s="11">
        <v>38</v>
      </c>
      <c r="J10" s="15">
        <f t="shared" si="0"/>
        <v>10.7</v>
      </c>
      <c r="K10" s="12">
        <v>11</v>
      </c>
      <c r="L10" s="13"/>
      <c r="M10" s="14"/>
      <c r="N10" s="7" t="s">
        <v>15</v>
      </c>
      <c r="O10" s="11">
        <f>202+264</f>
        <v>466</v>
      </c>
      <c r="P10" s="11">
        <f>120+6</f>
        <v>126</v>
      </c>
      <c r="Q10" s="11">
        <f>132+6</f>
        <v>138</v>
      </c>
      <c r="R10" s="11">
        <v>160</v>
      </c>
      <c r="S10" s="11">
        <f>148+24</f>
        <v>172</v>
      </c>
      <c r="T10" s="11">
        <f>134+53</f>
        <v>187</v>
      </c>
      <c r="U10" s="11">
        <f>214+23</f>
        <v>237</v>
      </c>
      <c r="V10" s="15">
        <f t="shared" si="1"/>
        <v>37.15</v>
      </c>
      <c r="W10" s="12">
        <f>7+9</f>
        <v>16</v>
      </c>
      <c r="Y10" s="36">
        <f t="shared" si="2"/>
        <v>10.7</v>
      </c>
      <c r="Z10" s="37">
        <f t="shared" si="3"/>
        <v>37.15</v>
      </c>
      <c r="AA10" s="38">
        <f t="shared" si="4"/>
        <v>-26.45</v>
      </c>
    </row>
    <row r="11" spans="1:27" x14ac:dyDescent="0.35">
      <c r="A11" s="16"/>
      <c r="B11" s="17" t="s">
        <v>39</v>
      </c>
      <c r="C11" s="11">
        <v>136</v>
      </c>
      <c r="D11" s="11">
        <v>93</v>
      </c>
      <c r="E11" s="11">
        <v>34</v>
      </c>
      <c r="F11" s="11">
        <v>84</v>
      </c>
      <c r="G11" s="11">
        <v>106</v>
      </c>
      <c r="H11" s="11">
        <v>34</v>
      </c>
      <c r="I11" s="11">
        <v>96</v>
      </c>
      <c r="J11" s="15">
        <f t="shared" si="0"/>
        <v>14.574999999999999</v>
      </c>
      <c r="K11" s="12">
        <v>9</v>
      </c>
      <c r="L11" s="13"/>
      <c r="M11" s="16"/>
      <c r="N11" s="17" t="s">
        <v>39</v>
      </c>
      <c r="O11" s="11">
        <v>136</v>
      </c>
      <c r="P11" s="11">
        <v>93</v>
      </c>
      <c r="Q11" s="11">
        <v>34</v>
      </c>
      <c r="R11" s="11">
        <v>84</v>
      </c>
      <c r="S11" s="11">
        <v>106</v>
      </c>
      <c r="T11" s="11">
        <v>34</v>
      </c>
      <c r="U11" s="11">
        <v>96</v>
      </c>
      <c r="V11" s="15">
        <f t="shared" si="1"/>
        <v>14.574999999999999</v>
      </c>
      <c r="W11" s="12">
        <v>9</v>
      </c>
      <c r="Y11" s="36">
        <f t="shared" si="2"/>
        <v>14.574999999999999</v>
      </c>
      <c r="Z11" s="37">
        <f t="shared" si="3"/>
        <v>14.574999999999999</v>
      </c>
      <c r="AA11" s="38">
        <f t="shared" si="4"/>
        <v>0</v>
      </c>
    </row>
    <row r="12" spans="1:27" x14ac:dyDescent="0.35">
      <c r="A12" s="16"/>
      <c r="B12" s="17" t="s">
        <v>37</v>
      </c>
      <c r="C12" s="11">
        <v>142</v>
      </c>
      <c r="D12" s="11">
        <v>63</v>
      </c>
      <c r="E12" s="11">
        <v>80</v>
      </c>
      <c r="F12" s="11">
        <v>41</v>
      </c>
      <c r="G12" s="11">
        <v>75</v>
      </c>
      <c r="H12" s="11">
        <v>53</v>
      </c>
      <c r="I12" s="11">
        <v>63</v>
      </c>
      <c r="J12" s="15">
        <f t="shared" si="0"/>
        <v>12.925000000000001</v>
      </c>
      <c r="K12" s="12">
        <v>10</v>
      </c>
      <c r="L12" s="13"/>
      <c r="M12" s="16"/>
      <c r="N12" s="17" t="s">
        <v>37</v>
      </c>
      <c r="O12" s="11"/>
      <c r="P12" s="11">
        <v>30</v>
      </c>
      <c r="Q12" s="11">
        <v>25</v>
      </c>
      <c r="R12" s="11">
        <v>25</v>
      </c>
      <c r="S12" s="11">
        <v>25</v>
      </c>
      <c r="T12" s="11">
        <v>25</v>
      </c>
      <c r="U12" s="11">
        <v>30</v>
      </c>
      <c r="V12" s="15">
        <f t="shared" si="1"/>
        <v>4</v>
      </c>
      <c r="W12" s="12">
        <v>1</v>
      </c>
      <c r="Y12" s="36">
        <f t="shared" si="2"/>
        <v>12.925000000000001</v>
      </c>
      <c r="Z12" s="37">
        <f t="shared" si="3"/>
        <v>4</v>
      </c>
      <c r="AA12" s="38">
        <f t="shared" si="4"/>
        <v>8.9250000000000007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>
        <v>478</v>
      </c>
      <c r="Q13" s="11">
        <v>320</v>
      </c>
      <c r="R13" s="11">
        <v>440</v>
      </c>
      <c r="S13" s="11">
        <v>297</v>
      </c>
      <c r="T13" s="11">
        <v>417</v>
      </c>
      <c r="U13" s="11">
        <v>180</v>
      </c>
      <c r="V13" s="15">
        <f t="shared" si="1"/>
        <v>53.3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0</v>
      </c>
      <c r="K14" s="12">
        <v>0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15</v>
      </c>
      <c r="K15" s="12">
        <v>17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8</v>
      </c>
      <c r="K16" s="12">
        <v>12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17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17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713</v>
      </c>
      <c r="D18" s="25">
        <f t="shared" si="5"/>
        <v>335</v>
      </c>
      <c r="E18" s="25">
        <f t="shared" si="5"/>
        <v>314</v>
      </c>
      <c r="F18" s="25">
        <f t="shared" si="5"/>
        <v>170</v>
      </c>
      <c r="G18" s="25">
        <f t="shared" si="5"/>
        <v>301</v>
      </c>
      <c r="H18" s="25">
        <f t="shared" si="5"/>
        <v>267</v>
      </c>
      <c r="I18" s="25">
        <f t="shared" si="5"/>
        <v>310</v>
      </c>
      <c r="J18" s="26">
        <f>SUM(C18:I18)</f>
        <v>2410</v>
      </c>
      <c r="K18" s="28"/>
      <c r="M18" s="1"/>
      <c r="N18" s="7"/>
      <c r="O18" s="25">
        <f t="shared" ref="O18:U18" si="6">SUM(O8:O17)</f>
        <v>737</v>
      </c>
      <c r="P18" s="25">
        <f t="shared" si="6"/>
        <v>864</v>
      </c>
      <c r="Q18" s="25">
        <f t="shared" si="6"/>
        <v>669</v>
      </c>
      <c r="R18" s="25">
        <f t="shared" si="6"/>
        <v>734</v>
      </c>
      <c r="S18" s="25">
        <f t="shared" si="6"/>
        <v>676</v>
      </c>
      <c r="T18" s="25">
        <f t="shared" si="6"/>
        <v>765</v>
      </c>
      <c r="U18" s="25">
        <f t="shared" si="6"/>
        <v>646</v>
      </c>
      <c r="V18" s="26">
        <f>SUM(O18:U18)</f>
        <v>5091</v>
      </c>
      <c r="W18" s="28"/>
      <c r="Y18" s="33">
        <f>SUM(Y8:Y17)</f>
        <v>60.25</v>
      </c>
      <c r="Z18" s="34">
        <f>SUM(Z8:Z17)</f>
        <v>73.974999999999994</v>
      </c>
      <c r="AA18" s="35">
        <f>SUM(AA8:AA17)</f>
        <v>-13.724999999999998</v>
      </c>
    </row>
    <row r="19" spans="1:27" ht="15" thickBot="1" x14ac:dyDescent="0.4">
      <c r="A19" s="1"/>
      <c r="B19" s="20" t="s">
        <v>18</v>
      </c>
      <c r="C19" s="21">
        <f t="shared" ref="C19:J19" si="7">C18/40</f>
        <v>17.824999999999999</v>
      </c>
      <c r="D19" s="21">
        <f t="shared" si="7"/>
        <v>8.375</v>
      </c>
      <c r="E19" s="21">
        <f t="shared" si="7"/>
        <v>7.85</v>
      </c>
      <c r="F19" s="21">
        <f t="shared" si="7"/>
        <v>4.25</v>
      </c>
      <c r="G19" s="21">
        <f t="shared" si="7"/>
        <v>7.5250000000000004</v>
      </c>
      <c r="H19" s="21">
        <f t="shared" si="7"/>
        <v>6.6749999999999998</v>
      </c>
      <c r="I19" s="21">
        <f t="shared" si="7"/>
        <v>7.75</v>
      </c>
      <c r="J19" s="22">
        <f t="shared" si="7"/>
        <v>60.25</v>
      </c>
      <c r="K19" s="23"/>
      <c r="M19" s="1"/>
      <c r="N19" s="20" t="s">
        <v>18</v>
      </c>
      <c r="O19" s="21">
        <f t="shared" ref="O19:V19" si="8">O18/40</f>
        <v>18.425000000000001</v>
      </c>
      <c r="P19" s="21">
        <f t="shared" si="8"/>
        <v>21.6</v>
      </c>
      <c r="Q19" s="21">
        <f t="shared" si="8"/>
        <v>16.725000000000001</v>
      </c>
      <c r="R19" s="21">
        <f t="shared" si="8"/>
        <v>18.350000000000001</v>
      </c>
      <c r="S19" s="21">
        <f t="shared" si="8"/>
        <v>16.899999999999999</v>
      </c>
      <c r="T19" s="21">
        <f t="shared" si="8"/>
        <v>19.125</v>
      </c>
      <c r="U19" s="21">
        <f t="shared" si="8"/>
        <v>16.149999999999999</v>
      </c>
      <c r="V19" s="22">
        <f t="shared" si="8"/>
        <v>127.27500000000001</v>
      </c>
      <c r="W19" s="23"/>
      <c r="Y19" s="39">
        <f>Y18/40</f>
        <v>1.5062500000000001</v>
      </c>
      <c r="Z19" s="40">
        <f>Z18/40</f>
        <v>1.8493749999999998</v>
      </c>
      <c r="AA19" s="41">
        <f>AA18/40</f>
        <v>-0.34312499999999996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058E7-4F6C-46ED-9090-75BF8B81EBB6}">
  <dimension ref="A1:AA19"/>
  <sheetViews>
    <sheetView workbookViewId="0">
      <selection activeCell="L11" sqref="L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255</v>
      </c>
      <c r="D8" s="11">
        <v>56</v>
      </c>
      <c r="E8" s="11">
        <v>56</v>
      </c>
      <c r="F8" s="11">
        <v>0</v>
      </c>
      <c r="G8" s="11">
        <v>70</v>
      </c>
      <c r="H8" s="11">
        <v>75</v>
      </c>
      <c r="I8" s="11">
        <v>80</v>
      </c>
      <c r="J8" s="15">
        <f>SUM(C8:I8)/40</f>
        <v>14.8</v>
      </c>
      <c r="K8" s="12">
        <v>23</v>
      </c>
      <c r="L8" s="13"/>
      <c r="M8" s="14"/>
      <c r="N8" s="7" t="s">
        <v>13</v>
      </c>
      <c r="O8" s="11">
        <v>135</v>
      </c>
      <c r="P8" s="11">
        <v>56</v>
      </c>
      <c r="Q8" s="11">
        <v>56</v>
      </c>
      <c r="R8" s="11">
        <v>0</v>
      </c>
      <c r="S8" s="11">
        <v>70</v>
      </c>
      <c r="T8" s="11">
        <v>65</v>
      </c>
      <c r="U8" s="11">
        <v>80</v>
      </c>
      <c r="V8" s="15">
        <f>SUM(O8:U8)/40</f>
        <v>11.55</v>
      </c>
      <c r="W8" s="12">
        <v>21</v>
      </c>
      <c r="Y8" s="36">
        <f>J8</f>
        <v>14.8</v>
      </c>
      <c r="Z8" s="37">
        <f>V8</f>
        <v>11.55</v>
      </c>
      <c r="AA8" s="38">
        <f>Y8-Z8</f>
        <v>3.25</v>
      </c>
    </row>
    <row r="9" spans="1:27" x14ac:dyDescent="0.35">
      <c r="A9" s="14"/>
      <c r="B9" s="7" t="s">
        <v>14</v>
      </c>
      <c r="C9" s="11">
        <v>80</v>
      </c>
      <c r="D9" s="11">
        <v>52</v>
      </c>
      <c r="E9" s="11">
        <v>18</v>
      </c>
      <c r="F9" s="11">
        <v>35</v>
      </c>
      <c r="G9" s="11">
        <v>157</v>
      </c>
      <c r="H9" s="11">
        <v>153</v>
      </c>
      <c r="I9" s="11">
        <v>185</v>
      </c>
      <c r="J9" s="15">
        <f>SUM(C9:I9)/40</f>
        <v>17</v>
      </c>
      <c r="K9" s="12">
        <v>22</v>
      </c>
      <c r="L9" s="13"/>
      <c r="M9" s="14"/>
      <c r="N9" s="7" t="s">
        <v>14</v>
      </c>
      <c r="O9" s="11">
        <v>80</v>
      </c>
      <c r="P9" s="11">
        <v>52</v>
      </c>
      <c r="Q9" s="11">
        <v>8</v>
      </c>
      <c r="R9" s="11">
        <v>20</v>
      </c>
      <c r="S9" s="11">
        <v>137</v>
      </c>
      <c r="T9" s="11">
        <v>123</v>
      </c>
      <c r="U9" s="11">
        <v>150</v>
      </c>
      <c r="V9" s="15">
        <f t="shared" ref="V9:V16" si="0">SUM(O9:U9)/40</f>
        <v>14.25</v>
      </c>
      <c r="W9" s="12">
        <v>21</v>
      </c>
      <c r="Y9" s="36">
        <f t="shared" ref="Y9:Y17" si="1">J9</f>
        <v>17</v>
      </c>
      <c r="Z9" s="37">
        <f t="shared" ref="Z9:Z17" si="2">V9</f>
        <v>14.25</v>
      </c>
      <c r="AA9" s="38">
        <f t="shared" ref="AA9:AA17" si="3">Y9-Z9</f>
        <v>2.75</v>
      </c>
    </row>
    <row r="10" spans="1:27" x14ac:dyDescent="0.35">
      <c r="A10" s="14"/>
      <c r="B10" s="7" t="s">
        <v>15</v>
      </c>
      <c r="C10" s="11">
        <v>252</v>
      </c>
      <c r="D10" s="11">
        <v>6</v>
      </c>
      <c r="E10" s="11">
        <v>6</v>
      </c>
      <c r="F10" s="11">
        <v>6</v>
      </c>
      <c r="G10" s="11">
        <v>15</v>
      </c>
      <c r="H10" s="11">
        <v>13</v>
      </c>
      <c r="I10" s="11">
        <v>13</v>
      </c>
      <c r="J10" s="15">
        <f t="shared" ref="J10:J16" si="4">SUM(C10:I10)/40</f>
        <v>7.7750000000000004</v>
      </c>
      <c r="K10" s="12">
        <v>7</v>
      </c>
      <c r="L10" s="13"/>
      <c r="M10" s="14"/>
      <c r="N10" s="7" t="s">
        <v>15</v>
      </c>
      <c r="O10" s="11">
        <v>212</v>
      </c>
      <c r="P10" s="11">
        <v>0</v>
      </c>
      <c r="Q10" s="11">
        <v>0</v>
      </c>
      <c r="R10" s="11">
        <v>0</v>
      </c>
      <c r="S10" s="11">
        <v>15</v>
      </c>
      <c r="T10" s="11">
        <v>13</v>
      </c>
      <c r="U10" s="11">
        <v>13</v>
      </c>
      <c r="V10" s="15">
        <f t="shared" si="0"/>
        <v>6.3250000000000002</v>
      </c>
      <c r="W10" s="12">
        <v>6</v>
      </c>
      <c r="Y10" s="36">
        <f t="shared" si="1"/>
        <v>7.7750000000000004</v>
      </c>
      <c r="Z10" s="37">
        <f t="shared" si="2"/>
        <v>6.3250000000000002</v>
      </c>
      <c r="AA10" s="38">
        <f t="shared" si="3"/>
        <v>1.4500000000000002</v>
      </c>
    </row>
    <row r="11" spans="1:27" x14ac:dyDescent="0.35">
      <c r="A11" s="16"/>
      <c r="B11" s="17" t="s">
        <v>39</v>
      </c>
      <c r="C11" s="11">
        <v>44</v>
      </c>
      <c r="D11" s="11">
        <v>0</v>
      </c>
      <c r="E11" s="11">
        <v>0</v>
      </c>
      <c r="F11" s="11">
        <v>40</v>
      </c>
      <c r="G11" s="11">
        <v>50</v>
      </c>
      <c r="H11" s="11">
        <v>50</v>
      </c>
      <c r="I11" s="11">
        <v>100</v>
      </c>
      <c r="J11" s="15">
        <f t="shared" si="4"/>
        <v>7.1</v>
      </c>
      <c r="K11" s="12">
        <v>4</v>
      </c>
      <c r="L11" s="13"/>
      <c r="M11" s="16"/>
      <c r="N11" s="17" t="s">
        <v>39</v>
      </c>
      <c r="O11" s="11">
        <v>44</v>
      </c>
      <c r="P11" s="11">
        <v>0</v>
      </c>
      <c r="Q11" s="11">
        <v>0</v>
      </c>
      <c r="R11" s="11">
        <v>0</v>
      </c>
      <c r="S11" s="11">
        <v>25</v>
      </c>
      <c r="T11" s="11">
        <v>20</v>
      </c>
      <c r="U11" s="11">
        <v>35</v>
      </c>
      <c r="V11" s="15">
        <f t="shared" si="0"/>
        <v>3.1</v>
      </c>
      <c r="W11" s="12">
        <v>4</v>
      </c>
      <c r="Y11" s="36">
        <f t="shared" si="1"/>
        <v>7.1</v>
      </c>
      <c r="Z11" s="37">
        <f t="shared" si="2"/>
        <v>3.1</v>
      </c>
      <c r="AA11" s="38">
        <f t="shared" si="3"/>
        <v>3.9999999999999996</v>
      </c>
    </row>
    <row r="12" spans="1:27" x14ac:dyDescent="0.35">
      <c r="A12" s="16"/>
      <c r="B12" s="17" t="s">
        <v>37</v>
      </c>
      <c r="C12" s="11">
        <v>150</v>
      </c>
      <c r="D12" s="11">
        <v>40</v>
      </c>
      <c r="E12" s="11">
        <v>41</v>
      </c>
      <c r="F12" s="11">
        <v>26</v>
      </c>
      <c r="G12" s="11">
        <v>21</v>
      </c>
      <c r="H12" s="11">
        <v>5</v>
      </c>
      <c r="I12" s="11">
        <v>10</v>
      </c>
      <c r="J12" s="15">
        <f t="shared" si="4"/>
        <v>7.3250000000000002</v>
      </c>
      <c r="K12" s="12">
        <v>12</v>
      </c>
      <c r="L12" s="13"/>
      <c r="M12" s="16"/>
      <c r="N12" s="17" t="s">
        <v>37</v>
      </c>
      <c r="O12" s="11">
        <v>70</v>
      </c>
      <c r="P12" s="11">
        <v>34</v>
      </c>
      <c r="Q12" s="11">
        <v>22</v>
      </c>
      <c r="R12" s="11">
        <v>20</v>
      </c>
      <c r="S12" s="11">
        <v>5</v>
      </c>
      <c r="T12" s="11">
        <v>5</v>
      </c>
      <c r="U12" s="11">
        <v>10</v>
      </c>
      <c r="V12" s="15">
        <f t="shared" si="0"/>
        <v>4.1500000000000004</v>
      </c>
      <c r="W12" s="12">
        <v>5</v>
      </c>
      <c r="Y12" s="36">
        <f t="shared" si="1"/>
        <v>7.3250000000000002</v>
      </c>
      <c r="Z12" s="37">
        <f t="shared" si="2"/>
        <v>4.1500000000000004</v>
      </c>
      <c r="AA12" s="38">
        <f t="shared" si="3"/>
        <v>3.1749999999999998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v>93</v>
      </c>
      <c r="K13" s="12">
        <v>1</v>
      </c>
      <c r="L13" s="13"/>
      <c r="M13" s="16"/>
      <c r="N13" s="17" t="s">
        <v>16</v>
      </c>
      <c r="O13" s="11"/>
      <c r="P13" s="11">
        <v>40</v>
      </c>
      <c r="Q13" s="11">
        <v>40</v>
      </c>
      <c r="R13" s="11">
        <v>40</v>
      </c>
      <c r="S13" s="11">
        <v>40</v>
      </c>
      <c r="T13" s="11">
        <v>40</v>
      </c>
      <c r="U13" s="11">
        <v>40</v>
      </c>
      <c r="V13" s="15">
        <f t="shared" si="0"/>
        <v>6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20</v>
      </c>
      <c r="K14" s="12">
        <v>17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4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4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1"/>
        <v>0</v>
      </c>
      <c r="Z17" s="37">
        <f t="shared" si="2"/>
        <v>0</v>
      </c>
      <c r="AA17" s="38">
        <f t="shared" si="3"/>
        <v>0</v>
      </c>
    </row>
    <row r="18" spans="1:27" x14ac:dyDescent="0.35">
      <c r="A18" s="1"/>
      <c r="B18" s="7"/>
      <c r="C18" s="25">
        <f t="shared" ref="C18:I18" si="5">SUM(C8:C17)</f>
        <v>781</v>
      </c>
      <c r="D18" s="25">
        <f t="shared" si="5"/>
        <v>154</v>
      </c>
      <c r="E18" s="25">
        <f t="shared" si="5"/>
        <v>121</v>
      </c>
      <c r="F18" s="25">
        <f t="shared" si="5"/>
        <v>107</v>
      </c>
      <c r="G18" s="25">
        <f t="shared" si="5"/>
        <v>313</v>
      </c>
      <c r="H18" s="25">
        <f t="shared" si="5"/>
        <v>296</v>
      </c>
      <c r="I18" s="25">
        <f t="shared" si="5"/>
        <v>388</v>
      </c>
      <c r="J18" s="26">
        <f>SUM(C18:I18)</f>
        <v>2160</v>
      </c>
      <c r="K18" s="28"/>
      <c r="M18" s="1"/>
      <c r="N18" s="7"/>
      <c r="O18" s="25">
        <f t="shared" ref="O18:U18" si="6">SUM(O8:O17)</f>
        <v>541</v>
      </c>
      <c r="P18" s="25">
        <f t="shared" si="6"/>
        <v>182</v>
      </c>
      <c r="Q18" s="25">
        <f t="shared" si="6"/>
        <v>126</v>
      </c>
      <c r="R18" s="25">
        <f t="shared" si="6"/>
        <v>80</v>
      </c>
      <c r="S18" s="25">
        <f t="shared" si="6"/>
        <v>292</v>
      </c>
      <c r="T18" s="25">
        <f t="shared" si="6"/>
        <v>266</v>
      </c>
      <c r="U18" s="25">
        <f t="shared" si="6"/>
        <v>328</v>
      </c>
      <c r="V18" s="26">
        <f>SUM(O18:U18)</f>
        <v>1815</v>
      </c>
      <c r="W18" s="28"/>
      <c r="Y18" s="33">
        <f>SUM(Y8:Y17)</f>
        <v>54.000000000000007</v>
      </c>
      <c r="Z18" s="34">
        <f>SUM(Z8:Z17)</f>
        <v>39.375</v>
      </c>
      <c r="AA18" s="35">
        <f>SUM(AA8:AA17)</f>
        <v>14.625</v>
      </c>
    </row>
    <row r="19" spans="1:27" ht="15" thickBot="1" x14ac:dyDescent="0.4">
      <c r="A19" s="1"/>
      <c r="B19" s="20" t="s">
        <v>18</v>
      </c>
      <c r="C19" s="21">
        <f t="shared" ref="C19:J19" si="7">C18/40</f>
        <v>19.524999999999999</v>
      </c>
      <c r="D19" s="21">
        <f t="shared" si="7"/>
        <v>3.85</v>
      </c>
      <c r="E19" s="21">
        <f t="shared" si="7"/>
        <v>3.0249999999999999</v>
      </c>
      <c r="F19" s="21">
        <f t="shared" si="7"/>
        <v>2.6749999999999998</v>
      </c>
      <c r="G19" s="21">
        <f t="shared" si="7"/>
        <v>7.8250000000000002</v>
      </c>
      <c r="H19" s="21">
        <f t="shared" si="7"/>
        <v>7.4</v>
      </c>
      <c r="I19" s="21">
        <f t="shared" si="7"/>
        <v>9.6999999999999993</v>
      </c>
      <c r="J19" s="22">
        <f t="shared" si="7"/>
        <v>54</v>
      </c>
      <c r="K19" s="23"/>
      <c r="M19" s="1"/>
      <c r="N19" s="20" t="s">
        <v>18</v>
      </c>
      <c r="O19" s="21">
        <f t="shared" ref="O19:V19" si="8">O18/40</f>
        <v>13.525</v>
      </c>
      <c r="P19" s="21">
        <f t="shared" si="8"/>
        <v>4.55</v>
      </c>
      <c r="Q19" s="21">
        <f t="shared" si="8"/>
        <v>3.15</v>
      </c>
      <c r="R19" s="21">
        <f t="shared" si="8"/>
        <v>2</v>
      </c>
      <c r="S19" s="21">
        <f t="shared" si="8"/>
        <v>7.3</v>
      </c>
      <c r="T19" s="21">
        <f t="shared" si="8"/>
        <v>6.65</v>
      </c>
      <c r="U19" s="21">
        <f t="shared" si="8"/>
        <v>8.1999999999999993</v>
      </c>
      <c r="V19" s="22">
        <f t="shared" si="8"/>
        <v>45.375</v>
      </c>
      <c r="W19" s="23"/>
      <c r="Y19" s="39">
        <f>Y18/40</f>
        <v>1.35</v>
      </c>
      <c r="Z19" s="40">
        <f>Z18/40</f>
        <v>0.984375</v>
      </c>
      <c r="AA19" s="41">
        <f>AA18/40</f>
        <v>0.36562499999999998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F237B-B436-499A-99A1-CE21BCFCEC29}">
  <dimension ref="A1:AA19"/>
  <sheetViews>
    <sheetView workbookViewId="0">
      <selection activeCell="W13" sqref="W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20</v>
      </c>
      <c r="E8" s="11">
        <v>20</v>
      </c>
      <c r="F8" s="11">
        <v>0</v>
      </c>
      <c r="G8" s="11">
        <v>30</v>
      </c>
      <c r="H8" s="11">
        <v>60</v>
      </c>
      <c r="I8" s="11">
        <v>30</v>
      </c>
      <c r="J8" s="15">
        <f>SUM(C8:I8)/40</f>
        <v>4</v>
      </c>
      <c r="K8" s="12">
        <v>4</v>
      </c>
      <c r="L8" s="13"/>
      <c r="M8" s="14"/>
      <c r="N8" s="7" t="s">
        <v>13</v>
      </c>
      <c r="O8" s="11"/>
      <c r="P8" s="11">
        <v>0</v>
      </c>
      <c r="Q8" s="11">
        <v>0</v>
      </c>
      <c r="R8" s="11">
        <v>0</v>
      </c>
      <c r="S8" s="11">
        <v>30</v>
      </c>
      <c r="T8" s="11">
        <v>60</v>
      </c>
      <c r="U8" s="11">
        <v>30</v>
      </c>
      <c r="V8" s="15">
        <f>SUM(O8:U8)/40</f>
        <v>3</v>
      </c>
      <c r="W8" s="12">
        <v>4</v>
      </c>
      <c r="Y8" s="36">
        <f>J8</f>
        <v>4</v>
      </c>
      <c r="Z8" s="37">
        <f>V8</f>
        <v>3</v>
      </c>
      <c r="AA8" s="38">
        <f>Y8-Z8</f>
        <v>1</v>
      </c>
    </row>
    <row r="9" spans="1:27" x14ac:dyDescent="0.35">
      <c r="A9" s="14"/>
      <c r="B9" s="7" t="s">
        <v>14</v>
      </c>
      <c r="C9" s="11">
        <v>80</v>
      </c>
      <c r="D9" s="11">
        <v>0</v>
      </c>
      <c r="E9" s="11">
        <v>80</v>
      </c>
      <c r="F9" s="11">
        <v>80</v>
      </c>
      <c r="G9" s="11">
        <v>0</v>
      </c>
      <c r="H9" s="11">
        <v>0</v>
      </c>
      <c r="I9" s="11">
        <v>20</v>
      </c>
      <c r="J9" s="15">
        <f t="shared" ref="J9:J17" si="0">SUM(C9:I9)/40</f>
        <v>6.5</v>
      </c>
      <c r="K9" s="12">
        <v>12</v>
      </c>
      <c r="L9" s="13"/>
      <c r="M9" s="14"/>
      <c r="N9" s="7" t="s">
        <v>14</v>
      </c>
      <c r="O9" s="11">
        <v>80</v>
      </c>
      <c r="P9" s="11">
        <v>0</v>
      </c>
      <c r="Q9" s="11">
        <v>80</v>
      </c>
      <c r="R9" s="11">
        <v>80</v>
      </c>
      <c r="S9" s="11">
        <v>0</v>
      </c>
      <c r="T9" s="11">
        <v>0</v>
      </c>
      <c r="U9" s="11">
        <v>20</v>
      </c>
      <c r="V9" s="15">
        <f t="shared" ref="V9:V17" si="1">SUM(O9:U9)/40</f>
        <v>6.5</v>
      </c>
      <c r="W9" s="12">
        <v>12</v>
      </c>
      <c r="Y9" s="36">
        <f t="shared" ref="Y9:Y17" si="2">J9</f>
        <v>6.5</v>
      </c>
      <c r="Z9" s="37">
        <f t="shared" ref="Z9:Z17" si="3">V9</f>
        <v>6.5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0</v>
      </c>
      <c r="G10" s="11">
        <v>99</v>
      </c>
      <c r="H10" s="11">
        <v>76</v>
      </c>
      <c r="I10" s="11">
        <v>131</v>
      </c>
      <c r="J10" s="15">
        <f t="shared" si="0"/>
        <v>7.65</v>
      </c>
      <c r="K10" s="12">
        <v>7</v>
      </c>
      <c r="L10" s="13"/>
      <c r="M10" s="14"/>
      <c r="N10" s="7" t="s">
        <v>15</v>
      </c>
      <c r="O10" s="11"/>
      <c r="P10" s="11">
        <v>0</v>
      </c>
      <c r="Q10" s="11">
        <v>0</v>
      </c>
      <c r="R10" s="11">
        <v>0</v>
      </c>
      <c r="S10" s="11">
        <v>98</v>
      </c>
      <c r="T10" s="11">
        <v>76</v>
      </c>
      <c r="U10" s="11">
        <v>131</v>
      </c>
      <c r="V10" s="15">
        <f t="shared" si="1"/>
        <v>7.625</v>
      </c>
      <c r="W10" s="12">
        <v>7</v>
      </c>
      <c r="Y10" s="36">
        <f t="shared" si="2"/>
        <v>7.65</v>
      </c>
      <c r="Z10" s="37">
        <f t="shared" si="3"/>
        <v>7.625</v>
      </c>
      <c r="AA10" s="38">
        <f t="shared" si="4"/>
        <v>2.5000000000000355E-2</v>
      </c>
    </row>
    <row r="11" spans="1:27" x14ac:dyDescent="0.35">
      <c r="A11" s="16"/>
      <c r="B11" s="17" t="s">
        <v>39</v>
      </c>
      <c r="C11" s="11">
        <v>284</v>
      </c>
      <c r="D11" s="11">
        <v>12</v>
      </c>
      <c r="E11" s="11">
        <v>0</v>
      </c>
      <c r="F11" s="11">
        <v>0</v>
      </c>
      <c r="G11" s="11">
        <v>60</v>
      </c>
      <c r="H11" s="11">
        <v>55</v>
      </c>
      <c r="I11" s="11">
        <v>121</v>
      </c>
      <c r="J11" s="15">
        <f t="shared" si="0"/>
        <v>13.3</v>
      </c>
      <c r="K11" s="12">
        <v>11</v>
      </c>
      <c r="L11" s="13"/>
      <c r="M11" s="16"/>
      <c r="N11" s="17" t="s">
        <v>39</v>
      </c>
      <c r="O11" s="11">
        <v>244</v>
      </c>
      <c r="P11" s="11">
        <v>12</v>
      </c>
      <c r="Q11" s="11">
        <v>0</v>
      </c>
      <c r="R11" s="11">
        <v>0</v>
      </c>
      <c r="S11" s="11">
        <v>55</v>
      </c>
      <c r="T11" s="11">
        <v>50</v>
      </c>
      <c r="U11" s="11">
        <v>91</v>
      </c>
      <c r="V11" s="15">
        <f t="shared" si="1"/>
        <v>11.3</v>
      </c>
      <c r="W11" s="12">
        <v>10</v>
      </c>
      <c r="Y11" s="36">
        <f t="shared" si="2"/>
        <v>13.3</v>
      </c>
      <c r="Z11" s="37">
        <f t="shared" si="3"/>
        <v>11.3</v>
      </c>
      <c r="AA11" s="38">
        <f t="shared" si="4"/>
        <v>2</v>
      </c>
    </row>
    <row r="12" spans="1:27" x14ac:dyDescent="0.35">
      <c r="A12" s="16"/>
      <c r="B12" s="17" t="s">
        <v>37</v>
      </c>
      <c r="C12" s="11">
        <v>205</v>
      </c>
      <c r="D12" s="11">
        <v>4</v>
      </c>
      <c r="E12" s="11">
        <v>36</v>
      </c>
      <c r="F12" s="11">
        <v>36</v>
      </c>
      <c r="G12" s="11">
        <v>3</v>
      </c>
      <c r="H12" s="11">
        <v>20</v>
      </c>
      <c r="I12" s="11">
        <v>38</v>
      </c>
      <c r="J12" s="15">
        <f t="shared" si="0"/>
        <v>8.5500000000000007</v>
      </c>
      <c r="K12" s="12">
        <v>8</v>
      </c>
      <c r="L12" s="13"/>
      <c r="M12" s="16"/>
      <c r="N12" s="17" t="s">
        <v>37</v>
      </c>
      <c r="O12" s="11">
        <v>145</v>
      </c>
      <c r="P12" s="11">
        <v>4</v>
      </c>
      <c r="Q12" s="11">
        <v>16</v>
      </c>
      <c r="R12" s="11">
        <v>16</v>
      </c>
      <c r="S12" s="11">
        <v>0</v>
      </c>
      <c r="T12" s="11">
        <v>0</v>
      </c>
      <c r="U12" s="11">
        <v>18</v>
      </c>
      <c r="V12" s="15">
        <f t="shared" si="1"/>
        <v>4.9749999999999996</v>
      </c>
      <c r="W12" s="12">
        <v>6</v>
      </c>
      <c r="Y12" s="36">
        <f t="shared" si="2"/>
        <v>8.5500000000000007</v>
      </c>
      <c r="Z12" s="37">
        <f t="shared" si="3"/>
        <v>4.9749999999999996</v>
      </c>
      <c r="AA12" s="38">
        <f t="shared" si="4"/>
        <v>3.5750000000000011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>
        <v>1358</v>
      </c>
      <c r="Q13" s="11">
        <v>1356</v>
      </c>
      <c r="R13" s="11">
        <v>2520</v>
      </c>
      <c r="S13" s="11">
        <v>2519</v>
      </c>
      <c r="T13" s="11">
        <v>1301</v>
      </c>
      <c r="U13" s="11">
        <v>2698</v>
      </c>
      <c r="V13" s="15">
        <f t="shared" si="1"/>
        <v>293.8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37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37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3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569</v>
      </c>
      <c r="D18" s="25">
        <f t="shared" si="5"/>
        <v>36</v>
      </c>
      <c r="E18" s="25">
        <f t="shared" si="5"/>
        <v>136</v>
      </c>
      <c r="F18" s="25">
        <f t="shared" si="5"/>
        <v>116</v>
      </c>
      <c r="G18" s="25">
        <f t="shared" si="5"/>
        <v>192</v>
      </c>
      <c r="H18" s="25">
        <f t="shared" si="5"/>
        <v>211</v>
      </c>
      <c r="I18" s="25">
        <f t="shared" si="5"/>
        <v>340</v>
      </c>
      <c r="J18" s="26">
        <f>SUM(C18:I18)</f>
        <v>1600</v>
      </c>
      <c r="K18" s="28"/>
      <c r="M18" s="1"/>
      <c r="N18" s="7"/>
      <c r="O18" s="25">
        <f t="shared" ref="O18:U18" si="6">SUM(O8:O17)</f>
        <v>469</v>
      </c>
      <c r="P18" s="25">
        <f t="shared" si="6"/>
        <v>1374</v>
      </c>
      <c r="Q18" s="25">
        <f t="shared" si="6"/>
        <v>1452</v>
      </c>
      <c r="R18" s="25">
        <f t="shared" si="6"/>
        <v>2616</v>
      </c>
      <c r="S18" s="25">
        <f t="shared" si="6"/>
        <v>2702</v>
      </c>
      <c r="T18" s="25">
        <f t="shared" si="6"/>
        <v>1487</v>
      </c>
      <c r="U18" s="25">
        <f t="shared" si="6"/>
        <v>2988</v>
      </c>
      <c r="V18" s="26">
        <f>SUM(O18:U18)</f>
        <v>13088</v>
      </c>
      <c r="W18" s="28"/>
      <c r="Y18" s="33">
        <f>SUM(Y8:Y17)</f>
        <v>40</v>
      </c>
      <c r="Z18" s="34">
        <f>SUM(Z8:Z17)</f>
        <v>33.4</v>
      </c>
      <c r="AA18" s="35">
        <f>SUM(AA8:AA17)</f>
        <v>6.6000000000000014</v>
      </c>
    </row>
    <row r="19" spans="1:27" ht="15" thickBot="1" x14ac:dyDescent="0.4">
      <c r="A19" s="1"/>
      <c r="B19" s="20" t="s">
        <v>18</v>
      </c>
      <c r="C19" s="21">
        <f t="shared" ref="C19:J19" si="7">C18/40</f>
        <v>14.225</v>
      </c>
      <c r="D19" s="21">
        <f t="shared" si="7"/>
        <v>0.9</v>
      </c>
      <c r="E19" s="21">
        <f t="shared" si="7"/>
        <v>3.4</v>
      </c>
      <c r="F19" s="21">
        <f t="shared" si="7"/>
        <v>2.9</v>
      </c>
      <c r="G19" s="21">
        <f t="shared" si="7"/>
        <v>4.8</v>
      </c>
      <c r="H19" s="21">
        <f t="shared" si="7"/>
        <v>5.2750000000000004</v>
      </c>
      <c r="I19" s="21">
        <f t="shared" si="7"/>
        <v>8.5</v>
      </c>
      <c r="J19" s="22">
        <f t="shared" si="7"/>
        <v>40</v>
      </c>
      <c r="K19" s="23"/>
      <c r="M19" s="1"/>
      <c r="N19" s="20" t="s">
        <v>18</v>
      </c>
      <c r="O19" s="21">
        <f t="shared" ref="O19:V19" si="8">O18/40</f>
        <v>11.725</v>
      </c>
      <c r="P19" s="21">
        <f t="shared" si="8"/>
        <v>34.35</v>
      </c>
      <c r="Q19" s="21">
        <f t="shared" si="8"/>
        <v>36.299999999999997</v>
      </c>
      <c r="R19" s="21">
        <f t="shared" si="8"/>
        <v>65.400000000000006</v>
      </c>
      <c r="S19" s="21">
        <f t="shared" si="8"/>
        <v>67.55</v>
      </c>
      <c r="T19" s="21">
        <f t="shared" si="8"/>
        <v>37.174999999999997</v>
      </c>
      <c r="U19" s="21">
        <f t="shared" si="8"/>
        <v>74.7</v>
      </c>
      <c r="V19" s="22">
        <f t="shared" si="8"/>
        <v>327.2</v>
      </c>
      <c r="W19" s="23"/>
      <c r="Y19" s="39">
        <f>Y18/40</f>
        <v>1</v>
      </c>
      <c r="Z19" s="40">
        <f>Z18/40</f>
        <v>0.83499999999999996</v>
      </c>
      <c r="AA19" s="41">
        <f>AA18/40</f>
        <v>0.16500000000000004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5E597-1A73-411F-A36C-51BC98AA4226}">
  <dimension ref="A1:AA19"/>
  <sheetViews>
    <sheetView workbookViewId="0">
      <selection activeCell="V13" sqref="V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45</v>
      </c>
      <c r="E8" s="11">
        <v>40</v>
      </c>
      <c r="F8" s="11">
        <v>35</v>
      </c>
      <c r="G8" s="11">
        <v>40</v>
      </c>
      <c r="H8" s="11">
        <v>30</v>
      </c>
      <c r="I8" s="11">
        <v>50</v>
      </c>
      <c r="J8" s="15">
        <f>SUM(C8:I8)/40</f>
        <v>6</v>
      </c>
      <c r="K8" s="12">
        <v>7</v>
      </c>
      <c r="L8" s="13"/>
      <c r="M8" s="14"/>
      <c r="N8" s="7" t="s">
        <v>13</v>
      </c>
      <c r="O8" s="11"/>
      <c r="P8" s="11">
        <v>45</v>
      </c>
      <c r="Q8" s="11">
        <v>40</v>
      </c>
      <c r="R8" s="11">
        <v>35</v>
      </c>
      <c r="S8" s="11">
        <v>40</v>
      </c>
      <c r="T8" s="11">
        <v>30</v>
      </c>
      <c r="U8" s="11">
        <v>50</v>
      </c>
      <c r="V8" s="15">
        <f>SUM(O8:U8)/40</f>
        <v>6</v>
      </c>
      <c r="W8" s="12">
        <v>7</v>
      </c>
      <c r="Y8" s="36">
        <f>J8</f>
        <v>6</v>
      </c>
      <c r="Z8" s="37">
        <f>V8</f>
        <v>6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20</v>
      </c>
      <c r="E9" s="11">
        <v>44</v>
      </c>
      <c r="F9" s="11">
        <v>64</v>
      </c>
      <c r="G9" s="11">
        <v>40</v>
      </c>
      <c r="H9" s="11">
        <v>28</v>
      </c>
      <c r="I9" s="11">
        <v>32</v>
      </c>
      <c r="J9" s="15">
        <f t="shared" ref="J9:J16" si="0">SUM(C9:I9)/40</f>
        <v>5.7</v>
      </c>
      <c r="K9" s="12">
        <v>12</v>
      </c>
      <c r="L9" s="13"/>
      <c r="M9" s="14"/>
      <c r="N9" s="7" t="s">
        <v>14</v>
      </c>
      <c r="O9" s="11">
        <v>40</v>
      </c>
      <c r="P9" s="11">
        <v>32</v>
      </c>
      <c r="Q9" s="11">
        <v>32</v>
      </c>
      <c r="R9" s="11">
        <v>64</v>
      </c>
      <c r="S9" s="11">
        <v>40</v>
      </c>
      <c r="T9" s="11">
        <v>28</v>
      </c>
      <c r="U9" s="11">
        <v>32</v>
      </c>
      <c r="V9" s="15">
        <f t="shared" ref="V9:V16" si="1">SUM(O9:U9)/40</f>
        <v>6.7</v>
      </c>
      <c r="W9" s="12">
        <v>13</v>
      </c>
      <c r="Y9" s="36">
        <f t="shared" ref="Y9:Y17" si="2">J9</f>
        <v>5.7</v>
      </c>
      <c r="Z9" s="37">
        <f t="shared" ref="Z9:Z17" si="3">V9</f>
        <v>6.7</v>
      </c>
      <c r="AA9" s="38">
        <f t="shared" ref="AA9:AA17" si="4">Y9-Z9</f>
        <v>-1</v>
      </c>
    </row>
    <row r="10" spans="1:27" x14ac:dyDescent="0.35">
      <c r="A10" s="14"/>
      <c r="B10" s="7" t="s">
        <v>15</v>
      </c>
      <c r="C10" s="11"/>
      <c r="D10" s="11">
        <v>15</v>
      </c>
      <c r="E10" s="11">
        <v>13</v>
      </c>
      <c r="F10" s="11">
        <v>12</v>
      </c>
      <c r="G10" s="11">
        <v>36</v>
      </c>
      <c r="H10" s="11">
        <v>30</v>
      </c>
      <c r="I10" s="11">
        <v>32</v>
      </c>
      <c r="J10" s="15">
        <f t="shared" si="0"/>
        <v>3.45</v>
      </c>
      <c r="K10" s="12">
        <v>4</v>
      </c>
      <c r="L10" s="13"/>
      <c r="M10" s="14"/>
      <c r="N10" s="7" t="s">
        <v>15</v>
      </c>
      <c r="O10" s="11"/>
      <c r="P10" s="11">
        <v>15</v>
      </c>
      <c r="Q10" s="11">
        <v>13</v>
      </c>
      <c r="R10" s="11">
        <v>12</v>
      </c>
      <c r="S10" s="11">
        <v>21</v>
      </c>
      <c r="T10" s="11">
        <v>18</v>
      </c>
      <c r="U10" s="11">
        <v>19</v>
      </c>
      <c r="V10" s="15">
        <f t="shared" si="1"/>
        <v>2.4500000000000002</v>
      </c>
      <c r="W10" s="12">
        <v>3</v>
      </c>
      <c r="Y10" s="36">
        <f t="shared" si="2"/>
        <v>3.45</v>
      </c>
      <c r="Z10" s="37">
        <f t="shared" si="3"/>
        <v>2.4500000000000002</v>
      </c>
      <c r="AA10" s="38">
        <f t="shared" si="4"/>
        <v>1</v>
      </c>
    </row>
    <row r="11" spans="1:27" x14ac:dyDescent="0.35">
      <c r="A11" s="16"/>
      <c r="B11" s="17" t="s">
        <v>39</v>
      </c>
      <c r="C11" s="11"/>
      <c r="D11" s="11">
        <v>12</v>
      </c>
      <c r="E11" s="11">
        <v>12</v>
      </c>
      <c r="F11" s="11">
        <v>0</v>
      </c>
      <c r="G11" s="11">
        <v>25</v>
      </c>
      <c r="H11" s="11">
        <v>25</v>
      </c>
      <c r="I11" s="11">
        <v>70</v>
      </c>
      <c r="J11" s="15">
        <f t="shared" si="0"/>
        <v>3.6</v>
      </c>
      <c r="K11" s="12">
        <v>3</v>
      </c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3.6</v>
      </c>
      <c r="Z11" s="37">
        <f t="shared" si="3"/>
        <v>0</v>
      </c>
      <c r="AA11" s="38">
        <f t="shared" si="4"/>
        <v>3.6</v>
      </c>
    </row>
    <row r="12" spans="1:27" x14ac:dyDescent="0.35">
      <c r="A12" s="16"/>
      <c r="B12" s="17" t="s">
        <v>37</v>
      </c>
      <c r="C12" s="11"/>
      <c r="D12" s="11">
        <v>10</v>
      </c>
      <c r="E12" s="11">
        <v>30</v>
      </c>
      <c r="F12" s="11">
        <v>20</v>
      </c>
      <c r="G12" s="11">
        <v>52</v>
      </c>
      <c r="H12" s="11">
        <v>72</v>
      </c>
      <c r="I12" s="11">
        <v>92</v>
      </c>
      <c r="J12" s="15">
        <f t="shared" si="0"/>
        <v>6.9</v>
      </c>
      <c r="K12" s="12">
        <v>5</v>
      </c>
      <c r="L12" s="13"/>
      <c r="M12" s="16"/>
      <c r="N12" s="17" t="s">
        <v>37</v>
      </c>
      <c r="O12" s="11"/>
      <c r="P12" s="11">
        <v>10</v>
      </c>
      <c r="Q12" s="11">
        <v>30</v>
      </c>
      <c r="R12" s="11">
        <v>20</v>
      </c>
      <c r="S12" s="11">
        <v>52</v>
      </c>
      <c r="T12" s="11">
        <v>60</v>
      </c>
      <c r="U12" s="11">
        <v>80</v>
      </c>
      <c r="V12" s="15">
        <f t="shared" si="1"/>
        <v>6.3</v>
      </c>
      <c r="W12" s="12">
        <v>4</v>
      </c>
      <c r="Y12" s="36">
        <f t="shared" si="2"/>
        <v>6.9</v>
      </c>
      <c r="Z12" s="37">
        <f t="shared" si="3"/>
        <v>6.3</v>
      </c>
      <c r="AA12" s="38">
        <f t="shared" si="4"/>
        <v>0.60000000000000053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>
        <v>173</v>
      </c>
      <c r="Q13" s="11">
        <v>213</v>
      </c>
      <c r="R13" s="11">
        <v>294</v>
      </c>
      <c r="S13" s="11">
        <v>573</v>
      </c>
      <c r="T13" s="11">
        <v>413</v>
      </c>
      <c r="U13" s="11">
        <v>334</v>
      </c>
      <c r="V13" s="15">
        <f t="shared" si="1"/>
        <v>50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102</v>
      </c>
      <c r="E18" s="25">
        <f t="shared" si="5"/>
        <v>139</v>
      </c>
      <c r="F18" s="25">
        <f t="shared" si="5"/>
        <v>131</v>
      </c>
      <c r="G18" s="25">
        <f t="shared" si="5"/>
        <v>193</v>
      </c>
      <c r="H18" s="25">
        <f t="shared" si="5"/>
        <v>185</v>
      </c>
      <c r="I18" s="25">
        <f t="shared" si="5"/>
        <v>276</v>
      </c>
      <c r="J18" s="26">
        <f>SUM(C18:I18)</f>
        <v>1026</v>
      </c>
      <c r="K18" s="28"/>
      <c r="M18" s="1"/>
      <c r="N18" s="7"/>
      <c r="O18" s="25">
        <f t="shared" ref="O18:U18" si="6">SUM(O8:O17)</f>
        <v>40</v>
      </c>
      <c r="P18" s="25">
        <f t="shared" si="6"/>
        <v>275</v>
      </c>
      <c r="Q18" s="25">
        <f t="shared" si="6"/>
        <v>328</v>
      </c>
      <c r="R18" s="25">
        <f t="shared" si="6"/>
        <v>425</v>
      </c>
      <c r="S18" s="25">
        <f t="shared" si="6"/>
        <v>726</v>
      </c>
      <c r="T18" s="25">
        <f t="shared" si="6"/>
        <v>549</v>
      </c>
      <c r="U18" s="25">
        <f t="shared" si="6"/>
        <v>515</v>
      </c>
      <c r="V18" s="26">
        <f>SUM(O18:U18)</f>
        <v>2858</v>
      </c>
      <c r="W18" s="28"/>
      <c r="Y18" s="33">
        <f>SUM(Y8:Y17)</f>
        <v>25.65</v>
      </c>
      <c r="Z18" s="34">
        <f>SUM(Z8:Z17)</f>
        <v>21.45</v>
      </c>
      <c r="AA18" s="35">
        <f>SUM(AA8:AA17)</f>
        <v>4.2000000000000011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2.5499999999999998</v>
      </c>
      <c r="E19" s="21">
        <f t="shared" si="7"/>
        <v>3.4750000000000001</v>
      </c>
      <c r="F19" s="21">
        <f t="shared" si="7"/>
        <v>3.2749999999999999</v>
      </c>
      <c r="G19" s="21">
        <f t="shared" si="7"/>
        <v>4.8250000000000002</v>
      </c>
      <c r="H19" s="21">
        <f t="shared" si="7"/>
        <v>4.625</v>
      </c>
      <c r="I19" s="21">
        <f t="shared" si="7"/>
        <v>6.9</v>
      </c>
      <c r="J19" s="22">
        <f t="shared" si="7"/>
        <v>25.65</v>
      </c>
      <c r="K19" s="23"/>
      <c r="M19" s="1"/>
      <c r="N19" s="20" t="s">
        <v>18</v>
      </c>
      <c r="O19" s="21">
        <f t="shared" ref="O19:V19" si="8">O18/40</f>
        <v>1</v>
      </c>
      <c r="P19" s="21">
        <f t="shared" si="8"/>
        <v>6.875</v>
      </c>
      <c r="Q19" s="21">
        <f t="shared" si="8"/>
        <v>8.1999999999999993</v>
      </c>
      <c r="R19" s="21">
        <f t="shared" si="8"/>
        <v>10.625</v>
      </c>
      <c r="S19" s="21">
        <f t="shared" si="8"/>
        <v>18.149999999999999</v>
      </c>
      <c r="T19" s="21">
        <f t="shared" si="8"/>
        <v>13.725</v>
      </c>
      <c r="U19" s="21">
        <f t="shared" si="8"/>
        <v>12.875</v>
      </c>
      <c r="V19" s="22">
        <f t="shared" si="8"/>
        <v>71.45</v>
      </c>
      <c r="W19" s="23"/>
      <c r="Y19" s="39">
        <f>Y18/40</f>
        <v>0.64124999999999999</v>
      </c>
      <c r="Z19" s="40">
        <f>Z18/40</f>
        <v>0.53625</v>
      </c>
      <c r="AA19" s="41">
        <f>AA18/40</f>
        <v>0.10500000000000002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D4E2C-B3C5-473E-8709-91E86C4798CE}">
  <dimension ref="A1:AA27"/>
  <sheetViews>
    <sheetView workbookViewId="0">
      <selection activeCell="W13" sqref="W13"/>
    </sheetView>
  </sheetViews>
  <sheetFormatPr defaultRowHeight="14.5" x14ac:dyDescent="0.35"/>
  <cols>
    <col min="1" max="1" width="5.6328125" customWidth="1"/>
    <col min="2" max="2" width="8.542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8.54296875" bestFit="1" customWidth="1"/>
    <col min="15" max="15" width="4" bestFit="1" customWidth="1"/>
    <col min="16" max="16" width="3.90625" bestFit="1" customWidth="1"/>
    <col min="17" max="17" width="3.5429687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15</v>
      </c>
      <c r="E8" s="11">
        <v>10</v>
      </c>
      <c r="F8" s="11">
        <v>15</v>
      </c>
      <c r="G8" s="11">
        <v>90</v>
      </c>
      <c r="H8" s="11">
        <v>90</v>
      </c>
      <c r="I8" s="11">
        <v>220</v>
      </c>
      <c r="J8" s="15">
        <f>SUM(C8:I8)/40</f>
        <v>11</v>
      </c>
      <c r="K8" s="12">
        <v>12</v>
      </c>
      <c r="L8" s="13"/>
      <c r="M8" s="14"/>
      <c r="N8" s="7" t="s">
        <v>13</v>
      </c>
      <c r="O8" s="11"/>
      <c r="P8" s="11">
        <v>15</v>
      </c>
      <c r="Q8" s="11">
        <v>10</v>
      </c>
      <c r="R8" s="11">
        <v>15</v>
      </c>
      <c r="S8" s="11">
        <v>90</v>
      </c>
      <c r="T8" s="11">
        <v>90</v>
      </c>
      <c r="U8" s="11">
        <v>220</v>
      </c>
      <c r="V8" s="15">
        <f>SUM(O8:U8)/40</f>
        <v>11</v>
      </c>
      <c r="W8" s="12">
        <v>12</v>
      </c>
      <c r="Y8" s="36">
        <f>J8</f>
        <v>11</v>
      </c>
      <c r="Z8" s="37">
        <f>V8</f>
        <v>11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83</v>
      </c>
      <c r="H9" s="11">
        <v>82</v>
      </c>
      <c r="I9" s="11">
        <v>99</v>
      </c>
      <c r="J9" s="15">
        <f t="shared" ref="J9:J16" si="0">SUM(C9:I9)/40</f>
        <v>6.6</v>
      </c>
      <c r="K9" s="12">
        <v>20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0</v>
      </c>
      <c r="S9" s="11">
        <v>43</v>
      </c>
      <c r="T9" s="11">
        <v>42</v>
      </c>
      <c r="U9" s="11">
        <v>59</v>
      </c>
      <c r="V9" s="15">
        <f t="shared" ref="V9:V16" si="1">SUM(O9:U9)/40</f>
        <v>3.6</v>
      </c>
      <c r="W9" s="12">
        <v>19</v>
      </c>
      <c r="Y9" s="36">
        <f t="shared" ref="Y9:Y17" si="2">J9</f>
        <v>6.6</v>
      </c>
      <c r="Z9" s="37">
        <f t="shared" ref="Z9:Z17" si="3">V9</f>
        <v>3.6</v>
      </c>
      <c r="AA9" s="38">
        <f t="shared" ref="AA9:AA17" si="4">Y9-Z9</f>
        <v>2.9999999999999996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20</v>
      </c>
      <c r="G10" s="11">
        <v>65</v>
      </c>
      <c r="H10" s="11">
        <v>12</v>
      </c>
      <c r="I10" s="11">
        <v>83</v>
      </c>
      <c r="J10" s="15">
        <f t="shared" si="0"/>
        <v>4.5</v>
      </c>
      <c r="K10" s="12">
        <v>4</v>
      </c>
      <c r="L10" s="13"/>
      <c r="M10" s="14"/>
      <c r="N10" s="7" t="s">
        <v>15</v>
      </c>
      <c r="O10" s="11"/>
      <c r="P10" s="11">
        <v>0</v>
      </c>
      <c r="Q10" s="11">
        <v>0</v>
      </c>
      <c r="R10" s="11">
        <v>20</v>
      </c>
      <c r="S10" s="11">
        <v>50</v>
      </c>
      <c r="T10" s="11">
        <v>0</v>
      </c>
      <c r="U10" s="11">
        <v>30</v>
      </c>
      <c r="V10" s="15">
        <f t="shared" si="1"/>
        <v>2.5</v>
      </c>
      <c r="W10" s="12">
        <v>3</v>
      </c>
      <c r="Y10" s="36">
        <f t="shared" si="2"/>
        <v>4.5</v>
      </c>
      <c r="Z10" s="37">
        <f t="shared" si="3"/>
        <v>2.5</v>
      </c>
      <c r="AA10" s="38">
        <f t="shared" si="4"/>
        <v>2</v>
      </c>
    </row>
    <row r="11" spans="1:27" x14ac:dyDescent="0.35">
      <c r="A11" s="16"/>
      <c r="B11" s="17" t="s">
        <v>39</v>
      </c>
      <c r="C11" s="11"/>
      <c r="D11" s="11">
        <v>40</v>
      </c>
      <c r="E11" s="11">
        <v>40</v>
      </c>
      <c r="F11" s="11">
        <v>64</v>
      </c>
      <c r="G11" s="11">
        <v>115</v>
      </c>
      <c r="H11" s="11">
        <v>105</v>
      </c>
      <c r="I11" s="11">
        <v>120</v>
      </c>
      <c r="J11" s="15">
        <f t="shared" si="0"/>
        <v>12.1</v>
      </c>
      <c r="K11" s="12">
        <v>7</v>
      </c>
      <c r="L11" s="13"/>
      <c r="M11" s="16"/>
      <c r="N11" s="17" t="s">
        <v>39</v>
      </c>
      <c r="O11" s="11"/>
      <c r="P11" s="11">
        <v>0</v>
      </c>
      <c r="Q11" s="11">
        <v>0</v>
      </c>
      <c r="R11" s="11">
        <v>24</v>
      </c>
      <c r="S11" s="11">
        <v>40</v>
      </c>
      <c r="T11" s="11">
        <v>40</v>
      </c>
      <c r="U11" s="11">
        <v>40</v>
      </c>
      <c r="V11" s="15">
        <f t="shared" si="1"/>
        <v>3.6</v>
      </c>
      <c r="W11" s="12">
        <v>3</v>
      </c>
      <c r="Y11" s="36">
        <f t="shared" si="2"/>
        <v>12.1</v>
      </c>
      <c r="Z11" s="37">
        <f t="shared" si="3"/>
        <v>3.6</v>
      </c>
      <c r="AA11" s="38">
        <f t="shared" si="4"/>
        <v>8.5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>
        <v>200</v>
      </c>
      <c r="Q13" s="11">
        <v>360</v>
      </c>
      <c r="R13" s="11">
        <v>640</v>
      </c>
      <c r="S13" s="11">
        <v>400</v>
      </c>
      <c r="T13" s="11">
        <v>440</v>
      </c>
      <c r="U13" s="11">
        <v>1120</v>
      </c>
      <c r="V13" s="15">
        <f t="shared" si="1"/>
        <v>79</v>
      </c>
      <c r="W13" s="12">
        <v>8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55</v>
      </c>
      <c r="E18" s="25">
        <f t="shared" si="5"/>
        <v>50</v>
      </c>
      <c r="F18" s="25">
        <f t="shared" si="5"/>
        <v>99</v>
      </c>
      <c r="G18" s="25">
        <f t="shared" si="5"/>
        <v>353</v>
      </c>
      <c r="H18" s="25">
        <f t="shared" si="5"/>
        <v>289</v>
      </c>
      <c r="I18" s="25">
        <f t="shared" si="5"/>
        <v>522</v>
      </c>
      <c r="J18" s="26">
        <f>SUM(C18:I18)</f>
        <v>1368</v>
      </c>
      <c r="K18" s="28"/>
      <c r="M18" s="1"/>
      <c r="N18" s="7"/>
      <c r="O18" s="25">
        <f t="shared" ref="O18:U18" si="6">SUM(O8:O17)</f>
        <v>0</v>
      </c>
      <c r="P18" s="25">
        <f t="shared" si="6"/>
        <v>215</v>
      </c>
      <c r="Q18" s="25">
        <f t="shared" si="6"/>
        <v>370</v>
      </c>
      <c r="R18" s="25">
        <f t="shared" si="6"/>
        <v>699</v>
      </c>
      <c r="S18" s="25">
        <f t="shared" si="6"/>
        <v>623</v>
      </c>
      <c r="T18" s="25">
        <f t="shared" si="6"/>
        <v>612</v>
      </c>
      <c r="U18" s="25">
        <f t="shared" si="6"/>
        <v>1469</v>
      </c>
      <c r="V18" s="26">
        <f>SUM(O18:U18)</f>
        <v>3988</v>
      </c>
      <c r="W18" s="28"/>
      <c r="Y18" s="33">
        <f>SUM(Y8:Y17)</f>
        <v>34.200000000000003</v>
      </c>
      <c r="Z18" s="34">
        <f>SUM(Z8:Z17)</f>
        <v>20.700000000000003</v>
      </c>
      <c r="AA18" s="35">
        <f>SUM(AA8:AA17)</f>
        <v>13.5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1.375</v>
      </c>
      <c r="E19" s="21">
        <f t="shared" si="7"/>
        <v>1.25</v>
      </c>
      <c r="F19" s="21">
        <f t="shared" si="7"/>
        <v>2.4750000000000001</v>
      </c>
      <c r="G19" s="21">
        <f t="shared" si="7"/>
        <v>8.8249999999999993</v>
      </c>
      <c r="H19" s="21">
        <f t="shared" si="7"/>
        <v>7.2249999999999996</v>
      </c>
      <c r="I19" s="21">
        <f t="shared" si="7"/>
        <v>13.05</v>
      </c>
      <c r="J19" s="22">
        <f t="shared" si="7"/>
        <v>34.200000000000003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5.375</v>
      </c>
      <c r="Q19" s="21">
        <f t="shared" si="8"/>
        <v>9.25</v>
      </c>
      <c r="R19" s="21">
        <f t="shared" si="8"/>
        <v>17.475000000000001</v>
      </c>
      <c r="S19" s="21">
        <f t="shared" si="8"/>
        <v>15.574999999999999</v>
      </c>
      <c r="T19" s="21">
        <f t="shared" si="8"/>
        <v>15.3</v>
      </c>
      <c r="U19" s="21">
        <f t="shared" si="8"/>
        <v>36.725000000000001</v>
      </c>
      <c r="V19" s="22">
        <f t="shared" si="8"/>
        <v>99.7</v>
      </c>
      <c r="W19" s="23"/>
      <c r="Y19" s="39">
        <f>Y18/40</f>
        <v>0.85500000000000009</v>
      </c>
      <c r="Z19" s="40">
        <f>Z18/40</f>
        <v>0.51750000000000007</v>
      </c>
      <c r="AA19" s="41">
        <f>AA18/40</f>
        <v>0.33750000000000002</v>
      </c>
    </row>
    <row r="27" spans="1:27" x14ac:dyDescent="0.35">
      <c r="J27">
        <f>15*40</f>
        <v>600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02268-B5C0-4F7D-B124-8932172B8A1F}">
  <dimension ref="A1:AA31"/>
  <sheetViews>
    <sheetView workbookViewId="0">
      <selection activeCell="M13" sqref="M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.08984375" bestFit="1" customWidth="1"/>
    <col min="16" max="16" width="4" bestFit="1" customWidth="1"/>
    <col min="17" max="17" width="3.36328125" bestFit="1" customWidth="1"/>
    <col min="18" max="18" width="3.1796875" bestFit="1" customWidth="1"/>
    <col min="19" max="19" width="4" bestFit="1" customWidth="1"/>
    <col min="20" max="20" width="3.7265625" bestFit="1" customWidth="1"/>
    <col min="21" max="21" width="3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8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8">
        <v>5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16</v>
      </c>
      <c r="C18" s="11"/>
      <c r="D18" s="11"/>
      <c r="E18" s="11"/>
      <c r="F18" s="11"/>
      <c r="G18" s="11"/>
      <c r="H18" s="11"/>
      <c r="I18" s="11"/>
      <c r="J18" s="15">
        <f t="shared" si="0"/>
        <v>0</v>
      </c>
      <c r="K18" s="18"/>
      <c r="M18" s="16"/>
      <c r="N18" s="17" t="s">
        <v>16</v>
      </c>
      <c r="O18" s="11"/>
      <c r="P18" s="11"/>
      <c r="Q18" s="11"/>
      <c r="R18" s="11"/>
      <c r="S18" s="11"/>
      <c r="T18" s="11"/>
      <c r="U18" s="11"/>
      <c r="V18" s="15">
        <f>SUM(O18:U18)/40</f>
        <v>0</v>
      </c>
      <c r="W18" s="18"/>
      <c r="Y18" s="36">
        <f t="shared" ref="Y18" si="5">J18</f>
        <v>0</v>
      </c>
      <c r="Z18" s="37">
        <f t="shared" ref="Z18" si="6">V18</f>
        <v>0</v>
      </c>
      <c r="AA18" s="38">
        <f t="shared" ref="AA18" si="7">Y18-Z18</f>
        <v>0</v>
      </c>
    </row>
    <row r="19" spans="1:27" x14ac:dyDescent="0.35">
      <c r="A19" s="1"/>
      <c r="B19" s="7"/>
      <c r="C19" s="25">
        <f t="shared" ref="C19:I19" si="8">SUM(C8:C18)</f>
        <v>0</v>
      </c>
      <c r="D19" s="25">
        <f t="shared" si="8"/>
        <v>0</v>
      </c>
      <c r="E19" s="25">
        <f t="shared" si="8"/>
        <v>0</v>
      </c>
      <c r="F19" s="25">
        <f t="shared" si="8"/>
        <v>0</v>
      </c>
      <c r="G19" s="25">
        <f t="shared" si="8"/>
        <v>0</v>
      </c>
      <c r="H19" s="25">
        <f t="shared" si="8"/>
        <v>0</v>
      </c>
      <c r="I19" s="25">
        <f t="shared" si="8"/>
        <v>0</v>
      </c>
      <c r="J19" s="26">
        <f>SUM(C19:I19)</f>
        <v>0</v>
      </c>
      <c r="K19" s="28"/>
      <c r="M19" s="1"/>
      <c r="N19" s="7"/>
      <c r="O19" s="72">
        <f>SUM(O8:O18)</f>
        <v>0</v>
      </c>
      <c r="P19" s="72">
        <f t="shared" ref="P19:U19" si="9">SUM(P8:P18)</f>
        <v>0</v>
      </c>
      <c r="Q19" s="72">
        <f t="shared" si="9"/>
        <v>0</v>
      </c>
      <c r="R19" s="72">
        <f t="shared" si="9"/>
        <v>0</v>
      </c>
      <c r="S19" s="72">
        <f t="shared" si="9"/>
        <v>0</v>
      </c>
      <c r="T19" s="72">
        <f t="shared" si="9"/>
        <v>0</v>
      </c>
      <c r="U19" s="72">
        <f t="shared" si="9"/>
        <v>0</v>
      </c>
      <c r="V19" s="26">
        <f>SUM(O19:U19)</f>
        <v>0</v>
      </c>
      <c r="W19" s="28"/>
      <c r="Y19" s="33">
        <f>SUM(Y8:Y17)</f>
        <v>0</v>
      </c>
      <c r="Z19" s="34">
        <f>SUM(Z8:Z17)</f>
        <v>0</v>
      </c>
      <c r="AA19" s="35">
        <f>SUM(AA8:AA17)</f>
        <v>0</v>
      </c>
    </row>
    <row r="20" spans="1:27" ht="15" thickBot="1" x14ac:dyDescent="0.4">
      <c r="A20" s="1"/>
      <c r="B20" s="20" t="s">
        <v>18</v>
      </c>
      <c r="C20" s="21">
        <f t="shared" ref="C20:J20" si="10">C19/40</f>
        <v>0</v>
      </c>
      <c r="D20" s="21">
        <f t="shared" si="10"/>
        <v>0</v>
      </c>
      <c r="E20" s="21">
        <f t="shared" si="10"/>
        <v>0</v>
      </c>
      <c r="F20" s="21">
        <f t="shared" si="10"/>
        <v>0</v>
      </c>
      <c r="G20" s="21">
        <f t="shared" si="10"/>
        <v>0</v>
      </c>
      <c r="H20" s="21">
        <f t="shared" si="10"/>
        <v>0</v>
      </c>
      <c r="I20" s="21">
        <f t="shared" si="10"/>
        <v>0</v>
      </c>
      <c r="J20" s="22">
        <f t="shared" si="10"/>
        <v>0</v>
      </c>
      <c r="K20" s="23"/>
      <c r="M20" s="1"/>
      <c r="N20" s="20" t="s">
        <v>18</v>
      </c>
      <c r="O20" s="21">
        <f t="shared" ref="O20:V20" si="11">O19/40</f>
        <v>0</v>
      </c>
      <c r="P20" s="21">
        <f t="shared" si="11"/>
        <v>0</v>
      </c>
      <c r="Q20" s="21">
        <f t="shared" si="11"/>
        <v>0</v>
      </c>
      <c r="R20" s="21">
        <f t="shared" si="11"/>
        <v>0</v>
      </c>
      <c r="S20" s="21">
        <f t="shared" si="11"/>
        <v>0</v>
      </c>
      <c r="T20" s="21">
        <f t="shared" si="11"/>
        <v>0</v>
      </c>
      <c r="U20" s="21">
        <f t="shared" si="11"/>
        <v>0</v>
      </c>
      <c r="V20" s="22">
        <f t="shared" si="11"/>
        <v>0</v>
      </c>
      <c r="W20" s="23"/>
      <c r="Y20" s="39">
        <f>Y19/40</f>
        <v>0</v>
      </c>
      <c r="Z20" s="40">
        <f>Z19/40</f>
        <v>0</v>
      </c>
      <c r="AA20" s="41">
        <f>AA19/40</f>
        <v>0</v>
      </c>
    </row>
    <row r="24" spans="1:27" x14ac:dyDescent="0.35">
      <c r="X24">
        <v>20467</v>
      </c>
      <c r="Y24">
        <v>3323</v>
      </c>
    </row>
    <row r="25" spans="1:27" x14ac:dyDescent="0.35">
      <c r="X25">
        <v>20557</v>
      </c>
      <c r="Y25">
        <v>2515</v>
      </c>
    </row>
    <row r="26" spans="1:27" x14ac:dyDescent="0.35">
      <c r="X26">
        <v>18860</v>
      </c>
      <c r="Y26">
        <v>4805</v>
      </c>
    </row>
    <row r="27" spans="1:27" x14ac:dyDescent="0.35">
      <c r="X27" s="73">
        <f>SUM(X24:X26)</f>
        <v>59884</v>
      </c>
      <c r="Y27">
        <v>6272</v>
      </c>
    </row>
    <row r="28" spans="1:27" x14ac:dyDescent="0.35">
      <c r="Y28">
        <v>3136</v>
      </c>
    </row>
    <row r="29" spans="1:27" x14ac:dyDescent="0.35">
      <c r="Y29">
        <v>130</v>
      </c>
    </row>
    <row r="30" spans="1:27" x14ac:dyDescent="0.35">
      <c r="Y30">
        <f>SUM(Y24:Y29)</f>
        <v>20181</v>
      </c>
    </row>
    <row r="31" spans="1:27" x14ac:dyDescent="0.35">
      <c r="W31">
        <f>X27-Y30</f>
        <v>39703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00EF4-F35E-451F-BF84-5B668D1495CC}">
  <dimension ref="A1:AA19"/>
  <sheetViews>
    <sheetView workbookViewId="0">
      <selection activeCell="M7" sqref="M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816406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20</v>
      </c>
      <c r="E8" s="11">
        <v>20</v>
      </c>
      <c r="F8" s="11">
        <v>120</v>
      </c>
      <c r="G8" s="11">
        <v>20</v>
      </c>
      <c r="H8" s="11">
        <v>20</v>
      </c>
      <c r="I8" s="11"/>
      <c r="J8" s="15">
        <f>SUM(C8:I8)/40</f>
        <v>5</v>
      </c>
      <c r="K8" s="12">
        <v>12</v>
      </c>
      <c r="L8" s="13"/>
      <c r="M8" s="14"/>
      <c r="N8" s="7" t="s">
        <v>13</v>
      </c>
      <c r="O8" s="11"/>
      <c r="P8" s="11">
        <v>20</v>
      </c>
      <c r="Q8" s="11">
        <v>20</v>
      </c>
      <c r="R8" s="11">
        <v>40</v>
      </c>
      <c r="S8" s="11">
        <v>20</v>
      </c>
      <c r="T8" s="11">
        <v>20</v>
      </c>
      <c r="U8" s="11"/>
      <c r="V8" s="15">
        <f>SUM(O8:U8)/40</f>
        <v>3</v>
      </c>
      <c r="W8" s="12">
        <v>11</v>
      </c>
      <c r="Y8" s="36">
        <f>J8</f>
        <v>5</v>
      </c>
      <c r="Z8" s="37">
        <f>V8</f>
        <v>3</v>
      </c>
      <c r="AA8" s="38">
        <f>Y8-Z8</f>
        <v>2</v>
      </c>
    </row>
    <row r="9" spans="1:27" x14ac:dyDescent="0.35">
      <c r="A9" s="14"/>
      <c r="B9" s="7" t="s">
        <v>14</v>
      </c>
      <c r="C9" s="11"/>
      <c r="D9" s="11">
        <v>12</v>
      </c>
      <c r="E9" s="11">
        <v>15</v>
      </c>
      <c r="F9" s="11">
        <v>13</v>
      </c>
      <c r="G9" s="11">
        <v>70</v>
      </c>
      <c r="H9" s="11">
        <v>70</v>
      </c>
      <c r="I9" s="11">
        <v>60</v>
      </c>
      <c r="J9" s="15">
        <f t="shared" ref="J9:J16" si="0">SUM(C9:I9)/40</f>
        <v>6</v>
      </c>
      <c r="K9" s="12">
        <v>10</v>
      </c>
      <c r="L9" s="13"/>
      <c r="M9" s="14"/>
      <c r="N9" s="7" t="s">
        <v>14</v>
      </c>
      <c r="O9" s="11"/>
      <c r="P9" s="11">
        <v>12</v>
      </c>
      <c r="Q9" s="11">
        <v>15</v>
      </c>
      <c r="R9" s="11">
        <v>13</v>
      </c>
      <c r="S9" s="11">
        <v>70</v>
      </c>
      <c r="T9" s="11">
        <v>68</v>
      </c>
      <c r="U9" s="11">
        <v>60</v>
      </c>
      <c r="V9" s="15">
        <f t="shared" ref="V9:V16" si="1">SUM(O9:U9)/40</f>
        <v>5.95</v>
      </c>
      <c r="W9" s="12">
        <v>10</v>
      </c>
      <c r="Y9" s="36">
        <f t="shared" ref="Y9:Y17" si="2">J9</f>
        <v>6</v>
      </c>
      <c r="Z9" s="37">
        <f t="shared" ref="Z9:Z17" si="3">V9</f>
        <v>5.95</v>
      </c>
      <c r="AA9" s="38">
        <f t="shared" ref="AA9:AA17" si="4">Y9-Z9</f>
        <v>4.9999999999999822E-2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0</v>
      </c>
      <c r="G10" s="11">
        <v>104</v>
      </c>
      <c r="H10" s="11">
        <v>60</v>
      </c>
      <c r="I10" s="11">
        <v>74</v>
      </c>
      <c r="J10" s="15">
        <f t="shared" si="0"/>
        <v>5.95</v>
      </c>
      <c r="K10" s="12">
        <v>6</v>
      </c>
      <c r="L10" s="13"/>
      <c r="M10" s="14"/>
      <c r="N10" s="7" t="s">
        <v>15</v>
      </c>
      <c r="O10" s="11"/>
      <c r="P10" s="11">
        <v>0</v>
      </c>
      <c r="Q10" s="11">
        <v>0</v>
      </c>
      <c r="R10" s="11">
        <v>0</v>
      </c>
      <c r="S10" s="11">
        <v>104</v>
      </c>
      <c r="T10" s="11">
        <v>50</v>
      </c>
      <c r="U10" s="11">
        <v>64</v>
      </c>
      <c r="V10" s="15">
        <f t="shared" si="1"/>
        <v>5.45</v>
      </c>
      <c r="W10" s="12">
        <v>6</v>
      </c>
      <c r="Y10" s="36">
        <f t="shared" si="2"/>
        <v>5.95</v>
      </c>
      <c r="Z10" s="37">
        <f t="shared" si="3"/>
        <v>5.45</v>
      </c>
      <c r="AA10" s="38">
        <f t="shared" si="4"/>
        <v>0.5</v>
      </c>
    </row>
    <row r="11" spans="1:27" x14ac:dyDescent="0.35">
      <c r="A11" s="16"/>
      <c r="B11" s="17" t="s">
        <v>39</v>
      </c>
      <c r="C11" s="11"/>
      <c r="D11" s="11">
        <v>40</v>
      </c>
      <c r="E11" s="11">
        <v>40</v>
      </c>
      <c r="F11" s="11">
        <v>80</v>
      </c>
      <c r="G11" s="11">
        <v>95</v>
      </c>
      <c r="H11" s="11">
        <v>95</v>
      </c>
      <c r="I11" s="11">
        <v>170</v>
      </c>
      <c r="J11" s="15">
        <f t="shared" si="0"/>
        <v>13</v>
      </c>
      <c r="K11" s="12">
        <v>5</v>
      </c>
      <c r="L11" s="13"/>
      <c r="M11" s="16"/>
      <c r="N11" s="17" t="s">
        <v>39</v>
      </c>
      <c r="O11" s="11"/>
      <c r="P11" s="11">
        <v>40</v>
      </c>
      <c r="Q11" s="11">
        <v>40</v>
      </c>
      <c r="R11" s="11">
        <v>80</v>
      </c>
      <c r="S11" s="11">
        <v>60</v>
      </c>
      <c r="T11" s="11">
        <v>60</v>
      </c>
      <c r="U11" s="11">
        <v>120</v>
      </c>
      <c r="V11" s="15">
        <f t="shared" si="1"/>
        <v>10</v>
      </c>
      <c r="W11" s="12">
        <v>5</v>
      </c>
      <c r="Y11" s="36">
        <f t="shared" si="2"/>
        <v>13</v>
      </c>
      <c r="Z11" s="37">
        <f t="shared" si="3"/>
        <v>10</v>
      </c>
      <c r="AA11" s="38">
        <f t="shared" si="4"/>
        <v>3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17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17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72</v>
      </c>
      <c r="E18" s="25">
        <f t="shared" si="5"/>
        <v>75</v>
      </c>
      <c r="F18" s="25">
        <f t="shared" si="5"/>
        <v>213</v>
      </c>
      <c r="G18" s="25">
        <f t="shared" si="5"/>
        <v>289</v>
      </c>
      <c r="H18" s="25">
        <f t="shared" si="5"/>
        <v>245</v>
      </c>
      <c r="I18" s="25">
        <f t="shared" si="5"/>
        <v>304</v>
      </c>
      <c r="J18" s="26">
        <f>SUM(C18:I18)</f>
        <v>1198</v>
      </c>
      <c r="K18" s="28"/>
      <c r="M18" s="1"/>
      <c r="N18" s="7"/>
      <c r="O18" s="25">
        <f t="shared" ref="O18:U18" si="6">SUM(O8:O17)</f>
        <v>0</v>
      </c>
      <c r="P18" s="25">
        <f t="shared" si="6"/>
        <v>72</v>
      </c>
      <c r="Q18" s="25">
        <f t="shared" si="6"/>
        <v>75</v>
      </c>
      <c r="R18" s="25">
        <f t="shared" si="6"/>
        <v>133</v>
      </c>
      <c r="S18" s="25">
        <f t="shared" si="6"/>
        <v>254</v>
      </c>
      <c r="T18" s="25">
        <f t="shared" si="6"/>
        <v>198</v>
      </c>
      <c r="U18" s="25">
        <f t="shared" si="6"/>
        <v>244</v>
      </c>
      <c r="V18" s="26">
        <f>SUM(O18:U18)</f>
        <v>976</v>
      </c>
      <c r="W18" s="28"/>
      <c r="Y18" s="33">
        <f>SUM(Y8:Y17)</f>
        <v>29.95</v>
      </c>
      <c r="Z18" s="34">
        <f>SUM(Z8:Z17)</f>
        <v>24.4</v>
      </c>
      <c r="AA18" s="35">
        <f>SUM(AA8:AA17)</f>
        <v>5.55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1.8</v>
      </c>
      <c r="E19" s="21">
        <f t="shared" si="7"/>
        <v>1.875</v>
      </c>
      <c r="F19" s="21">
        <f t="shared" si="7"/>
        <v>5.3250000000000002</v>
      </c>
      <c r="G19" s="21">
        <f t="shared" si="7"/>
        <v>7.2249999999999996</v>
      </c>
      <c r="H19" s="21">
        <f t="shared" si="7"/>
        <v>6.125</v>
      </c>
      <c r="I19" s="21">
        <f t="shared" si="7"/>
        <v>7.6</v>
      </c>
      <c r="J19" s="22">
        <f t="shared" si="7"/>
        <v>29.95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1.8</v>
      </c>
      <c r="Q19" s="21">
        <f t="shared" si="8"/>
        <v>1.875</v>
      </c>
      <c r="R19" s="21">
        <f t="shared" si="8"/>
        <v>3.3250000000000002</v>
      </c>
      <c r="S19" s="21">
        <f t="shared" si="8"/>
        <v>6.35</v>
      </c>
      <c r="T19" s="21">
        <f t="shared" si="8"/>
        <v>4.95</v>
      </c>
      <c r="U19" s="21">
        <f t="shared" si="8"/>
        <v>6.1</v>
      </c>
      <c r="V19" s="22">
        <f t="shared" si="8"/>
        <v>24.4</v>
      </c>
      <c r="W19" s="23"/>
      <c r="Y19" s="39">
        <f>Y18/40</f>
        <v>0.74875000000000003</v>
      </c>
      <c r="Z19" s="40">
        <f>Z18/40</f>
        <v>0.61</v>
      </c>
      <c r="AA19" s="41">
        <f>AA18/40</f>
        <v>0.13874999999999998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ECB-3983-42D8-9225-B9053A82A404}">
  <dimension ref="A1:AA19"/>
  <sheetViews>
    <sheetView tabSelected="1" topLeftCell="A3" workbookViewId="0">
      <selection activeCell="Q20" sqref="Q2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126</v>
      </c>
      <c r="E8" s="11">
        <v>116</v>
      </c>
      <c r="F8" s="11">
        <v>183</v>
      </c>
      <c r="G8" s="11">
        <v>102</v>
      </c>
      <c r="H8" s="11">
        <v>126</v>
      </c>
      <c r="I8" s="11">
        <v>142</v>
      </c>
      <c r="J8" s="15">
        <f>SUM(C8:I8)/40</f>
        <v>19.875</v>
      </c>
      <c r="K8" s="12">
        <v>19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19.875</v>
      </c>
      <c r="Z8" s="37">
        <f>V8</f>
        <v>0</v>
      </c>
      <c r="AA8" s="38">
        <f>Y8-Z8</f>
        <v>19.875</v>
      </c>
    </row>
    <row r="9" spans="1:27" x14ac:dyDescent="0.35">
      <c r="A9" s="14"/>
      <c r="B9" s="7" t="s">
        <v>14</v>
      </c>
      <c r="C9" s="11"/>
      <c r="D9" s="11">
        <v>8</v>
      </c>
      <c r="E9" s="11">
        <v>10</v>
      </c>
      <c r="F9" s="11">
        <v>114</v>
      </c>
      <c r="G9" s="11">
        <v>86</v>
      </c>
      <c r="H9" s="11">
        <v>26</v>
      </c>
      <c r="I9" s="11">
        <v>120</v>
      </c>
      <c r="J9" s="15">
        <f t="shared" ref="J9:J17" si="0">SUM(C9:I9)/40</f>
        <v>9.1</v>
      </c>
      <c r="K9" s="12">
        <v>20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9.1</v>
      </c>
      <c r="Z9" s="37">
        <f t="shared" ref="Z9:Z17" si="3">V9</f>
        <v>0</v>
      </c>
      <c r="AA9" s="38">
        <f t="shared" ref="AA9:AA17" si="4">Y9-Z9</f>
        <v>9.1</v>
      </c>
    </row>
    <row r="10" spans="1:27" x14ac:dyDescent="0.35">
      <c r="A10" s="14"/>
      <c r="B10" s="7" t="s">
        <v>15</v>
      </c>
      <c r="C10" s="11"/>
      <c r="D10" s="11">
        <v>4</v>
      </c>
      <c r="E10" s="11">
        <v>4</v>
      </c>
      <c r="F10" s="11">
        <v>16</v>
      </c>
      <c r="G10" s="11">
        <v>115</v>
      </c>
      <c r="H10" s="11">
        <v>65</v>
      </c>
      <c r="I10" s="11">
        <v>61</v>
      </c>
      <c r="J10" s="15">
        <f t="shared" si="0"/>
        <v>6.625</v>
      </c>
      <c r="K10" s="12">
        <v>8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6.625</v>
      </c>
      <c r="Z10" s="37">
        <f t="shared" si="3"/>
        <v>0</v>
      </c>
      <c r="AA10" s="38">
        <f t="shared" si="4"/>
        <v>6.625</v>
      </c>
    </row>
    <row r="11" spans="1:27" x14ac:dyDescent="0.35">
      <c r="A11" s="16"/>
      <c r="B11" s="17" t="s">
        <v>39</v>
      </c>
      <c r="C11" s="11"/>
      <c r="D11" s="11">
        <v>38</v>
      </c>
      <c r="E11" s="11">
        <v>28</v>
      </c>
      <c r="F11" s="11">
        <v>38</v>
      </c>
      <c r="G11" s="11">
        <v>179</v>
      </c>
      <c r="H11" s="11">
        <v>134</v>
      </c>
      <c r="I11" s="11">
        <v>139</v>
      </c>
      <c r="J11" s="15">
        <f t="shared" si="0"/>
        <v>13.9</v>
      </c>
      <c r="K11" s="12">
        <v>9</v>
      </c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13.9</v>
      </c>
      <c r="Z11" s="37">
        <f t="shared" si="3"/>
        <v>0</v>
      </c>
      <c r="AA11" s="38">
        <f t="shared" si="4"/>
        <v>13.9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v>56</v>
      </c>
      <c r="K13" s="12">
        <v>5</v>
      </c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21</v>
      </c>
      <c r="K14" s="12">
        <v>14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8</v>
      </c>
      <c r="K15" s="12">
        <v>10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7</v>
      </c>
      <c r="K16" s="12">
        <v>8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17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17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176</v>
      </c>
      <c r="E18" s="25">
        <f t="shared" si="5"/>
        <v>158</v>
      </c>
      <c r="F18" s="25">
        <f t="shared" si="5"/>
        <v>351</v>
      </c>
      <c r="G18" s="25">
        <f t="shared" si="5"/>
        <v>482</v>
      </c>
      <c r="H18" s="25">
        <f t="shared" si="5"/>
        <v>351</v>
      </c>
      <c r="I18" s="25">
        <f t="shared" si="5"/>
        <v>462</v>
      </c>
      <c r="J18" s="26">
        <f>SUM(C18:I18)</f>
        <v>1980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49.5</v>
      </c>
      <c r="Z18" s="34">
        <f>SUM(Z8:Z17)</f>
        <v>0</v>
      </c>
      <c r="AA18" s="35">
        <f>SUM(AA8:AA17)</f>
        <v>49.5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4.4000000000000004</v>
      </c>
      <c r="E19" s="21">
        <f t="shared" si="7"/>
        <v>3.95</v>
      </c>
      <c r="F19" s="21">
        <f t="shared" si="7"/>
        <v>8.7750000000000004</v>
      </c>
      <c r="G19" s="21">
        <f t="shared" si="7"/>
        <v>12.05</v>
      </c>
      <c r="H19" s="21">
        <f t="shared" si="7"/>
        <v>8.7750000000000004</v>
      </c>
      <c r="I19" s="21">
        <f t="shared" si="7"/>
        <v>11.55</v>
      </c>
      <c r="J19" s="22">
        <f>SUM(J8:J16)</f>
        <v>141.5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1.2375</v>
      </c>
      <c r="Z19" s="40">
        <f>Z18/40</f>
        <v>0</v>
      </c>
      <c r="AA19" s="41">
        <f>AA18/40</f>
        <v>1.2375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54740-B301-4AC2-BE07-AD027904CFB3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1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6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1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1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39</v>
      </c>
      <c r="O11" s="43"/>
      <c r="P11" s="43"/>
      <c r="Q11" s="43"/>
      <c r="R11" s="43"/>
      <c r="S11" s="43"/>
      <c r="T11" s="43"/>
      <c r="U11" s="43"/>
      <c r="V11" s="71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37</v>
      </c>
      <c r="O12" s="43"/>
      <c r="P12" s="43"/>
      <c r="Q12" s="43"/>
      <c r="R12" s="43"/>
      <c r="S12" s="43"/>
      <c r="T12" s="43"/>
      <c r="U12" s="43"/>
      <c r="V12" s="71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16</v>
      </c>
      <c r="O13" s="43"/>
      <c r="P13" s="43"/>
      <c r="Q13" s="43"/>
      <c r="R13" s="43"/>
      <c r="S13" s="43"/>
      <c r="T13" s="43"/>
      <c r="U13" s="43"/>
      <c r="V13" s="71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45</v>
      </c>
      <c r="O14" s="43"/>
      <c r="P14" s="43"/>
      <c r="Q14" s="43"/>
      <c r="R14" s="43"/>
      <c r="S14" s="43"/>
      <c r="T14" s="43"/>
      <c r="U14" s="43"/>
      <c r="V14" s="71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46</v>
      </c>
      <c r="O15" s="43"/>
      <c r="P15" s="43"/>
      <c r="Q15" s="43"/>
      <c r="R15" s="43"/>
      <c r="S15" s="43"/>
      <c r="T15" s="43"/>
      <c r="U15" s="43"/>
      <c r="V15" s="71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48</v>
      </c>
      <c r="O16" s="43"/>
      <c r="P16" s="43"/>
      <c r="Q16" s="43"/>
      <c r="R16" s="43"/>
      <c r="S16" s="43"/>
      <c r="T16" s="43"/>
      <c r="U16" s="43"/>
      <c r="V16" s="71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43"/>
      <c r="D17" s="43"/>
      <c r="E17" s="43"/>
      <c r="F17" s="43"/>
      <c r="G17" s="43"/>
      <c r="H17" s="43"/>
      <c r="I17" s="43"/>
      <c r="J17" s="15"/>
      <c r="K17" s="18"/>
      <c r="M17" s="16"/>
      <c r="N17" s="17"/>
      <c r="O17" s="43"/>
      <c r="P17" s="43"/>
      <c r="Q17" s="43"/>
      <c r="R17" s="43"/>
      <c r="S17" s="43"/>
      <c r="T17" s="43"/>
      <c r="U17" s="43"/>
      <c r="V17" s="71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D980-13F5-4660-9608-17A818D5AFD2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70</v>
      </c>
      <c r="P12" s="11">
        <v>10</v>
      </c>
      <c r="Q12" s="11">
        <v>20</v>
      </c>
      <c r="R12" s="11">
        <v>0</v>
      </c>
      <c r="S12" s="11">
        <v>20</v>
      </c>
      <c r="T12" s="11">
        <v>10</v>
      </c>
      <c r="U12" s="11">
        <v>10</v>
      </c>
      <c r="V12" s="15">
        <f t="shared" si="1"/>
        <v>3.5</v>
      </c>
      <c r="W12" s="12"/>
      <c r="Y12" s="36">
        <f t="shared" si="2"/>
        <v>0</v>
      </c>
      <c r="Z12" s="37">
        <f t="shared" si="3"/>
        <v>3.5</v>
      </c>
      <c r="AA12" s="38">
        <f t="shared" si="4"/>
        <v>-3.5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43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43</v>
      </c>
      <c r="O17" s="11">
        <v>40</v>
      </c>
      <c r="P17" s="11">
        <v>199</v>
      </c>
      <c r="Q17" s="11">
        <v>200</v>
      </c>
      <c r="R17" s="11">
        <v>320</v>
      </c>
      <c r="S17" s="11">
        <v>280</v>
      </c>
      <c r="T17" s="11">
        <v>280</v>
      </c>
      <c r="U17" s="11">
        <v>300</v>
      </c>
      <c r="V17" s="15">
        <f t="shared" si="1"/>
        <v>40.475000000000001</v>
      </c>
      <c r="W17" s="12">
        <v>5</v>
      </c>
      <c r="Y17" s="36">
        <f t="shared" si="2"/>
        <v>0</v>
      </c>
      <c r="Z17" s="37">
        <f t="shared" si="3"/>
        <v>40.475000000000001</v>
      </c>
      <c r="AA17" s="38">
        <f t="shared" si="4"/>
        <v>-40.475000000000001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110</v>
      </c>
      <c r="P18" s="25">
        <f t="shared" si="6"/>
        <v>209</v>
      </c>
      <c r="Q18" s="25">
        <f t="shared" si="6"/>
        <v>220</v>
      </c>
      <c r="R18" s="25">
        <f t="shared" si="6"/>
        <v>320</v>
      </c>
      <c r="S18" s="25">
        <f t="shared" si="6"/>
        <v>300</v>
      </c>
      <c r="T18" s="25">
        <f t="shared" si="6"/>
        <v>290</v>
      </c>
      <c r="U18" s="25">
        <f t="shared" si="6"/>
        <v>310</v>
      </c>
      <c r="V18" s="26">
        <f>SUM(O18:U18)</f>
        <v>1759</v>
      </c>
      <c r="W18" s="28"/>
      <c r="Y18" s="33">
        <f>SUM(Y8:Y17)</f>
        <v>0</v>
      </c>
      <c r="Z18" s="34">
        <f>SUM(Z8:Z17)</f>
        <v>43.975000000000001</v>
      </c>
      <c r="AA18" s="35">
        <f>SUM(AA8:AA17)</f>
        <v>-43.975000000000001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2.75</v>
      </c>
      <c r="P19" s="21">
        <f t="shared" si="8"/>
        <v>5.2249999999999996</v>
      </c>
      <c r="Q19" s="21">
        <f t="shared" si="8"/>
        <v>5.5</v>
      </c>
      <c r="R19" s="21">
        <f t="shared" si="8"/>
        <v>8</v>
      </c>
      <c r="S19" s="21">
        <f t="shared" si="8"/>
        <v>7.5</v>
      </c>
      <c r="T19" s="21">
        <f t="shared" si="8"/>
        <v>7.25</v>
      </c>
      <c r="U19" s="21">
        <f t="shared" si="8"/>
        <v>7.75</v>
      </c>
      <c r="V19" s="22">
        <f t="shared" si="8"/>
        <v>43.975000000000001</v>
      </c>
      <c r="W19" s="23"/>
      <c r="Y19" s="39">
        <f>Y18/40</f>
        <v>0</v>
      </c>
      <c r="Z19" s="40">
        <f>Z18/40</f>
        <v>1.099375</v>
      </c>
      <c r="AA19" s="41">
        <f>AA18/40</f>
        <v>-1.099375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52770-3894-49D3-936F-C905C6D666C9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3</v>
      </c>
      <c r="P12" s="11">
        <v>6</v>
      </c>
      <c r="Q12" s="11">
        <v>12</v>
      </c>
      <c r="R12" s="11">
        <v>0</v>
      </c>
      <c r="S12" s="11">
        <v>22</v>
      </c>
      <c r="T12" s="11">
        <v>10</v>
      </c>
      <c r="U12" s="11">
        <v>0</v>
      </c>
      <c r="V12" s="15">
        <f t="shared" si="1"/>
        <v>1.325</v>
      </c>
      <c r="W12" s="12"/>
      <c r="Y12" s="36">
        <f t="shared" si="2"/>
        <v>0</v>
      </c>
      <c r="Z12" s="37">
        <f t="shared" si="3"/>
        <v>1.325</v>
      </c>
      <c r="AA12" s="38">
        <f t="shared" si="4"/>
        <v>-1.325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43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43</v>
      </c>
      <c r="O17" s="11">
        <f>41+160</f>
        <v>201</v>
      </c>
      <c r="P17" s="11">
        <v>200</v>
      </c>
      <c r="Q17" s="11">
        <v>121</v>
      </c>
      <c r="R17" s="11">
        <v>440</v>
      </c>
      <c r="S17" s="11">
        <v>181</v>
      </c>
      <c r="T17" s="11">
        <v>140</v>
      </c>
      <c r="U17" s="11">
        <v>560</v>
      </c>
      <c r="V17" s="15">
        <f t="shared" si="1"/>
        <v>46.075000000000003</v>
      </c>
      <c r="W17" s="18">
        <v>6</v>
      </c>
      <c r="Y17" s="36">
        <f t="shared" si="2"/>
        <v>0</v>
      </c>
      <c r="Z17" s="37">
        <f t="shared" si="3"/>
        <v>46.075000000000003</v>
      </c>
      <c r="AA17" s="38">
        <f t="shared" si="4"/>
        <v>-46.075000000000003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204</v>
      </c>
      <c r="P18" s="25">
        <f t="shared" si="6"/>
        <v>206</v>
      </c>
      <c r="Q18" s="25">
        <f t="shared" si="6"/>
        <v>133</v>
      </c>
      <c r="R18" s="25">
        <f t="shared" si="6"/>
        <v>440</v>
      </c>
      <c r="S18" s="25">
        <f t="shared" si="6"/>
        <v>203</v>
      </c>
      <c r="T18" s="25">
        <f t="shared" si="6"/>
        <v>150</v>
      </c>
      <c r="U18" s="25">
        <f t="shared" si="6"/>
        <v>560</v>
      </c>
      <c r="V18" s="26">
        <f>SUM(O18:U18)</f>
        <v>1896</v>
      </c>
      <c r="W18" s="28"/>
      <c r="Y18" s="33">
        <f>SUM(Y8:Y17)</f>
        <v>0</v>
      </c>
      <c r="Z18" s="34">
        <f>SUM(Z8:Z17)</f>
        <v>47.400000000000006</v>
      </c>
      <c r="AA18" s="35">
        <f>SUM(AA8:AA17)</f>
        <v>-47.400000000000006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5.0999999999999996</v>
      </c>
      <c r="P19" s="21">
        <f t="shared" si="8"/>
        <v>5.15</v>
      </c>
      <c r="Q19" s="21">
        <f t="shared" si="8"/>
        <v>3.3250000000000002</v>
      </c>
      <c r="R19" s="21">
        <f t="shared" si="8"/>
        <v>11</v>
      </c>
      <c r="S19" s="21">
        <f t="shared" si="8"/>
        <v>5.0750000000000002</v>
      </c>
      <c r="T19" s="21">
        <f t="shared" si="8"/>
        <v>3.75</v>
      </c>
      <c r="U19" s="21">
        <f t="shared" si="8"/>
        <v>14</v>
      </c>
      <c r="V19" s="22">
        <f t="shared" si="8"/>
        <v>47.4</v>
      </c>
      <c r="W19" s="23"/>
      <c r="Y19" s="39">
        <f>Y18/40</f>
        <v>0</v>
      </c>
      <c r="Z19" s="40">
        <f>Z18/40</f>
        <v>1.1850000000000001</v>
      </c>
      <c r="AA19" s="41">
        <f>AA18/40</f>
        <v>-1.1850000000000001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C44-2950-4D8E-9E22-FF4AAE187093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F6109-5400-4343-A102-C2C414DDFBDF}">
  <dimension ref="A1:AA22"/>
  <sheetViews>
    <sheetView topLeftCell="A7"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20" si="2">J9</f>
        <v>0</v>
      </c>
      <c r="Z9" s="37">
        <f t="shared" ref="Z9:Z20" si="3">V9</f>
        <v>0</v>
      </c>
      <c r="AA9" s="38">
        <f t="shared" ref="AA9:AA20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2"/>
      <c r="L17" s="13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>
        <f t="shared" si="3"/>
        <v>0</v>
      </c>
      <c r="AA17" s="38"/>
    </row>
    <row r="18" spans="1:27" x14ac:dyDescent="0.35">
      <c r="A18" s="16"/>
      <c r="B18" s="17"/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/>
      <c r="C19" s="11"/>
      <c r="D19" s="11"/>
      <c r="E19" s="11"/>
      <c r="F19" s="11"/>
      <c r="G19" s="11"/>
      <c r="H19" s="11"/>
      <c r="I19" s="11"/>
      <c r="J19" s="15"/>
      <c r="K19" s="12">
        <v>20</v>
      </c>
      <c r="L19" s="13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/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 t="s">
        <v>43</v>
      </c>
      <c r="O20" s="11"/>
      <c r="P20" s="11"/>
      <c r="Q20" s="11"/>
      <c r="R20" s="11"/>
      <c r="S20" s="11"/>
      <c r="T20" s="11"/>
      <c r="U20" s="11"/>
      <c r="V20" s="15"/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0</v>
      </c>
      <c r="Z21" s="34">
        <f>SUM(Z8:Z20)</f>
        <v>0</v>
      </c>
      <c r="AA21" s="35">
        <f>SUM(AA8:AA20)</f>
        <v>0</v>
      </c>
    </row>
    <row r="22" spans="1:27" ht="15" thickBot="1" x14ac:dyDescent="0.4">
      <c r="A22" s="1"/>
      <c r="B22" s="20" t="s">
        <v>18</v>
      </c>
      <c r="C22" s="21">
        <f t="shared" ref="C22:J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 t="shared" si="7"/>
        <v>0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</v>
      </c>
      <c r="Z22" s="40">
        <f>Z21/40</f>
        <v>0</v>
      </c>
      <c r="AA22" s="41">
        <f>AA21/40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09CC4-0AF4-4E7F-B044-5E07B86C5D3C}">
  <dimension ref="A1:AA22"/>
  <sheetViews>
    <sheetView topLeftCell="A7"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/>
      <c r="W17" s="12">
        <v>2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45</v>
      </c>
      <c r="C18" s="11"/>
      <c r="D18" s="11"/>
      <c r="E18" s="11"/>
      <c r="F18" s="11"/>
      <c r="G18" s="11"/>
      <c r="H18" s="11"/>
      <c r="I18" s="11"/>
      <c r="J18" s="15">
        <v>13</v>
      </c>
      <c r="K18" s="18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8"/>
      <c r="Y18" s="36"/>
      <c r="Z18" s="37"/>
      <c r="AA18" s="38"/>
    </row>
    <row r="19" spans="1:27" x14ac:dyDescent="0.35">
      <c r="A19" s="16"/>
      <c r="B19" s="17" t="s">
        <v>46</v>
      </c>
      <c r="C19" s="11"/>
      <c r="D19" s="11"/>
      <c r="E19" s="11"/>
      <c r="F19" s="11"/>
      <c r="G19" s="11"/>
      <c r="H19" s="11"/>
      <c r="I19" s="11"/>
      <c r="J19" s="15">
        <v>17</v>
      </c>
      <c r="K19" s="18">
        <v>13</v>
      </c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8"/>
      <c r="Y19" s="36"/>
      <c r="Z19" s="37"/>
      <c r="AA19" s="38"/>
    </row>
    <row r="20" spans="1:27" x14ac:dyDescent="0.35">
      <c r="A20" s="16"/>
      <c r="B20" s="17" t="s">
        <v>44</v>
      </c>
      <c r="C20" s="11"/>
      <c r="D20" s="11"/>
      <c r="E20" s="11"/>
      <c r="F20" s="11"/>
      <c r="G20" s="11"/>
      <c r="H20" s="11"/>
      <c r="I20" s="11"/>
      <c r="J20" s="15">
        <v>7</v>
      </c>
      <c r="K20" s="18">
        <v>8</v>
      </c>
      <c r="M20" s="16"/>
      <c r="N20" s="17"/>
      <c r="O20" s="11"/>
      <c r="P20" s="11"/>
      <c r="Q20" s="11"/>
      <c r="R20" s="11"/>
      <c r="S20" s="11"/>
      <c r="T20" s="11"/>
      <c r="U20" s="11"/>
      <c r="V20" s="15"/>
      <c r="W20" s="18"/>
      <c r="Y20" s="36"/>
      <c r="Z20" s="37"/>
      <c r="AA20" s="38"/>
    </row>
    <row r="21" spans="1:27" x14ac:dyDescent="0.35">
      <c r="A21" s="1"/>
      <c r="B21" s="7"/>
      <c r="C21" s="25">
        <f t="shared" ref="C21:I21" si="5">SUM(C8:C17)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SUM(O8:O17)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SUM(Y8:Y17)</f>
        <v>0</v>
      </c>
      <c r="Z21" s="34">
        <f>SUM(Z8:Z17)</f>
        <v>0</v>
      </c>
      <c r="AA21" s="35">
        <f>SUM(AA8:AA17)</f>
        <v>0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>SUM(J8:J20)</f>
        <v>37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</v>
      </c>
      <c r="Z22" s="40">
        <f>Z21/40</f>
        <v>0</v>
      </c>
      <c r="AA22" s="41">
        <f>AA21/40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267E-9AB4-4A14-B158-934CAE66BC78}">
  <dimension ref="A1:AA22"/>
  <sheetViews>
    <sheetView topLeftCell="A4"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20" si="1">SUM(O9:U9)/40</f>
        <v>0</v>
      </c>
      <c r="W9" s="12"/>
      <c r="Y9" s="36">
        <f t="shared" ref="Y9:Y20" si="2">J9</f>
        <v>0</v>
      </c>
      <c r="Z9" s="37">
        <f t="shared" ref="Z9:Z20" si="3">V9</f>
        <v>0</v>
      </c>
      <c r="AA9" s="38">
        <f t="shared" ref="AA9:AA20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2</v>
      </c>
      <c r="Y17" s="36"/>
      <c r="Z17" s="37"/>
      <c r="AA17" s="38"/>
    </row>
    <row r="18" spans="1:27" x14ac:dyDescent="0.35">
      <c r="A18" s="16"/>
      <c r="B18" s="17" t="s">
        <v>45</v>
      </c>
      <c r="C18" s="11"/>
      <c r="D18" s="11"/>
      <c r="E18" s="11"/>
      <c r="F18" s="11"/>
      <c r="G18" s="11"/>
      <c r="H18" s="11"/>
      <c r="I18" s="11"/>
      <c r="J18" s="15">
        <v>20</v>
      </c>
      <c r="K18" s="12"/>
      <c r="L18" s="13"/>
      <c r="M18" s="16"/>
      <c r="N18" s="17" t="s">
        <v>45</v>
      </c>
      <c r="O18" s="11"/>
      <c r="P18" s="11"/>
      <c r="Q18" s="11"/>
      <c r="R18" s="11"/>
      <c r="S18" s="11"/>
      <c r="T18" s="11"/>
      <c r="U18" s="11"/>
      <c r="V18" s="15">
        <f t="shared" si="1"/>
        <v>0</v>
      </c>
      <c r="W18" s="12"/>
      <c r="Y18" s="36"/>
      <c r="Z18" s="37"/>
      <c r="AA18" s="38"/>
    </row>
    <row r="19" spans="1:27" x14ac:dyDescent="0.35">
      <c r="A19" s="16"/>
      <c r="B19" s="17" t="s">
        <v>46</v>
      </c>
      <c r="C19" s="11"/>
      <c r="D19" s="11"/>
      <c r="E19" s="11"/>
      <c r="F19" s="11"/>
      <c r="G19" s="11"/>
      <c r="H19" s="11"/>
      <c r="I19" s="11"/>
      <c r="J19" s="15">
        <v>30</v>
      </c>
      <c r="K19" s="12">
        <v>15</v>
      </c>
      <c r="L19" s="13"/>
      <c r="M19" s="16"/>
      <c r="N19" s="17" t="s">
        <v>46</v>
      </c>
      <c r="O19" s="11"/>
      <c r="P19" s="11"/>
      <c r="Q19" s="11"/>
      <c r="R19" s="11"/>
      <c r="S19" s="11"/>
      <c r="T19" s="11"/>
      <c r="U19" s="11"/>
      <c r="V19" s="15">
        <f t="shared" si="1"/>
        <v>0</v>
      </c>
      <c r="W19" s="12"/>
      <c r="Y19" s="36"/>
      <c r="Z19" s="37"/>
      <c r="AA19" s="38"/>
    </row>
    <row r="20" spans="1:27" x14ac:dyDescent="0.35">
      <c r="A20" s="16"/>
      <c r="B20" s="17" t="s">
        <v>44</v>
      </c>
      <c r="C20" s="11"/>
      <c r="D20" s="11"/>
      <c r="E20" s="11"/>
      <c r="F20" s="11"/>
      <c r="G20" s="11"/>
      <c r="H20" s="11"/>
      <c r="I20" s="11"/>
      <c r="J20" s="15">
        <v>6</v>
      </c>
      <c r="K20" s="18">
        <v>8</v>
      </c>
      <c r="M20" s="16"/>
      <c r="N20" s="17" t="s">
        <v>44</v>
      </c>
      <c r="O20" s="11"/>
      <c r="P20" s="11"/>
      <c r="Q20" s="11"/>
      <c r="R20" s="11"/>
      <c r="S20" s="11"/>
      <c r="T20" s="11"/>
      <c r="U20" s="11"/>
      <c r="V20" s="15">
        <f t="shared" si="1"/>
        <v>0</v>
      </c>
      <c r="W20" s="18"/>
      <c r="Y20" s="36">
        <f t="shared" si="2"/>
        <v>6</v>
      </c>
      <c r="Z20" s="37">
        <f t="shared" si="3"/>
        <v>0</v>
      </c>
      <c r="AA20" s="38">
        <f t="shared" si="4"/>
        <v>6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6</v>
      </c>
      <c r="Z21" s="34">
        <f>SUM(Z8:Z20)</f>
        <v>0</v>
      </c>
      <c r="AA21" s="35">
        <f>SUM(AA8:AA20)</f>
        <v>6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>SUM(J8:J20)</f>
        <v>56</v>
      </c>
      <c r="K22" s="23"/>
      <c r="M22" s="1" t="s">
        <v>47</v>
      </c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0.15</v>
      </c>
      <c r="Z22" s="40">
        <f>Z21/40</f>
        <v>0</v>
      </c>
      <c r="AA22" s="41">
        <f>AA21/40</f>
        <v>0.15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4A1E7-4231-4CD7-B906-1741794EB6A0}">
  <dimension ref="A1:AA23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21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21" si="2">J9</f>
        <v>0</v>
      </c>
      <c r="Z9" s="37">
        <f t="shared" ref="Z9:Z21" si="3">V9</f>
        <v>0</v>
      </c>
      <c r="AA9" s="38">
        <f t="shared" ref="AA9:AA21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50</v>
      </c>
      <c r="P12" s="11">
        <v>0</v>
      </c>
      <c r="Q12" s="11">
        <v>16</v>
      </c>
      <c r="R12" s="11">
        <v>0</v>
      </c>
      <c r="S12" s="11">
        <v>27</v>
      </c>
      <c r="T12" s="11">
        <v>11</v>
      </c>
      <c r="U12" s="11">
        <v>16</v>
      </c>
      <c r="V12" s="15">
        <f t="shared" si="1"/>
        <v>3</v>
      </c>
      <c r="W12" s="12"/>
      <c r="Y12" s="36">
        <f t="shared" si="2"/>
        <v>0</v>
      </c>
      <c r="Z12" s="37">
        <f t="shared" si="3"/>
        <v>3</v>
      </c>
      <c r="AA12" s="38">
        <f t="shared" si="4"/>
        <v>-3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16</v>
      </c>
      <c r="O17" s="11">
        <v>80</v>
      </c>
      <c r="P17" s="11">
        <v>80</v>
      </c>
      <c r="Q17" s="11">
        <v>80</v>
      </c>
      <c r="R17" s="11">
        <v>40</v>
      </c>
      <c r="S17" s="11">
        <v>80</v>
      </c>
      <c r="T17" s="11">
        <v>40</v>
      </c>
      <c r="U17" s="11">
        <v>80</v>
      </c>
      <c r="V17" s="15">
        <f t="shared" si="1"/>
        <v>12</v>
      </c>
      <c r="W17" s="12">
        <v>1</v>
      </c>
      <c r="Y17" s="36"/>
      <c r="Z17" s="37">
        <f t="shared" si="3"/>
        <v>12</v>
      </c>
      <c r="AA17" s="38"/>
    </row>
    <row r="18" spans="1:27" x14ac:dyDescent="0.35">
      <c r="A18" s="16"/>
      <c r="B18" s="17" t="s">
        <v>45</v>
      </c>
      <c r="C18" s="11"/>
      <c r="D18" s="11"/>
      <c r="E18" s="11"/>
      <c r="F18" s="11"/>
      <c r="G18" s="11"/>
      <c r="H18" s="11"/>
      <c r="I18" s="11"/>
      <c r="J18" s="15">
        <v>12</v>
      </c>
      <c r="K18" s="12"/>
      <c r="L18" s="13"/>
      <c r="M18" s="16"/>
      <c r="N18" s="17" t="s">
        <v>45</v>
      </c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 t="s">
        <v>46</v>
      </c>
      <c r="C19" s="11"/>
      <c r="D19" s="11"/>
      <c r="E19" s="11"/>
      <c r="F19" s="11"/>
      <c r="G19" s="11"/>
      <c r="H19" s="11"/>
      <c r="I19" s="11"/>
      <c r="J19" s="15">
        <v>10</v>
      </c>
      <c r="K19" s="12">
        <v>8</v>
      </c>
      <c r="L19" s="13"/>
      <c r="M19" s="16"/>
      <c r="N19" s="17" t="s">
        <v>46</v>
      </c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 t="s">
        <v>44</v>
      </c>
      <c r="C20" s="11"/>
      <c r="D20" s="11"/>
      <c r="E20" s="11"/>
      <c r="F20" s="11"/>
      <c r="G20" s="11"/>
      <c r="H20" s="11"/>
      <c r="I20" s="11"/>
      <c r="J20" s="15">
        <v>5</v>
      </c>
      <c r="K20" s="12">
        <v>7</v>
      </c>
      <c r="L20" s="13"/>
      <c r="M20" s="16"/>
      <c r="N20" s="17" t="s">
        <v>44</v>
      </c>
      <c r="O20" s="11"/>
      <c r="P20" s="11"/>
      <c r="Q20" s="11"/>
      <c r="R20" s="11"/>
      <c r="S20" s="11"/>
      <c r="T20" s="11"/>
      <c r="U20" s="11"/>
      <c r="V20" s="15"/>
      <c r="W20" s="12"/>
      <c r="Y20" s="36"/>
      <c r="Z20" s="37"/>
      <c r="AA20" s="38"/>
    </row>
    <row r="21" spans="1:27" x14ac:dyDescent="0.35">
      <c r="A21" s="16"/>
      <c r="B21" s="17"/>
      <c r="C21" s="11"/>
      <c r="D21" s="11"/>
      <c r="E21" s="11"/>
      <c r="F21" s="11"/>
      <c r="G21" s="11"/>
      <c r="H21" s="11"/>
      <c r="I21" s="11"/>
      <c r="J21" s="15">
        <f t="shared" si="0"/>
        <v>0</v>
      </c>
      <c r="K21" s="18"/>
      <c r="M21" s="16"/>
      <c r="N21" s="17"/>
      <c r="O21" s="11"/>
      <c r="P21" s="11"/>
      <c r="Q21" s="11"/>
      <c r="R21" s="11"/>
      <c r="S21" s="11"/>
      <c r="T21" s="11"/>
      <c r="U21" s="11"/>
      <c r="V21" s="15"/>
      <c r="W21" s="18"/>
      <c r="Y21" s="36">
        <f t="shared" si="2"/>
        <v>0</v>
      </c>
      <c r="Z21" s="37">
        <f t="shared" si="3"/>
        <v>0</v>
      </c>
      <c r="AA21" s="38">
        <f t="shared" si="4"/>
        <v>0</v>
      </c>
    </row>
    <row r="22" spans="1:27" x14ac:dyDescent="0.35">
      <c r="A22" s="1"/>
      <c r="B22" s="7"/>
      <c r="C22" s="25">
        <f t="shared" ref="C22:I22" si="5">SUM(C8:C21)</f>
        <v>0</v>
      </c>
      <c r="D22" s="25">
        <f t="shared" si="5"/>
        <v>0</v>
      </c>
      <c r="E22" s="25">
        <f t="shared" si="5"/>
        <v>0</v>
      </c>
      <c r="F22" s="25">
        <f t="shared" si="5"/>
        <v>0</v>
      </c>
      <c r="G22" s="25">
        <f t="shared" si="5"/>
        <v>0</v>
      </c>
      <c r="H22" s="25">
        <f t="shared" si="5"/>
        <v>0</v>
      </c>
      <c r="I22" s="25">
        <f t="shared" si="5"/>
        <v>0</v>
      </c>
      <c r="J22" s="26">
        <f>SUM(C22:I22)</f>
        <v>0</v>
      </c>
      <c r="K22" s="28"/>
      <c r="M22" s="1"/>
      <c r="N22" s="7"/>
      <c r="O22" s="25">
        <f t="shared" ref="O22:U22" si="6">SUM(O8:O21)</f>
        <v>130</v>
      </c>
      <c r="P22" s="25">
        <f t="shared" si="6"/>
        <v>80</v>
      </c>
      <c r="Q22" s="25">
        <f t="shared" si="6"/>
        <v>96</v>
      </c>
      <c r="R22" s="25">
        <f t="shared" si="6"/>
        <v>40</v>
      </c>
      <c r="S22" s="25">
        <f t="shared" si="6"/>
        <v>107</v>
      </c>
      <c r="T22" s="25">
        <f t="shared" si="6"/>
        <v>51</v>
      </c>
      <c r="U22" s="25">
        <f t="shared" si="6"/>
        <v>96</v>
      </c>
      <c r="V22" s="26">
        <f>SUM(O22:U22)</f>
        <v>600</v>
      </c>
      <c r="W22" s="28"/>
      <c r="Y22" s="33">
        <f>SUM(Y8:Y21)</f>
        <v>0</v>
      </c>
      <c r="Z22" s="34">
        <f>SUM(Z8:Z21)</f>
        <v>15</v>
      </c>
      <c r="AA22" s="35">
        <f>SUM(AA8:AA21)</f>
        <v>-3</v>
      </c>
    </row>
    <row r="23" spans="1:27" ht="15" thickBot="1" x14ac:dyDescent="0.4">
      <c r="A23" s="1"/>
      <c r="B23" s="20" t="s">
        <v>18</v>
      </c>
      <c r="C23" s="21">
        <f t="shared" ref="C23:I23" si="7">C22/40</f>
        <v>0</v>
      </c>
      <c r="D23" s="21">
        <f t="shared" si="7"/>
        <v>0</v>
      </c>
      <c r="E23" s="21">
        <f t="shared" si="7"/>
        <v>0</v>
      </c>
      <c r="F23" s="21">
        <f t="shared" si="7"/>
        <v>0</v>
      </c>
      <c r="G23" s="21">
        <f t="shared" si="7"/>
        <v>0</v>
      </c>
      <c r="H23" s="21">
        <f t="shared" si="7"/>
        <v>0</v>
      </c>
      <c r="I23" s="21">
        <f t="shared" si="7"/>
        <v>0</v>
      </c>
      <c r="J23" s="22">
        <f>SUM(J8:J20)</f>
        <v>27</v>
      </c>
      <c r="K23" s="22">
        <f>SUM(K8:K20)</f>
        <v>15</v>
      </c>
      <c r="M23" s="1"/>
      <c r="N23" s="20" t="s">
        <v>18</v>
      </c>
      <c r="O23" s="21">
        <f t="shared" ref="O23:V23" si="8">O22/40</f>
        <v>3.25</v>
      </c>
      <c r="P23" s="21">
        <f t="shared" si="8"/>
        <v>2</v>
      </c>
      <c r="Q23" s="21">
        <f t="shared" si="8"/>
        <v>2.4</v>
      </c>
      <c r="R23" s="21">
        <f t="shared" si="8"/>
        <v>1</v>
      </c>
      <c r="S23" s="21">
        <f t="shared" si="8"/>
        <v>2.6749999999999998</v>
      </c>
      <c r="T23" s="21">
        <f t="shared" si="8"/>
        <v>1.2749999999999999</v>
      </c>
      <c r="U23" s="21">
        <f t="shared" si="8"/>
        <v>2.4</v>
      </c>
      <c r="V23" s="22">
        <f t="shared" si="8"/>
        <v>15</v>
      </c>
      <c r="W23" s="23"/>
      <c r="Y23" s="39">
        <f>Y22/40</f>
        <v>0</v>
      </c>
      <c r="Z23" s="40">
        <f>Z22/40</f>
        <v>0.375</v>
      </c>
      <c r="AA23" s="41">
        <f>AA22/40</f>
        <v>-7.4999999999999997E-2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DEC90-B3AB-443E-9C2F-99376CA7B8EA}">
  <dimension ref="A1:AA22"/>
  <sheetViews>
    <sheetView topLeftCell="A9"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.26953125" bestFit="1" customWidth="1"/>
    <col min="4" max="4" width="3.90625" bestFit="1" customWidth="1"/>
    <col min="5" max="6" width="5" bestFit="1" customWidth="1"/>
    <col min="7" max="7" width="3.90625" bestFit="1" customWidth="1"/>
    <col min="8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23" width="4.906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77" t="s">
        <v>0</v>
      </c>
      <c r="C1" s="77"/>
      <c r="D1" s="77"/>
      <c r="E1" s="77"/>
      <c r="F1" s="77"/>
      <c r="G1" s="77"/>
      <c r="H1" s="77"/>
      <c r="I1" s="77"/>
      <c r="J1" s="77"/>
      <c r="M1" s="1"/>
      <c r="N1" s="77" t="s">
        <v>1</v>
      </c>
      <c r="O1" s="77"/>
      <c r="P1" s="77"/>
      <c r="Q1" s="77"/>
      <c r="R1" s="77"/>
      <c r="S1" s="77"/>
      <c r="T1" s="77"/>
      <c r="U1" s="77"/>
      <c r="V1" s="77"/>
    </row>
    <row r="2" spans="1:27" x14ac:dyDescent="0.35">
      <c r="A2" s="1"/>
      <c r="B2" s="77"/>
      <c r="C2" s="77"/>
      <c r="D2" s="77"/>
      <c r="E2" s="77"/>
      <c r="F2" s="77"/>
      <c r="G2" s="77"/>
      <c r="H2" s="77"/>
      <c r="I2" s="77"/>
      <c r="J2" s="77"/>
      <c r="M2" s="1"/>
      <c r="N2" s="77"/>
      <c r="O2" s="77"/>
      <c r="P2" s="77"/>
      <c r="Q2" s="77"/>
      <c r="R2" s="77"/>
      <c r="S2" s="77"/>
      <c r="T2" s="77"/>
      <c r="U2" s="77"/>
      <c r="V2" s="77"/>
      <c r="Y2" s="81" t="s">
        <v>19</v>
      </c>
      <c r="Z2" s="81"/>
      <c r="AA2" s="81"/>
    </row>
    <row r="3" spans="1:27" ht="14.5" customHeight="1" thickBot="1" x14ac:dyDescent="0.4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/>
      <c r="Z3" s="81"/>
      <c r="AA3" s="81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29" t="s">
        <v>0</v>
      </c>
      <c r="Z4" s="4" t="s">
        <v>20</v>
      </c>
      <c r="AA4" s="5" t="s">
        <v>21</v>
      </c>
    </row>
    <row r="5" spans="1:27" x14ac:dyDescent="0.35">
      <c r="A5" s="1"/>
      <c r="B5" s="2"/>
      <c r="C5" s="3" t="s">
        <v>2</v>
      </c>
      <c r="D5" s="79" t="s">
        <v>3</v>
      </c>
      <c r="E5" s="79"/>
      <c r="F5" s="79"/>
      <c r="G5" s="79" t="s">
        <v>4</v>
      </c>
      <c r="H5" s="79"/>
      <c r="I5" s="79"/>
      <c r="J5" s="4"/>
      <c r="K5" s="5"/>
      <c r="M5" s="1"/>
      <c r="N5" s="2"/>
      <c r="O5" s="3" t="s">
        <v>2</v>
      </c>
      <c r="P5" s="79" t="s">
        <v>3</v>
      </c>
      <c r="Q5" s="79"/>
      <c r="R5" s="79"/>
      <c r="S5" s="79" t="s">
        <v>4</v>
      </c>
      <c r="T5" s="79"/>
      <c r="U5" s="79"/>
      <c r="V5" s="4"/>
      <c r="W5" s="5"/>
      <c r="Y5" s="30"/>
      <c r="Z5" s="15"/>
      <c r="AA5" s="18"/>
    </row>
    <row r="6" spans="1:27" x14ac:dyDescent="0.35">
      <c r="A6" s="6"/>
      <c r="B6" s="7" t="s">
        <v>5</v>
      </c>
      <c r="C6" s="8" t="s">
        <v>6</v>
      </c>
      <c r="D6" s="9" t="s">
        <v>7</v>
      </c>
      <c r="E6" s="9" t="s">
        <v>8</v>
      </c>
      <c r="F6" s="9" t="s">
        <v>9</v>
      </c>
      <c r="G6" s="10" t="s">
        <v>7</v>
      </c>
      <c r="H6" s="10" t="s">
        <v>10</v>
      </c>
      <c r="I6" s="10" t="s">
        <v>9</v>
      </c>
      <c r="J6" s="11" t="s">
        <v>11</v>
      </c>
      <c r="K6" s="12" t="s">
        <v>12</v>
      </c>
      <c r="L6" s="13"/>
      <c r="M6" s="6"/>
      <c r="N6" s="7" t="s">
        <v>5</v>
      </c>
      <c r="O6" s="8" t="s">
        <v>6</v>
      </c>
      <c r="P6" s="9" t="s">
        <v>7</v>
      </c>
      <c r="Q6" s="9" t="s">
        <v>8</v>
      </c>
      <c r="R6" s="9" t="s">
        <v>9</v>
      </c>
      <c r="S6" s="10" t="s">
        <v>7</v>
      </c>
      <c r="T6" s="10" t="s">
        <v>10</v>
      </c>
      <c r="U6" s="10" t="s">
        <v>9</v>
      </c>
      <c r="V6" s="11" t="s">
        <v>11</v>
      </c>
      <c r="W6" s="12" t="s">
        <v>12</v>
      </c>
      <c r="Y6" s="30"/>
      <c r="Z6" s="15"/>
      <c r="AA6" s="18"/>
    </row>
    <row r="7" spans="1:27" x14ac:dyDescent="0.35">
      <c r="A7" s="14"/>
      <c r="B7" s="7" t="s">
        <v>40</v>
      </c>
      <c r="C7" s="11">
        <v>693</v>
      </c>
      <c r="D7" s="11">
        <v>70</v>
      </c>
      <c r="E7" s="11">
        <v>70</v>
      </c>
      <c r="F7" s="11">
        <v>80</v>
      </c>
      <c r="G7" s="11">
        <v>103</v>
      </c>
      <c r="H7" s="11">
        <v>98</v>
      </c>
      <c r="I7" s="11">
        <v>283</v>
      </c>
      <c r="J7" s="15">
        <f>SUM(C7:I7)/40</f>
        <v>34.924999999999997</v>
      </c>
      <c r="K7" s="12">
        <v>18</v>
      </c>
      <c r="L7" s="13"/>
      <c r="M7" s="14"/>
      <c r="N7" s="7" t="s">
        <v>40</v>
      </c>
      <c r="O7" s="11"/>
      <c r="P7" s="11"/>
      <c r="Q7" s="11"/>
      <c r="R7" s="11"/>
      <c r="S7" s="11"/>
      <c r="T7" s="11"/>
      <c r="U7" s="11"/>
      <c r="V7" s="15">
        <f>SUM(O7:U7)/40</f>
        <v>0</v>
      </c>
      <c r="W7" s="12"/>
      <c r="Y7" s="36">
        <f>J7</f>
        <v>34.924999999999997</v>
      </c>
      <c r="Z7" s="37">
        <f>V7</f>
        <v>0</v>
      </c>
      <c r="AA7" s="38">
        <f>Y7-Z7</f>
        <v>34.924999999999997</v>
      </c>
    </row>
    <row r="8" spans="1:27" x14ac:dyDescent="0.35">
      <c r="A8" s="14"/>
      <c r="B8" s="7" t="s">
        <v>41</v>
      </c>
      <c r="C8" s="11"/>
      <c r="D8" s="11"/>
      <c r="E8" s="11"/>
      <c r="F8" s="11"/>
      <c r="G8" s="11"/>
      <c r="H8" s="11"/>
      <c r="I8" s="11"/>
      <c r="J8" s="15">
        <f t="shared" ref="J8:J20" si="0">SUM(C8:I8)/40</f>
        <v>0</v>
      </c>
      <c r="K8" s="12"/>
      <c r="L8" s="13"/>
      <c r="M8" s="14"/>
      <c r="N8" s="7" t="s">
        <v>41</v>
      </c>
      <c r="O8" s="11"/>
      <c r="P8" s="11"/>
      <c r="Q8" s="11"/>
      <c r="R8" s="11"/>
      <c r="S8" s="11"/>
      <c r="T8" s="11"/>
      <c r="U8" s="11"/>
      <c r="V8" s="15">
        <f t="shared" ref="V8:V16" si="1">SUM(O8:U8)/40</f>
        <v>0</v>
      </c>
      <c r="W8" s="12"/>
      <c r="Y8" s="36">
        <f t="shared" ref="Y8:Y20" si="2">J8</f>
        <v>0</v>
      </c>
      <c r="Z8" s="37">
        <f t="shared" ref="Z8:Z20" si="3">V8</f>
        <v>0</v>
      </c>
      <c r="AA8" s="38">
        <f t="shared" ref="AA8:AA20" si="4">Y8-Z8</f>
        <v>0</v>
      </c>
    </row>
    <row r="9" spans="1:27" x14ac:dyDescent="0.35">
      <c r="A9" s="14"/>
      <c r="B9" s="7" t="s">
        <v>42</v>
      </c>
      <c r="C9" s="11"/>
      <c r="D9" s="11"/>
      <c r="E9" s="11"/>
      <c r="F9" s="11"/>
      <c r="G9" s="11"/>
      <c r="H9" s="11"/>
      <c r="I9" s="11"/>
      <c r="J9" s="15">
        <f t="shared" si="0"/>
        <v>0</v>
      </c>
      <c r="K9" s="12"/>
      <c r="L9" s="13"/>
      <c r="M9" s="14"/>
      <c r="N9" s="7" t="s">
        <v>42</v>
      </c>
      <c r="O9" s="11"/>
      <c r="P9" s="11"/>
      <c r="Q9" s="11"/>
      <c r="R9" s="11"/>
      <c r="S9" s="11"/>
      <c r="T9" s="11"/>
      <c r="U9" s="11"/>
      <c r="V9" s="15">
        <f t="shared" si="1"/>
        <v>0</v>
      </c>
      <c r="W9" s="12"/>
      <c r="Y9" s="36">
        <f t="shared" si="2"/>
        <v>0</v>
      </c>
      <c r="Z9" s="37">
        <f t="shared" si="3"/>
        <v>0</v>
      </c>
      <c r="AA9" s="38">
        <f t="shared" si="4"/>
        <v>0</v>
      </c>
    </row>
    <row r="10" spans="1:27" x14ac:dyDescent="0.35">
      <c r="A10" s="16"/>
      <c r="B10" s="17" t="s">
        <v>22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6"/>
      <c r="N10" s="17" t="s">
        <v>22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/>
      <c r="Z12" s="37"/>
      <c r="AA12" s="38"/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45</v>
      </c>
      <c r="C17" s="11"/>
      <c r="D17" s="11"/>
      <c r="E17" s="11"/>
      <c r="F17" s="11"/>
      <c r="G17" s="11"/>
      <c r="H17" s="11"/>
      <c r="I17" s="11"/>
      <c r="J17" s="15">
        <v>14</v>
      </c>
      <c r="K17" s="12"/>
      <c r="L17" s="13"/>
      <c r="M17" s="16"/>
      <c r="N17" s="17" t="s">
        <v>45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/>
      <c r="AA17" s="38"/>
    </row>
    <row r="18" spans="1:27" x14ac:dyDescent="0.35">
      <c r="A18" s="16"/>
      <c r="B18" s="17" t="s">
        <v>46</v>
      </c>
      <c r="C18" s="11"/>
      <c r="D18" s="11"/>
      <c r="E18" s="11"/>
      <c r="F18" s="11"/>
      <c r="G18" s="11"/>
      <c r="H18" s="11"/>
      <c r="I18" s="11"/>
      <c r="J18" s="15">
        <v>8</v>
      </c>
      <c r="K18" s="12"/>
      <c r="L18" s="13"/>
      <c r="M18" s="16"/>
      <c r="N18" s="17" t="s">
        <v>46</v>
      </c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 t="s">
        <v>44</v>
      </c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 t="s">
        <v>44</v>
      </c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/>
      <c r="C20" s="11"/>
      <c r="D20" s="11"/>
      <c r="E20" s="11"/>
      <c r="F20" s="11"/>
      <c r="G20" s="11"/>
      <c r="H20" s="11"/>
      <c r="I20" s="11"/>
      <c r="J20" s="15">
        <f t="shared" si="0"/>
        <v>0</v>
      </c>
      <c r="K20" s="18"/>
      <c r="M20" s="16"/>
      <c r="N20" s="17"/>
      <c r="O20" s="11"/>
      <c r="P20" s="11"/>
      <c r="Q20" s="11"/>
      <c r="R20" s="11"/>
      <c r="S20" s="11"/>
      <c r="T20" s="11"/>
      <c r="U20" s="11"/>
      <c r="V20" s="15"/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SUM(C7:C20)</f>
        <v>693</v>
      </c>
      <c r="D21" s="25">
        <f t="shared" si="5"/>
        <v>70</v>
      </c>
      <c r="E21" s="25">
        <f t="shared" si="5"/>
        <v>70</v>
      </c>
      <c r="F21" s="25">
        <f t="shared" si="5"/>
        <v>80</v>
      </c>
      <c r="G21" s="25">
        <f t="shared" si="5"/>
        <v>103</v>
      </c>
      <c r="H21" s="25">
        <f t="shared" si="5"/>
        <v>98</v>
      </c>
      <c r="I21" s="25">
        <f t="shared" si="5"/>
        <v>283</v>
      </c>
      <c r="J21" s="26">
        <f>SUM(C21:I21)</f>
        <v>1397</v>
      </c>
      <c r="K21" s="28"/>
      <c r="M21" s="1"/>
      <c r="N21" s="7"/>
      <c r="O21" s="25">
        <f t="shared" ref="O21:U21" si="6">SUM(O7:O20)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SUM(Y7:Y20)</f>
        <v>34.924999999999997</v>
      </c>
      <c r="Z21" s="34">
        <f>SUM(Z7:Z20)</f>
        <v>0</v>
      </c>
      <c r="AA21" s="35">
        <f>SUM(AA7:AA20)</f>
        <v>34.924999999999997</v>
      </c>
    </row>
    <row r="22" spans="1:27" ht="15" thickBot="1" x14ac:dyDescent="0.4">
      <c r="A22" s="1"/>
      <c r="B22" s="20" t="s">
        <v>18</v>
      </c>
      <c r="C22" s="21">
        <f t="shared" ref="C22:I22" si="7">C21/40</f>
        <v>17.324999999999999</v>
      </c>
      <c r="D22" s="21">
        <f t="shared" si="7"/>
        <v>1.75</v>
      </c>
      <c r="E22" s="21">
        <f t="shared" si="7"/>
        <v>1.75</v>
      </c>
      <c r="F22" s="21">
        <f t="shared" si="7"/>
        <v>2</v>
      </c>
      <c r="G22" s="21">
        <f t="shared" si="7"/>
        <v>2.5750000000000002</v>
      </c>
      <c r="H22" s="21">
        <f t="shared" si="7"/>
        <v>2.4500000000000002</v>
      </c>
      <c r="I22" s="21">
        <f t="shared" si="7"/>
        <v>7.0750000000000002</v>
      </c>
      <c r="J22" s="22">
        <f>SUM(J7:J18)</f>
        <v>56.924999999999997</v>
      </c>
      <c r="K22" s="22">
        <f>SUM(K7:K19)</f>
        <v>18</v>
      </c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0.87312499999999993</v>
      </c>
      <c r="Z22" s="40">
        <f>Z21/40</f>
        <v>0</v>
      </c>
      <c r="AA22" s="41">
        <f>AA21/40</f>
        <v>0.87312499999999993</v>
      </c>
    </row>
  </sheetData>
  <mergeCells count="7">
    <mergeCell ref="B1:J4"/>
    <mergeCell ref="N1:V4"/>
    <mergeCell ref="Y2:AA3"/>
    <mergeCell ref="D5:F5"/>
    <mergeCell ref="G5:I5"/>
    <mergeCell ref="P5:R5"/>
    <mergeCell ref="S5:U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2026-08-01T08:40:15Z</dcterms:created>
  <dcterms:modified xsi:type="dcterms:W3CDTF">2026-09-21T12:35:00Z</dcterms:modified>
</cp:coreProperties>
</file>