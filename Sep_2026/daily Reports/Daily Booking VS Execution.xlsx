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BE3685FB-2D2A-4527-986C-2DE440732FC9}" xr6:coauthVersionLast="47" xr6:coauthVersionMax="47" xr10:uidLastSave="{00000000-0000-0000-0000-000000000000}"/>
  <bookViews>
    <workbookView xWindow="-110" yWindow="-110" windowWidth="19420" windowHeight="10420" tabRatio="860" activeTab="3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9" i="3" l="1"/>
  <c r="V10" i="2" l="1"/>
  <c r="V11" i="2"/>
  <c r="V12" i="2"/>
  <c r="V13" i="2"/>
  <c r="V14" i="2"/>
  <c r="V15" i="2"/>
  <c r="V16" i="2"/>
  <c r="V10" i="3"/>
  <c r="V11" i="3"/>
  <c r="V12" i="3"/>
  <c r="V13" i="3"/>
  <c r="V14" i="3"/>
  <c r="V15" i="3"/>
  <c r="V16" i="3"/>
  <c r="V10" i="4"/>
  <c r="V11" i="4"/>
  <c r="V12" i="4"/>
  <c r="V13" i="4"/>
  <c r="V14" i="4"/>
  <c r="V15" i="4"/>
  <c r="V16" i="4"/>
  <c r="V10" i="5"/>
  <c r="V11" i="5"/>
  <c r="V12" i="5"/>
  <c r="V13" i="5"/>
  <c r="V14" i="5"/>
  <c r="V15" i="5"/>
  <c r="V16" i="5"/>
  <c r="V10" i="6"/>
  <c r="V11" i="6"/>
  <c r="V12" i="6"/>
  <c r="V13" i="6"/>
  <c r="V14" i="6"/>
  <c r="V15" i="6"/>
  <c r="V16" i="6"/>
  <c r="V10" i="7"/>
  <c r="V11" i="7"/>
  <c r="V12" i="7"/>
  <c r="V13" i="7"/>
  <c r="V14" i="7"/>
  <c r="V15" i="7"/>
  <c r="V16" i="7"/>
  <c r="V10" i="8"/>
  <c r="V11" i="8"/>
  <c r="V12" i="8"/>
  <c r="V13" i="8"/>
  <c r="V14" i="8"/>
  <c r="V15" i="8"/>
  <c r="V16" i="8"/>
  <c r="V10" i="9"/>
  <c r="V11" i="9"/>
  <c r="V12" i="9"/>
  <c r="V13" i="9"/>
  <c r="V14" i="9"/>
  <c r="V15" i="9"/>
  <c r="V16" i="9"/>
  <c r="V10" i="10"/>
  <c r="V11" i="10"/>
  <c r="V12" i="10"/>
  <c r="V13" i="10"/>
  <c r="V14" i="10"/>
  <c r="V15" i="10"/>
  <c r="V16" i="10"/>
  <c r="V10" i="11"/>
  <c r="V11" i="11"/>
  <c r="V12" i="11"/>
  <c r="V13" i="11"/>
  <c r="V14" i="11"/>
  <c r="V15" i="11"/>
  <c r="V16" i="11"/>
  <c r="V10" i="12"/>
  <c r="V11" i="12"/>
  <c r="V12" i="12"/>
  <c r="V13" i="12"/>
  <c r="V14" i="12"/>
  <c r="V15" i="12"/>
  <c r="V16" i="12"/>
  <c r="V10" i="13"/>
  <c r="V11" i="13"/>
  <c r="V12" i="13"/>
  <c r="V13" i="13"/>
  <c r="V14" i="13"/>
  <c r="V15" i="13"/>
  <c r="V16" i="13"/>
  <c r="V10" i="14"/>
  <c r="V11" i="14"/>
  <c r="V12" i="14"/>
  <c r="V13" i="14"/>
  <c r="V14" i="14"/>
  <c r="V15" i="14"/>
  <c r="V16" i="14"/>
  <c r="V10" i="15"/>
  <c r="V11" i="15"/>
  <c r="V12" i="15"/>
  <c r="V13" i="15"/>
  <c r="V14" i="15"/>
  <c r="V15" i="15"/>
  <c r="V16" i="15"/>
  <c r="V10" i="16"/>
  <c r="V11" i="16"/>
  <c r="V12" i="16"/>
  <c r="V13" i="16"/>
  <c r="V14" i="16"/>
  <c r="V15" i="16"/>
  <c r="V16" i="16"/>
  <c r="V10" i="17"/>
  <c r="V11" i="17"/>
  <c r="V12" i="17"/>
  <c r="V13" i="17"/>
  <c r="V14" i="17"/>
  <c r="V15" i="17"/>
  <c r="V16" i="17"/>
  <c r="V10" i="18"/>
  <c r="V11" i="18"/>
  <c r="V12" i="18"/>
  <c r="V13" i="18"/>
  <c r="V14" i="18"/>
  <c r="V15" i="18"/>
  <c r="V16" i="18"/>
  <c r="V10" i="19"/>
  <c r="V11" i="19"/>
  <c r="V12" i="19"/>
  <c r="V13" i="19"/>
  <c r="V14" i="19"/>
  <c r="V15" i="19"/>
  <c r="V16" i="19"/>
  <c r="V10" i="20"/>
  <c r="V11" i="20"/>
  <c r="V12" i="20"/>
  <c r="V13" i="20"/>
  <c r="V14" i="20"/>
  <c r="V15" i="20"/>
  <c r="V16" i="20"/>
  <c r="V10" i="21"/>
  <c r="V11" i="21"/>
  <c r="V12" i="21"/>
  <c r="V13" i="21"/>
  <c r="V14" i="21"/>
  <c r="V15" i="21"/>
  <c r="V16" i="21"/>
  <c r="V10" i="22"/>
  <c r="V11" i="22"/>
  <c r="V12" i="22"/>
  <c r="V13" i="22"/>
  <c r="V14" i="22"/>
  <c r="V15" i="22"/>
  <c r="V16" i="22"/>
  <c r="V10" i="23"/>
  <c r="V11" i="23"/>
  <c r="V12" i="23"/>
  <c r="V13" i="23"/>
  <c r="V14" i="23"/>
  <c r="V15" i="23"/>
  <c r="V16" i="23"/>
  <c r="V10" i="24"/>
  <c r="V11" i="24"/>
  <c r="V12" i="24"/>
  <c r="V13" i="24"/>
  <c r="V14" i="24"/>
  <c r="V15" i="24"/>
  <c r="V16" i="24"/>
  <c r="V10" i="25"/>
  <c r="V11" i="25"/>
  <c r="V12" i="25"/>
  <c r="V13" i="25"/>
  <c r="V14" i="25"/>
  <c r="V15" i="25"/>
  <c r="V16" i="25"/>
  <c r="V10" i="26"/>
  <c r="V11" i="26"/>
  <c r="V12" i="26"/>
  <c r="V13" i="26"/>
  <c r="V14" i="26"/>
  <c r="V15" i="26"/>
  <c r="V16" i="26"/>
  <c r="V10" i="27"/>
  <c r="V11" i="27"/>
  <c r="V12" i="27"/>
  <c r="V13" i="27"/>
  <c r="V14" i="27"/>
  <c r="V15" i="27"/>
  <c r="V16" i="27"/>
  <c r="V10" i="28"/>
  <c r="V11" i="28"/>
  <c r="V12" i="28"/>
  <c r="V13" i="28"/>
  <c r="V14" i="28"/>
  <c r="V15" i="28"/>
  <c r="V16" i="28"/>
  <c r="V10" i="29"/>
  <c r="V11" i="29"/>
  <c r="V12" i="29"/>
  <c r="V13" i="29"/>
  <c r="V14" i="29"/>
  <c r="V15" i="29"/>
  <c r="V16" i="29"/>
  <c r="V10" i="30"/>
  <c r="V11" i="30"/>
  <c r="V12" i="30"/>
  <c r="V13" i="30"/>
  <c r="V14" i="30"/>
  <c r="V15" i="30"/>
  <c r="V16" i="30"/>
  <c r="V10" i="31"/>
  <c r="V11" i="31"/>
  <c r="V12" i="31"/>
  <c r="V13" i="31"/>
  <c r="V14" i="31"/>
  <c r="V15" i="31"/>
  <c r="V16" i="31"/>
  <c r="V10" i="1"/>
  <c r="V11" i="1"/>
  <c r="V12" i="1"/>
  <c r="V13" i="1"/>
  <c r="V14" i="1"/>
  <c r="V15" i="1"/>
  <c r="V16" i="1"/>
  <c r="J12" i="2"/>
  <c r="J13" i="2"/>
  <c r="J14" i="2"/>
  <c r="J15" i="2"/>
  <c r="J16" i="2"/>
  <c r="J12" i="3"/>
  <c r="J13" i="3"/>
  <c r="J14" i="3"/>
  <c r="J15" i="3"/>
  <c r="J16" i="3"/>
  <c r="J12" i="4"/>
  <c r="J13" i="4"/>
  <c r="J14" i="4"/>
  <c r="J15" i="4"/>
  <c r="J16" i="4"/>
  <c r="J12" i="5"/>
  <c r="J13" i="5"/>
  <c r="J14" i="5"/>
  <c r="J15" i="5"/>
  <c r="J16" i="5"/>
  <c r="J12" i="6"/>
  <c r="J13" i="6"/>
  <c r="J14" i="6"/>
  <c r="J15" i="6"/>
  <c r="J16" i="6"/>
  <c r="J12" i="7"/>
  <c r="J13" i="7"/>
  <c r="J14" i="7"/>
  <c r="J15" i="7"/>
  <c r="J16" i="7"/>
  <c r="J12" i="8"/>
  <c r="J13" i="8"/>
  <c r="J14" i="8"/>
  <c r="J15" i="8"/>
  <c r="J16" i="8"/>
  <c r="J12" i="9"/>
  <c r="J13" i="9"/>
  <c r="J14" i="9"/>
  <c r="J15" i="9"/>
  <c r="J16" i="9"/>
  <c r="J12" i="10"/>
  <c r="J13" i="10"/>
  <c r="J14" i="10"/>
  <c r="J15" i="10"/>
  <c r="J16" i="10"/>
  <c r="J12" i="11"/>
  <c r="J13" i="11"/>
  <c r="J14" i="11"/>
  <c r="J15" i="11"/>
  <c r="J16" i="11"/>
  <c r="J12" i="12"/>
  <c r="J13" i="12"/>
  <c r="J14" i="12"/>
  <c r="J15" i="12"/>
  <c r="J16" i="12"/>
  <c r="J12" i="13"/>
  <c r="J13" i="13"/>
  <c r="J14" i="13"/>
  <c r="J15" i="13"/>
  <c r="J16" i="13"/>
  <c r="J12" i="14"/>
  <c r="J13" i="14"/>
  <c r="J14" i="14"/>
  <c r="J15" i="14"/>
  <c r="J16" i="14"/>
  <c r="J12" i="15"/>
  <c r="J13" i="15"/>
  <c r="J14" i="15"/>
  <c r="J15" i="15"/>
  <c r="J16" i="15"/>
  <c r="J12" i="16"/>
  <c r="J13" i="16"/>
  <c r="J14" i="16"/>
  <c r="J15" i="16"/>
  <c r="J16" i="16"/>
  <c r="J12" i="17"/>
  <c r="J13" i="17"/>
  <c r="J14" i="17"/>
  <c r="J15" i="17"/>
  <c r="J16" i="17"/>
  <c r="J12" i="18"/>
  <c r="J13" i="18"/>
  <c r="J14" i="18"/>
  <c r="J15" i="18"/>
  <c r="J16" i="18"/>
  <c r="J12" i="19"/>
  <c r="J13" i="19"/>
  <c r="J14" i="19"/>
  <c r="J15" i="19"/>
  <c r="J16" i="19"/>
  <c r="J12" i="20"/>
  <c r="J13" i="20"/>
  <c r="J14" i="20"/>
  <c r="J15" i="20"/>
  <c r="J16" i="20"/>
  <c r="J12" i="21"/>
  <c r="J13" i="21"/>
  <c r="J14" i="21"/>
  <c r="J15" i="21"/>
  <c r="J16" i="21"/>
  <c r="J12" i="22"/>
  <c r="J13" i="22"/>
  <c r="J14" i="22"/>
  <c r="J15" i="22"/>
  <c r="J16" i="22"/>
  <c r="J12" i="23"/>
  <c r="J13" i="23"/>
  <c r="J14" i="23"/>
  <c r="J15" i="23"/>
  <c r="J16" i="23"/>
  <c r="J12" i="24"/>
  <c r="J13" i="24"/>
  <c r="J14" i="24"/>
  <c r="J15" i="24"/>
  <c r="J16" i="24"/>
  <c r="J12" i="25"/>
  <c r="J13" i="25"/>
  <c r="J14" i="25"/>
  <c r="J15" i="25"/>
  <c r="J16" i="25"/>
  <c r="J12" i="26"/>
  <c r="J13" i="26"/>
  <c r="J14" i="26"/>
  <c r="J15" i="26"/>
  <c r="J16" i="26"/>
  <c r="J12" i="27"/>
  <c r="J13" i="27"/>
  <c r="J14" i="27"/>
  <c r="J15" i="27"/>
  <c r="J16" i="27"/>
  <c r="J12" i="28"/>
  <c r="J13" i="28"/>
  <c r="J14" i="28"/>
  <c r="J15" i="28"/>
  <c r="J16" i="28"/>
  <c r="J12" i="29"/>
  <c r="J13" i="29"/>
  <c r="J14" i="29"/>
  <c r="J15" i="29"/>
  <c r="J16" i="29"/>
  <c r="J12" i="30"/>
  <c r="J13" i="30"/>
  <c r="J14" i="30"/>
  <c r="J15" i="30"/>
  <c r="J16" i="30"/>
  <c r="J12" i="31"/>
  <c r="J13" i="31"/>
  <c r="J14" i="31"/>
  <c r="J15" i="31"/>
  <c r="J16" i="31"/>
  <c r="J12" i="1"/>
  <c r="J13" i="1"/>
  <c r="J16" i="1"/>
  <c r="V17" i="30"/>
  <c r="Z17" i="30" s="1"/>
  <c r="K22" i="31" l="1"/>
  <c r="U21" i="31"/>
  <c r="U22" i="31" s="1"/>
  <c r="T21" i="31"/>
  <c r="T22" i="31" s="1"/>
  <c r="S21" i="31"/>
  <c r="S22" i="31" s="1"/>
  <c r="R21" i="31"/>
  <c r="R22" i="31" s="1"/>
  <c r="Q21" i="31"/>
  <c r="Q22" i="31" s="1"/>
  <c r="P21" i="31"/>
  <c r="P22" i="31" s="1"/>
  <c r="O21" i="31"/>
  <c r="O22" i="31" s="1"/>
  <c r="I21" i="31"/>
  <c r="I22" i="31" s="1"/>
  <c r="H21" i="31"/>
  <c r="H22" i="31" s="1"/>
  <c r="G21" i="31"/>
  <c r="G22" i="31" s="1"/>
  <c r="F21" i="31"/>
  <c r="F22" i="31" s="1"/>
  <c r="E21" i="31"/>
  <c r="E22" i="31" s="1"/>
  <c r="D21" i="31"/>
  <c r="D22" i="31" s="1"/>
  <c r="C21" i="31"/>
  <c r="C22" i="31" s="1"/>
  <c r="Z20" i="31"/>
  <c r="J20" i="31"/>
  <c r="Y20" i="31" s="1"/>
  <c r="Z11" i="31"/>
  <c r="J11" i="31"/>
  <c r="Y11" i="31" s="1"/>
  <c r="Z10" i="31"/>
  <c r="J10" i="31"/>
  <c r="Y10" i="31" s="1"/>
  <c r="V9" i="31"/>
  <c r="Z9" i="31" s="1"/>
  <c r="J9" i="31"/>
  <c r="Y9" i="31" s="1"/>
  <c r="V8" i="31"/>
  <c r="Z8" i="31" s="1"/>
  <c r="J8" i="31"/>
  <c r="V7" i="31"/>
  <c r="Z7" i="31" s="1"/>
  <c r="J7" i="31"/>
  <c r="K23" i="30"/>
  <c r="J17" i="30"/>
  <c r="J21" i="30"/>
  <c r="AA20" i="31" l="1"/>
  <c r="AA11" i="31"/>
  <c r="AA9" i="31"/>
  <c r="Y8" i="31"/>
  <c r="AA8" i="31" s="1"/>
  <c r="J22" i="31"/>
  <c r="AA10" i="31"/>
  <c r="Z21" i="31"/>
  <c r="Z22" i="31" s="1"/>
  <c r="J21" i="31"/>
  <c r="V21" i="31"/>
  <c r="V22" i="31" s="1"/>
  <c r="Y7" i="31"/>
  <c r="AA7" i="31" l="1"/>
  <c r="AA21" i="31" s="1"/>
  <c r="AA22" i="31" s="1"/>
  <c r="Y21" i="31"/>
  <c r="Y22" i="31" s="1"/>
  <c r="V17" i="29" l="1"/>
  <c r="V18" i="29"/>
  <c r="V19" i="29"/>
  <c r="V20" i="29"/>
  <c r="J17" i="29"/>
  <c r="V17" i="25"/>
  <c r="O17" i="25"/>
  <c r="Z17" i="27" l="1"/>
  <c r="J17" i="28" l="1"/>
  <c r="V17" i="24"/>
  <c r="J17" i="22" l="1"/>
  <c r="Y30" i="20"/>
  <c r="X27" i="20"/>
  <c r="W31" i="20" s="1"/>
  <c r="P19" i="20"/>
  <c r="Q19" i="20"/>
  <c r="R19" i="20"/>
  <c r="S19" i="20"/>
  <c r="T19" i="20"/>
  <c r="U19" i="20"/>
  <c r="O19" i="20"/>
  <c r="V18" i="20"/>
  <c r="I19" i="20" l="1"/>
  <c r="H19" i="20"/>
  <c r="G19" i="20"/>
  <c r="C19" i="20"/>
  <c r="F19" i="20"/>
  <c r="E19" i="20"/>
  <c r="D19" i="20"/>
  <c r="V17" i="20" l="1"/>
  <c r="Z18" i="20"/>
  <c r="J17" i="20"/>
  <c r="J18" i="20"/>
  <c r="Y18" i="20" s="1"/>
  <c r="J27" i="19"/>
  <c r="AA18" i="20" l="1"/>
  <c r="V17" i="17" l="1"/>
  <c r="J17" i="17"/>
  <c r="U12" i="12" l="1"/>
  <c r="T12" i="12"/>
  <c r="S12" i="12"/>
  <c r="V17" i="13"/>
  <c r="J17" i="15" l="1"/>
  <c r="J17" i="13" l="1"/>
  <c r="V17" i="12"/>
  <c r="V17" i="11"/>
  <c r="J17" i="12"/>
  <c r="U12" i="7"/>
  <c r="T12" i="7"/>
  <c r="S12" i="7"/>
  <c r="P12" i="7"/>
  <c r="J17" i="11" l="1"/>
  <c r="V17" i="6" l="1"/>
  <c r="J9" i="4" l="1"/>
  <c r="AA17" i="9" l="1"/>
  <c r="AA17" i="18"/>
  <c r="AA17" i="25"/>
  <c r="Z17" i="2"/>
  <c r="Z17" i="3"/>
  <c r="Z12" i="4"/>
  <c r="Z17" i="4"/>
  <c r="Z17" i="5"/>
  <c r="Z17" i="6"/>
  <c r="AA17" i="6" s="1"/>
  <c r="Z17" i="7"/>
  <c r="Z17" i="8"/>
  <c r="Z9" i="9"/>
  <c r="Z17" i="9"/>
  <c r="Z17" i="10"/>
  <c r="Z17" i="11"/>
  <c r="Z17" i="12"/>
  <c r="Z17" i="13"/>
  <c r="Z12" i="14"/>
  <c r="Z17" i="14"/>
  <c r="Z17" i="15"/>
  <c r="Z12" i="16"/>
  <c r="Z17" i="16"/>
  <c r="Z17" i="17"/>
  <c r="Z17" i="18"/>
  <c r="Z12" i="19"/>
  <c r="Z17" i="19"/>
  <c r="Z17" i="20"/>
  <c r="Z17" i="21"/>
  <c r="Z17" i="22"/>
  <c r="Z17" i="23"/>
  <c r="Z17" i="24"/>
  <c r="AA17" i="24" s="1"/>
  <c r="Z17" i="25"/>
  <c r="Z17" i="26"/>
  <c r="Z20" i="27"/>
  <c r="Z17" i="28"/>
  <c r="Z20" i="29"/>
  <c r="Z21" i="30"/>
  <c r="Z17" i="1"/>
  <c r="Z8" i="16"/>
  <c r="Y17" i="2"/>
  <c r="AA17" i="2" s="1"/>
  <c r="Y17" i="3"/>
  <c r="AA17" i="3" s="1"/>
  <c r="Y17" i="4"/>
  <c r="AA17" i="4" s="1"/>
  <c r="Y17" i="5"/>
  <c r="AA17" i="5" s="1"/>
  <c r="Y17" i="6"/>
  <c r="Y17" i="7"/>
  <c r="AA17" i="7" s="1"/>
  <c r="Y17" i="8"/>
  <c r="AA17" i="8" s="1"/>
  <c r="Y17" i="9"/>
  <c r="Y17" i="10"/>
  <c r="AA17" i="10" s="1"/>
  <c r="Y17" i="11"/>
  <c r="AA17" i="11" s="1"/>
  <c r="Y17" i="12"/>
  <c r="Y17" i="13"/>
  <c r="Y10" i="14"/>
  <c r="Y17" i="14"/>
  <c r="AA17" i="14" s="1"/>
  <c r="Y17" i="15"/>
  <c r="AA17" i="15" s="1"/>
  <c r="Y17" i="16"/>
  <c r="AA17" i="16" s="1"/>
  <c r="Y17" i="17"/>
  <c r="Y17" i="18"/>
  <c r="Y17" i="19"/>
  <c r="AA17" i="19" s="1"/>
  <c r="Y17" i="20"/>
  <c r="Y17" i="21"/>
  <c r="AA17" i="21" s="1"/>
  <c r="Y17" i="22"/>
  <c r="Y17" i="23"/>
  <c r="AA17" i="23" s="1"/>
  <c r="Y17" i="24"/>
  <c r="Y17" i="25"/>
  <c r="Y17" i="26"/>
  <c r="AA17" i="26" s="1"/>
  <c r="Y20" i="27"/>
  <c r="AA20" i="27" s="1"/>
  <c r="Y17" i="28"/>
  <c r="Y20" i="29"/>
  <c r="Y21" i="30"/>
  <c r="AA21" i="30" s="1"/>
  <c r="Y17" i="1"/>
  <c r="AA17" i="1" s="1"/>
  <c r="Y8" i="14"/>
  <c r="U18" i="2"/>
  <c r="U19" i="2" s="1"/>
  <c r="T18" i="2"/>
  <c r="T19" i="2" s="1"/>
  <c r="S18" i="2"/>
  <c r="S19" i="2" s="1"/>
  <c r="R18" i="2"/>
  <c r="R19" i="2" s="1"/>
  <c r="Q18" i="2"/>
  <c r="Q19" i="2" s="1"/>
  <c r="P18" i="2"/>
  <c r="P19" i="2" s="1"/>
  <c r="O18" i="2"/>
  <c r="U18" i="3"/>
  <c r="U19" i="3" s="1"/>
  <c r="T18" i="3"/>
  <c r="T19" i="3" s="1"/>
  <c r="S18" i="3"/>
  <c r="S19" i="3" s="1"/>
  <c r="R18" i="3"/>
  <c r="R19" i="3" s="1"/>
  <c r="Q18" i="3"/>
  <c r="Q19" i="3" s="1"/>
  <c r="P18" i="3"/>
  <c r="P19" i="3" s="1"/>
  <c r="O18" i="3"/>
  <c r="O19" i="3" s="1"/>
  <c r="U18" i="4"/>
  <c r="U19" i="4" s="1"/>
  <c r="T18" i="4"/>
  <c r="T19" i="4" s="1"/>
  <c r="S18" i="4"/>
  <c r="S19" i="4" s="1"/>
  <c r="R18" i="4"/>
  <c r="R19" i="4" s="1"/>
  <c r="Q18" i="4"/>
  <c r="Q19" i="4" s="1"/>
  <c r="P18" i="4"/>
  <c r="P19" i="4" s="1"/>
  <c r="O18" i="4"/>
  <c r="O19" i="4" s="1"/>
  <c r="U18" i="5"/>
  <c r="U19" i="5" s="1"/>
  <c r="T18" i="5"/>
  <c r="T19" i="5" s="1"/>
  <c r="S18" i="5"/>
  <c r="S19" i="5" s="1"/>
  <c r="R18" i="5"/>
  <c r="R19" i="5" s="1"/>
  <c r="Q18" i="5"/>
  <c r="Q19" i="5" s="1"/>
  <c r="P18" i="5"/>
  <c r="P19" i="5" s="1"/>
  <c r="O18" i="5"/>
  <c r="U18" i="6"/>
  <c r="U19" i="6" s="1"/>
  <c r="T18" i="6"/>
  <c r="T19" i="6" s="1"/>
  <c r="S18" i="6"/>
  <c r="S19" i="6" s="1"/>
  <c r="R18" i="6"/>
  <c r="R19" i="6" s="1"/>
  <c r="Q18" i="6"/>
  <c r="Q19" i="6" s="1"/>
  <c r="P18" i="6"/>
  <c r="P19" i="6" s="1"/>
  <c r="O18" i="6"/>
  <c r="U18" i="7"/>
  <c r="U19" i="7" s="1"/>
  <c r="T18" i="7"/>
  <c r="T19" i="7" s="1"/>
  <c r="S18" i="7"/>
  <c r="S19" i="7" s="1"/>
  <c r="R18" i="7"/>
  <c r="R19" i="7" s="1"/>
  <c r="Q18" i="7"/>
  <c r="Q19" i="7" s="1"/>
  <c r="P18" i="7"/>
  <c r="P19" i="7" s="1"/>
  <c r="O18" i="7"/>
  <c r="O19" i="7" s="1"/>
  <c r="U18" i="8"/>
  <c r="U19" i="8" s="1"/>
  <c r="T18" i="8"/>
  <c r="T19" i="8" s="1"/>
  <c r="S18" i="8"/>
  <c r="S19" i="8" s="1"/>
  <c r="R18" i="8"/>
  <c r="R19" i="8" s="1"/>
  <c r="Q18" i="8"/>
  <c r="Q19" i="8" s="1"/>
  <c r="P18" i="8"/>
  <c r="P19" i="8" s="1"/>
  <c r="O18" i="8"/>
  <c r="O19" i="8" s="1"/>
  <c r="U18" i="9"/>
  <c r="U19" i="9" s="1"/>
  <c r="T18" i="9"/>
  <c r="T19" i="9" s="1"/>
  <c r="S18" i="9"/>
  <c r="S19" i="9" s="1"/>
  <c r="R18" i="9"/>
  <c r="R19" i="9" s="1"/>
  <c r="Q18" i="9"/>
  <c r="Q19" i="9" s="1"/>
  <c r="P18" i="9"/>
  <c r="P19" i="9" s="1"/>
  <c r="O18" i="9"/>
  <c r="U18" i="10"/>
  <c r="U19" i="10" s="1"/>
  <c r="T18" i="10"/>
  <c r="T19" i="10" s="1"/>
  <c r="S18" i="10"/>
  <c r="S19" i="10" s="1"/>
  <c r="R18" i="10"/>
  <c r="R19" i="10" s="1"/>
  <c r="Q18" i="10"/>
  <c r="Q19" i="10" s="1"/>
  <c r="P18" i="10"/>
  <c r="P19" i="10" s="1"/>
  <c r="O18" i="10"/>
  <c r="O19" i="10" s="1"/>
  <c r="U18" i="11"/>
  <c r="U19" i="11" s="1"/>
  <c r="T18" i="11"/>
  <c r="T19" i="11" s="1"/>
  <c r="S18" i="11"/>
  <c r="S19" i="11" s="1"/>
  <c r="R18" i="11"/>
  <c r="R19" i="11" s="1"/>
  <c r="Q18" i="11"/>
  <c r="Q19" i="11" s="1"/>
  <c r="P18" i="11"/>
  <c r="P19" i="11" s="1"/>
  <c r="O18" i="11"/>
  <c r="O19" i="11" s="1"/>
  <c r="U18" i="12"/>
  <c r="U19" i="12" s="1"/>
  <c r="T18" i="12"/>
  <c r="T19" i="12" s="1"/>
  <c r="S18" i="12"/>
  <c r="S19" i="12" s="1"/>
  <c r="R18" i="12"/>
  <c r="R19" i="12" s="1"/>
  <c r="Q18" i="12"/>
  <c r="Q19" i="12" s="1"/>
  <c r="P18" i="12"/>
  <c r="P19" i="12" s="1"/>
  <c r="O18" i="12"/>
  <c r="O19" i="12" s="1"/>
  <c r="U18" i="13"/>
  <c r="U19" i="13" s="1"/>
  <c r="T18" i="13"/>
  <c r="T19" i="13" s="1"/>
  <c r="S18" i="13"/>
  <c r="S19" i="13" s="1"/>
  <c r="R18" i="13"/>
  <c r="R19" i="13" s="1"/>
  <c r="Q18" i="13"/>
  <c r="Q19" i="13" s="1"/>
  <c r="P18" i="13"/>
  <c r="P19" i="13" s="1"/>
  <c r="O18" i="13"/>
  <c r="U18" i="14"/>
  <c r="U19" i="14" s="1"/>
  <c r="T18" i="14"/>
  <c r="T19" i="14" s="1"/>
  <c r="S18" i="14"/>
  <c r="S19" i="14" s="1"/>
  <c r="R18" i="14"/>
  <c r="R19" i="14" s="1"/>
  <c r="Q18" i="14"/>
  <c r="Q19" i="14" s="1"/>
  <c r="P18" i="14"/>
  <c r="P19" i="14" s="1"/>
  <c r="O18" i="14"/>
  <c r="O19" i="14" s="1"/>
  <c r="U18" i="15"/>
  <c r="U19" i="15" s="1"/>
  <c r="T18" i="15"/>
  <c r="T19" i="15" s="1"/>
  <c r="S18" i="15"/>
  <c r="S19" i="15" s="1"/>
  <c r="R18" i="15"/>
  <c r="R19" i="15" s="1"/>
  <c r="Q18" i="15"/>
  <c r="Q19" i="15" s="1"/>
  <c r="P18" i="15"/>
  <c r="P19" i="15" s="1"/>
  <c r="O18" i="15"/>
  <c r="O19" i="15" s="1"/>
  <c r="U18" i="16"/>
  <c r="U19" i="16" s="1"/>
  <c r="T18" i="16"/>
  <c r="T19" i="16" s="1"/>
  <c r="S18" i="16"/>
  <c r="S19" i="16" s="1"/>
  <c r="R18" i="16"/>
  <c r="R19" i="16" s="1"/>
  <c r="Q18" i="16"/>
  <c r="Q19" i="16" s="1"/>
  <c r="P18" i="16"/>
  <c r="P19" i="16" s="1"/>
  <c r="O18" i="16"/>
  <c r="O19" i="16" s="1"/>
  <c r="U18" i="17"/>
  <c r="U19" i="17" s="1"/>
  <c r="T18" i="17"/>
  <c r="T19" i="17" s="1"/>
  <c r="S18" i="17"/>
  <c r="S19" i="17" s="1"/>
  <c r="R18" i="17"/>
  <c r="R19" i="17" s="1"/>
  <c r="Q18" i="17"/>
  <c r="Q19" i="17" s="1"/>
  <c r="P18" i="17"/>
  <c r="P19" i="17" s="1"/>
  <c r="O18" i="17"/>
  <c r="U18" i="18"/>
  <c r="U19" i="18" s="1"/>
  <c r="T18" i="18"/>
  <c r="T19" i="18" s="1"/>
  <c r="S18" i="18"/>
  <c r="S19" i="18" s="1"/>
  <c r="R18" i="18"/>
  <c r="R19" i="18" s="1"/>
  <c r="Q18" i="18"/>
  <c r="Q19" i="18" s="1"/>
  <c r="P18" i="18"/>
  <c r="P19" i="18" s="1"/>
  <c r="O18" i="18"/>
  <c r="O19" i="18" s="1"/>
  <c r="U18" i="19"/>
  <c r="U19" i="19" s="1"/>
  <c r="T18" i="19"/>
  <c r="T19" i="19" s="1"/>
  <c r="S18" i="19"/>
  <c r="S19" i="19" s="1"/>
  <c r="R18" i="19"/>
  <c r="R19" i="19" s="1"/>
  <c r="Q18" i="19"/>
  <c r="Q19" i="19" s="1"/>
  <c r="P18" i="19"/>
  <c r="P19" i="19" s="1"/>
  <c r="O18" i="19"/>
  <c r="O19" i="19" s="1"/>
  <c r="O20" i="20"/>
  <c r="U18" i="21"/>
  <c r="U19" i="21" s="1"/>
  <c r="T18" i="21"/>
  <c r="T19" i="21" s="1"/>
  <c r="S18" i="21"/>
  <c r="S19" i="21" s="1"/>
  <c r="R18" i="21"/>
  <c r="R19" i="21" s="1"/>
  <c r="Q18" i="21"/>
  <c r="Q19" i="21" s="1"/>
  <c r="P18" i="21"/>
  <c r="P19" i="21" s="1"/>
  <c r="O18" i="21"/>
  <c r="U18" i="22"/>
  <c r="U19" i="22" s="1"/>
  <c r="T18" i="22"/>
  <c r="T19" i="22" s="1"/>
  <c r="S18" i="22"/>
  <c r="S19" i="22" s="1"/>
  <c r="R18" i="22"/>
  <c r="R19" i="22" s="1"/>
  <c r="Q18" i="22"/>
  <c r="Q19" i="22" s="1"/>
  <c r="P18" i="22"/>
  <c r="P19" i="22" s="1"/>
  <c r="O18" i="22"/>
  <c r="O19" i="22" s="1"/>
  <c r="U18" i="23"/>
  <c r="U19" i="23" s="1"/>
  <c r="T18" i="23"/>
  <c r="T19" i="23" s="1"/>
  <c r="S18" i="23"/>
  <c r="S19" i="23" s="1"/>
  <c r="R18" i="23"/>
  <c r="R19" i="23" s="1"/>
  <c r="Q18" i="23"/>
  <c r="Q19" i="23" s="1"/>
  <c r="P18" i="23"/>
  <c r="P19" i="23" s="1"/>
  <c r="O18" i="23"/>
  <c r="O19" i="23" s="1"/>
  <c r="U18" i="24"/>
  <c r="U19" i="24" s="1"/>
  <c r="T18" i="24"/>
  <c r="T19" i="24" s="1"/>
  <c r="S18" i="24"/>
  <c r="S19" i="24" s="1"/>
  <c r="R18" i="24"/>
  <c r="R19" i="24" s="1"/>
  <c r="Q18" i="24"/>
  <c r="Q19" i="24" s="1"/>
  <c r="P18" i="24"/>
  <c r="P19" i="24" s="1"/>
  <c r="O18" i="24"/>
  <c r="O19" i="24" s="1"/>
  <c r="U18" i="25"/>
  <c r="U19" i="25" s="1"/>
  <c r="T18" i="25"/>
  <c r="T19" i="25" s="1"/>
  <c r="S18" i="25"/>
  <c r="S19" i="25" s="1"/>
  <c r="R18" i="25"/>
  <c r="R19" i="25" s="1"/>
  <c r="Q18" i="25"/>
  <c r="Q19" i="25" s="1"/>
  <c r="P18" i="25"/>
  <c r="P19" i="25" s="1"/>
  <c r="O18" i="25"/>
  <c r="U18" i="26"/>
  <c r="U19" i="26" s="1"/>
  <c r="T18" i="26"/>
  <c r="T19" i="26" s="1"/>
  <c r="S18" i="26"/>
  <c r="S19" i="26" s="1"/>
  <c r="R18" i="26"/>
  <c r="R19" i="26" s="1"/>
  <c r="Q18" i="26"/>
  <c r="Q19" i="26" s="1"/>
  <c r="P18" i="26"/>
  <c r="P19" i="26" s="1"/>
  <c r="O18" i="26"/>
  <c r="O19" i="26" s="1"/>
  <c r="U21" i="27"/>
  <c r="U22" i="27" s="1"/>
  <c r="T21" i="27"/>
  <c r="T22" i="27" s="1"/>
  <c r="S21" i="27"/>
  <c r="S22" i="27" s="1"/>
  <c r="R21" i="27"/>
  <c r="R22" i="27" s="1"/>
  <c r="Q21" i="27"/>
  <c r="Q22" i="27" s="1"/>
  <c r="P21" i="27"/>
  <c r="P22" i="27" s="1"/>
  <c r="O21" i="27"/>
  <c r="O22" i="27" s="1"/>
  <c r="U21" i="28"/>
  <c r="U22" i="28" s="1"/>
  <c r="T21" i="28"/>
  <c r="T22" i="28" s="1"/>
  <c r="S21" i="28"/>
  <c r="S22" i="28" s="1"/>
  <c r="R21" i="28"/>
  <c r="R22" i="28" s="1"/>
  <c r="Q21" i="28"/>
  <c r="Q22" i="28" s="1"/>
  <c r="P21" i="28"/>
  <c r="P22" i="28" s="1"/>
  <c r="O21" i="28"/>
  <c r="O22" i="28" s="1"/>
  <c r="U21" i="29"/>
  <c r="U22" i="29" s="1"/>
  <c r="T21" i="29"/>
  <c r="T22" i="29" s="1"/>
  <c r="S21" i="29"/>
  <c r="S22" i="29" s="1"/>
  <c r="R21" i="29"/>
  <c r="R22" i="29" s="1"/>
  <c r="Q21" i="29"/>
  <c r="Q22" i="29" s="1"/>
  <c r="P21" i="29"/>
  <c r="P22" i="29" s="1"/>
  <c r="O21" i="29"/>
  <c r="U22" i="30"/>
  <c r="U23" i="30" s="1"/>
  <c r="T22" i="30"/>
  <c r="T23" i="30" s="1"/>
  <c r="S22" i="30"/>
  <c r="S23" i="30" s="1"/>
  <c r="R22" i="30"/>
  <c r="R23" i="30" s="1"/>
  <c r="Q22" i="30"/>
  <c r="Q23" i="30" s="1"/>
  <c r="P22" i="30"/>
  <c r="P23" i="30" s="1"/>
  <c r="O22" i="30"/>
  <c r="O23" i="30" s="1"/>
  <c r="U18" i="1"/>
  <c r="U19" i="1" s="1"/>
  <c r="T18" i="1"/>
  <c r="T19" i="1" s="1"/>
  <c r="S18" i="1"/>
  <c r="S19" i="1" s="1"/>
  <c r="R18" i="1"/>
  <c r="R19" i="1" s="1"/>
  <c r="Q18" i="1"/>
  <c r="Q19" i="1" s="1"/>
  <c r="P18" i="1"/>
  <c r="P19" i="1" s="1"/>
  <c r="O18" i="1"/>
  <c r="O19" i="1" s="1"/>
  <c r="G19" i="26"/>
  <c r="F19" i="16"/>
  <c r="C19" i="23"/>
  <c r="I18" i="2"/>
  <c r="I19" i="2" s="1"/>
  <c r="I18" i="3"/>
  <c r="I19" i="3" s="1"/>
  <c r="I18" i="4"/>
  <c r="I19" i="4" s="1"/>
  <c r="I18" i="5"/>
  <c r="I19" i="5" s="1"/>
  <c r="I18" i="6"/>
  <c r="I19" i="6" s="1"/>
  <c r="I18" i="7"/>
  <c r="I19" i="7" s="1"/>
  <c r="I18" i="8"/>
  <c r="I19" i="8" s="1"/>
  <c r="I18" i="9"/>
  <c r="I19" i="9" s="1"/>
  <c r="I18" i="10"/>
  <c r="I19" i="10" s="1"/>
  <c r="I18" i="11"/>
  <c r="I19" i="11" s="1"/>
  <c r="I18" i="12"/>
  <c r="I19" i="12" s="1"/>
  <c r="I18" i="13"/>
  <c r="I19" i="13" s="1"/>
  <c r="I18" i="14"/>
  <c r="I19" i="14" s="1"/>
  <c r="I18" i="15"/>
  <c r="I19" i="15" s="1"/>
  <c r="I18" i="16"/>
  <c r="I19" i="16" s="1"/>
  <c r="I18" i="17"/>
  <c r="I19" i="17" s="1"/>
  <c r="I18" i="18"/>
  <c r="I19" i="18" s="1"/>
  <c r="I18" i="19"/>
  <c r="I19" i="19" s="1"/>
  <c r="I20" i="20"/>
  <c r="I18" i="21"/>
  <c r="I19" i="21" s="1"/>
  <c r="I18" i="22"/>
  <c r="I19" i="22" s="1"/>
  <c r="I18" i="23"/>
  <c r="I19" i="23" s="1"/>
  <c r="I18" i="24"/>
  <c r="I19" i="24" s="1"/>
  <c r="I18" i="25"/>
  <c r="I19" i="25" s="1"/>
  <c r="I18" i="26"/>
  <c r="I19" i="26" s="1"/>
  <c r="I21" i="27"/>
  <c r="I22" i="27" s="1"/>
  <c r="I21" i="28"/>
  <c r="I22" i="28" s="1"/>
  <c r="I21" i="29"/>
  <c r="I22" i="29" s="1"/>
  <c r="I22" i="30"/>
  <c r="I23" i="30" s="1"/>
  <c r="I18" i="1"/>
  <c r="I19" i="1" s="1"/>
  <c r="H18" i="2"/>
  <c r="H19" i="2" s="1"/>
  <c r="H18" i="3"/>
  <c r="H19" i="3" s="1"/>
  <c r="H18" i="4"/>
  <c r="H19" i="4" s="1"/>
  <c r="H18" i="5"/>
  <c r="H19" i="5" s="1"/>
  <c r="H18" i="6"/>
  <c r="H19" i="6" s="1"/>
  <c r="H18" i="7"/>
  <c r="H19" i="7" s="1"/>
  <c r="H18" i="8"/>
  <c r="H19" i="8" s="1"/>
  <c r="H18" i="9"/>
  <c r="H19" i="9" s="1"/>
  <c r="H18" i="10"/>
  <c r="H19" i="10" s="1"/>
  <c r="H18" i="11"/>
  <c r="H19" i="11" s="1"/>
  <c r="H18" i="12"/>
  <c r="H19" i="12" s="1"/>
  <c r="H18" i="13"/>
  <c r="H19" i="13" s="1"/>
  <c r="H18" i="14"/>
  <c r="H19" i="14" s="1"/>
  <c r="H18" i="15"/>
  <c r="H19" i="15" s="1"/>
  <c r="H18" i="16"/>
  <c r="H19" i="16" s="1"/>
  <c r="H18" i="17"/>
  <c r="H19" i="17" s="1"/>
  <c r="H18" i="18"/>
  <c r="H19" i="18" s="1"/>
  <c r="H18" i="19"/>
  <c r="H19" i="19" s="1"/>
  <c r="H20" i="20"/>
  <c r="H18" i="21"/>
  <c r="H19" i="21" s="1"/>
  <c r="H18" i="22"/>
  <c r="H19" i="22" s="1"/>
  <c r="H18" i="23"/>
  <c r="H19" i="23" s="1"/>
  <c r="H18" i="24"/>
  <c r="H19" i="24" s="1"/>
  <c r="H18" i="25"/>
  <c r="H19" i="25" s="1"/>
  <c r="H18" i="26"/>
  <c r="H19" i="26" s="1"/>
  <c r="H21" i="27"/>
  <c r="H22" i="27" s="1"/>
  <c r="H21" i="28"/>
  <c r="H22" i="28" s="1"/>
  <c r="H21" i="29"/>
  <c r="H22" i="29" s="1"/>
  <c r="H22" i="30"/>
  <c r="H23" i="30" s="1"/>
  <c r="H18" i="1"/>
  <c r="H19" i="1" s="1"/>
  <c r="G18" i="2"/>
  <c r="G19" i="2" s="1"/>
  <c r="G18" i="3"/>
  <c r="G19" i="3" s="1"/>
  <c r="G18" i="4"/>
  <c r="G19" i="4" s="1"/>
  <c r="G18" i="5"/>
  <c r="G19" i="5" s="1"/>
  <c r="G18" i="6"/>
  <c r="G19" i="6" s="1"/>
  <c r="G18" i="7"/>
  <c r="G19" i="7" s="1"/>
  <c r="G18" i="8"/>
  <c r="G19" i="8" s="1"/>
  <c r="G18" i="9"/>
  <c r="G19" i="9" s="1"/>
  <c r="G18" i="10"/>
  <c r="G19" i="10" s="1"/>
  <c r="G18" i="11"/>
  <c r="G19" i="11" s="1"/>
  <c r="G18" i="12"/>
  <c r="G19" i="12" s="1"/>
  <c r="G18" i="13"/>
  <c r="G19" i="13" s="1"/>
  <c r="G18" i="14"/>
  <c r="G19" i="14" s="1"/>
  <c r="G18" i="15"/>
  <c r="G19" i="15" s="1"/>
  <c r="G18" i="16"/>
  <c r="G19" i="16" s="1"/>
  <c r="G18" i="17"/>
  <c r="G19" i="17" s="1"/>
  <c r="G18" i="18"/>
  <c r="G19" i="18" s="1"/>
  <c r="G18" i="19"/>
  <c r="G19" i="19" s="1"/>
  <c r="G20" i="20"/>
  <c r="G18" i="21"/>
  <c r="G19" i="21" s="1"/>
  <c r="G18" i="22"/>
  <c r="G19" i="22" s="1"/>
  <c r="G18" i="23"/>
  <c r="G19" i="23" s="1"/>
  <c r="G18" i="24"/>
  <c r="G19" i="24" s="1"/>
  <c r="G18" i="25"/>
  <c r="G19" i="25" s="1"/>
  <c r="G18" i="26"/>
  <c r="G21" i="27"/>
  <c r="G22" i="27" s="1"/>
  <c r="G21" i="28"/>
  <c r="G22" i="28" s="1"/>
  <c r="G21" i="29"/>
  <c r="G22" i="29" s="1"/>
  <c r="G22" i="30"/>
  <c r="G23" i="30" s="1"/>
  <c r="G18" i="1"/>
  <c r="G19" i="1" s="1"/>
  <c r="F18" i="2"/>
  <c r="F19" i="2" s="1"/>
  <c r="F18" i="3"/>
  <c r="F19" i="3" s="1"/>
  <c r="F18" i="4"/>
  <c r="F19" i="4" s="1"/>
  <c r="F18" i="5"/>
  <c r="F19" i="5" s="1"/>
  <c r="F18" i="6"/>
  <c r="F18" i="7"/>
  <c r="F19" i="7" s="1"/>
  <c r="F18" i="8"/>
  <c r="F19" i="8" s="1"/>
  <c r="F18" i="9"/>
  <c r="F19" i="9" s="1"/>
  <c r="F18" i="10"/>
  <c r="F19" i="10" s="1"/>
  <c r="F18" i="11"/>
  <c r="F19" i="11" s="1"/>
  <c r="F18" i="12"/>
  <c r="F19" i="12" s="1"/>
  <c r="F18" i="13"/>
  <c r="F19" i="13" s="1"/>
  <c r="F18" i="14"/>
  <c r="F18" i="15"/>
  <c r="F19" i="15" s="1"/>
  <c r="F18" i="16"/>
  <c r="F18" i="17"/>
  <c r="F19" i="17" s="1"/>
  <c r="F18" i="18"/>
  <c r="F19" i="18" s="1"/>
  <c r="F18" i="19"/>
  <c r="F19" i="19" s="1"/>
  <c r="F20" i="20"/>
  <c r="F18" i="21"/>
  <c r="F19" i="21" s="1"/>
  <c r="F18" i="22"/>
  <c r="F18" i="23"/>
  <c r="F19" i="23" s="1"/>
  <c r="F18" i="24"/>
  <c r="F19" i="24" s="1"/>
  <c r="F18" i="25"/>
  <c r="F19" i="25" s="1"/>
  <c r="F18" i="26"/>
  <c r="F21" i="27"/>
  <c r="F22" i="27" s="1"/>
  <c r="F21" i="28"/>
  <c r="F22" i="28" s="1"/>
  <c r="F21" i="29"/>
  <c r="F22" i="29" s="1"/>
  <c r="F22" i="30"/>
  <c r="F23" i="30" s="1"/>
  <c r="F18" i="1"/>
  <c r="F19" i="1" s="1"/>
  <c r="E18" i="2"/>
  <c r="E19" i="2" s="1"/>
  <c r="E18" i="3"/>
  <c r="E19" i="3" s="1"/>
  <c r="E18" i="4"/>
  <c r="E19" i="4" s="1"/>
  <c r="E18" i="5"/>
  <c r="E19" i="5" s="1"/>
  <c r="E18" i="6"/>
  <c r="E19" i="6" s="1"/>
  <c r="E18" i="7"/>
  <c r="E19" i="7" s="1"/>
  <c r="E18" i="8"/>
  <c r="E19" i="8" s="1"/>
  <c r="E18" i="9"/>
  <c r="E19" i="9" s="1"/>
  <c r="E18" i="10"/>
  <c r="E19" i="10" s="1"/>
  <c r="E18" i="11"/>
  <c r="E19" i="11" s="1"/>
  <c r="E18" i="12"/>
  <c r="E19" i="12" s="1"/>
  <c r="E18" i="13"/>
  <c r="E19" i="13" s="1"/>
  <c r="E18" i="14"/>
  <c r="E19" i="14" s="1"/>
  <c r="E18" i="15"/>
  <c r="E19" i="15" s="1"/>
  <c r="E18" i="16"/>
  <c r="E19" i="16" s="1"/>
  <c r="E18" i="17"/>
  <c r="E19" i="17" s="1"/>
  <c r="E18" i="18"/>
  <c r="E19" i="18" s="1"/>
  <c r="E18" i="19"/>
  <c r="E19" i="19" s="1"/>
  <c r="E20" i="20"/>
  <c r="E18" i="21"/>
  <c r="E19" i="21" s="1"/>
  <c r="E18" i="22"/>
  <c r="E19" i="22" s="1"/>
  <c r="E18" i="23"/>
  <c r="E19" i="23" s="1"/>
  <c r="E18" i="24"/>
  <c r="E19" i="24" s="1"/>
  <c r="E18" i="25"/>
  <c r="E19" i="25" s="1"/>
  <c r="E18" i="26"/>
  <c r="E19" i="26" s="1"/>
  <c r="E21" i="27"/>
  <c r="E22" i="27" s="1"/>
  <c r="E21" i="28"/>
  <c r="E22" i="28" s="1"/>
  <c r="E21" i="29"/>
  <c r="E22" i="29" s="1"/>
  <c r="E22" i="30"/>
  <c r="E23" i="30" s="1"/>
  <c r="E18" i="1"/>
  <c r="E19" i="1" s="1"/>
  <c r="D18" i="2"/>
  <c r="D19" i="2" s="1"/>
  <c r="D18" i="3"/>
  <c r="D19" i="3" s="1"/>
  <c r="D18" i="4"/>
  <c r="D19" i="4" s="1"/>
  <c r="D18" i="5"/>
  <c r="D19" i="5" s="1"/>
  <c r="D18" i="6"/>
  <c r="D19" i="6" s="1"/>
  <c r="D18" i="7"/>
  <c r="D19" i="7" s="1"/>
  <c r="D18" i="8"/>
  <c r="D19" i="8" s="1"/>
  <c r="D18" i="9"/>
  <c r="D19" i="9" s="1"/>
  <c r="D18" i="10"/>
  <c r="D19" i="10" s="1"/>
  <c r="D18" i="11"/>
  <c r="D19" i="11" s="1"/>
  <c r="D18" i="12"/>
  <c r="D19" i="12" s="1"/>
  <c r="D18" i="13"/>
  <c r="D19" i="13" s="1"/>
  <c r="D18" i="14"/>
  <c r="D19" i="14" s="1"/>
  <c r="D18" i="15"/>
  <c r="D19" i="15" s="1"/>
  <c r="D18" i="16"/>
  <c r="D19" i="16" s="1"/>
  <c r="D18" i="17"/>
  <c r="D19" i="17" s="1"/>
  <c r="D18" i="18"/>
  <c r="D19" i="18" s="1"/>
  <c r="D18" i="19"/>
  <c r="D19" i="19" s="1"/>
  <c r="D20" i="20"/>
  <c r="D18" i="21"/>
  <c r="D19" i="21" s="1"/>
  <c r="D18" i="22"/>
  <c r="D19" i="22" s="1"/>
  <c r="D18" i="23"/>
  <c r="D19" i="23" s="1"/>
  <c r="D18" i="24"/>
  <c r="D19" i="24" s="1"/>
  <c r="D18" i="25"/>
  <c r="D19" i="25" s="1"/>
  <c r="D18" i="26"/>
  <c r="D19" i="26" s="1"/>
  <c r="D21" i="27"/>
  <c r="D22" i="27" s="1"/>
  <c r="D21" i="28"/>
  <c r="D22" i="28" s="1"/>
  <c r="D21" i="29"/>
  <c r="D22" i="29" s="1"/>
  <c r="D22" i="30"/>
  <c r="D23" i="30" s="1"/>
  <c r="D18" i="1"/>
  <c r="D19" i="1" s="1"/>
  <c r="C18" i="2"/>
  <c r="C19" i="2" s="1"/>
  <c r="C18" i="3"/>
  <c r="C19" i="3" s="1"/>
  <c r="C18" i="4"/>
  <c r="C19" i="4" s="1"/>
  <c r="C18" i="5"/>
  <c r="C19" i="5" s="1"/>
  <c r="C18" i="6"/>
  <c r="C19" i="6" s="1"/>
  <c r="C18" i="7"/>
  <c r="C19" i="7" s="1"/>
  <c r="C18" i="8"/>
  <c r="C19" i="8" s="1"/>
  <c r="C18" i="9"/>
  <c r="C19" i="9" s="1"/>
  <c r="C18" i="10"/>
  <c r="C19" i="10" s="1"/>
  <c r="C18" i="11"/>
  <c r="C18" i="12"/>
  <c r="C19" i="12" s="1"/>
  <c r="C18" i="13"/>
  <c r="C19" i="13" s="1"/>
  <c r="C18" i="14"/>
  <c r="C19" i="14" s="1"/>
  <c r="C18" i="15"/>
  <c r="C18" i="16"/>
  <c r="C19" i="16" s="1"/>
  <c r="C18" i="17"/>
  <c r="C18" i="18"/>
  <c r="C19" i="18" s="1"/>
  <c r="C18" i="19"/>
  <c r="C19" i="19" s="1"/>
  <c r="C20" i="20"/>
  <c r="C18" i="21"/>
  <c r="C19" i="21" s="1"/>
  <c r="C18" i="22"/>
  <c r="C19" i="22" s="1"/>
  <c r="C18" i="23"/>
  <c r="C18" i="24"/>
  <c r="C19" i="24" s="1"/>
  <c r="C18" i="25"/>
  <c r="C18" i="26"/>
  <c r="C19" i="26" s="1"/>
  <c r="C21" i="27"/>
  <c r="C21" i="28"/>
  <c r="C22" i="28" s="1"/>
  <c r="C21" i="29"/>
  <c r="C22" i="30"/>
  <c r="C23" i="30" s="1"/>
  <c r="C18" i="1"/>
  <c r="V9" i="2"/>
  <c r="Z9" i="2" s="1"/>
  <c r="Z10" i="2"/>
  <c r="Z11" i="2"/>
  <c r="Z12" i="2"/>
  <c r="V9" i="3"/>
  <c r="Z9" i="3" s="1"/>
  <c r="Z10" i="3"/>
  <c r="Z11" i="3"/>
  <c r="Z12" i="3"/>
  <c r="V9" i="4"/>
  <c r="Z9" i="4" s="1"/>
  <c r="Z10" i="4"/>
  <c r="Z11" i="4"/>
  <c r="V9" i="5"/>
  <c r="Z9" i="5" s="1"/>
  <c r="Z10" i="5"/>
  <c r="Z11" i="5"/>
  <c r="Z12" i="5"/>
  <c r="V9" i="6"/>
  <c r="Z9" i="6" s="1"/>
  <c r="Z10" i="6"/>
  <c r="Z11" i="6"/>
  <c r="Z12" i="6"/>
  <c r="V9" i="7"/>
  <c r="Z9" i="7" s="1"/>
  <c r="Z10" i="7"/>
  <c r="Z11" i="7"/>
  <c r="Z12" i="7"/>
  <c r="V9" i="8"/>
  <c r="Z9" i="8" s="1"/>
  <c r="Z10" i="8"/>
  <c r="Z11" i="8"/>
  <c r="Z12" i="8"/>
  <c r="V9" i="9"/>
  <c r="Z10" i="9"/>
  <c r="Z11" i="9"/>
  <c r="Z12" i="9"/>
  <c r="V9" i="10"/>
  <c r="Z9" i="10" s="1"/>
  <c r="Z10" i="10"/>
  <c r="Z11" i="10"/>
  <c r="Z12" i="10"/>
  <c r="V9" i="11"/>
  <c r="Z9" i="11" s="1"/>
  <c r="Z10" i="11"/>
  <c r="Z11" i="11"/>
  <c r="Z12" i="11"/>
  <c r="V9" i="12"/>
  <c r="Z9" i="12" s="1"/>
  <c r="Z10" i="12"/>
  <c r="Z11" i="12"/>
  <c r="Z12" i="12"/>
  <c r="V9" i="13"/>
  <c r="Z9" i="13" s="1"/>
  <c r="Z10" i="13"/>
  <c r="Z11" i="13"/>
  <c r="Z12" i="13"/>
  <c r="V9" i="14"/>
  <c r="Z9" i="14" s="1"/>
  <c r="Z10" i="14"/>
  <c r="Z11" i="14"/>
  <c r="V9" i="15"/>
  <c r="Z9" i="15" s="1"/>
  <c r="Z10" i="15"/>
  <c r="Z11" i="15"/>
  <c r="Z12" i="15"/>
  <c r="V9" i="16"/>
  <c r="Z9" i="16" s="1"/>
  <c r="Z10" i="16"/>
  <c r="Z11" i="16"/>
  <c r="V9" i="17"/>
  <c r="Z9" i="17" s="1"/>
  <c r="Z10" i="17"/>
  <c r="Z11" i="17"/>
  <c r="Z12" i="17"/>
  <c r="V9" i="18"/>
  <c r="Z9" i="18" s="1"/>
  <c r="Z10" i="18"/>
  <c r="Z11" i="18"/>
  <c r="Z12" i="18"/>
  <c r="V9" i="19"/>
  <c r="Z9" i="19" s="1"/>
  <c r="Z10" i="19"/>
  <c r="Z11" i="19"/>
  <c r="V9" i="20"/>
  <c r="Z9" i="20" s="1"/>
  <c r="Z10" i="20"/>
  <c r="Z11" i="20"/>
  <c r="Z12" i="20"/>
  <c r="V9" i="21"/>
  <c r="Z9" i="21" s="1"/>
  <c r="Z10" i="21"/>
  <c r="Z11" i="21"/>
  <c r="Z12" i="21"/>
  <c r="V9" i="22"/>
  <c r="Z9" i="22" s="1"/>
  <c r="Z10" i="22"/>
  <c r="Z11" i="22"/>
  <c r="Z12" i="22"/>
  <c r="V9" i="23"/>
  <c r="Z9" i="23" s="1"/>
  <c r="Z10" i="23"/>
  <c r="Z11" i="23"/>
  <c r="Z12" i="23"/>
  <c r="V9" i="24"/>
  <c r="Z9" i="24" s="1"/>
  <c r="Z10" i="24"/>
  <c r="Z11" i="24"/>
  <c r="Z12" i="24"/>
  <c r="V9" i="25"/>
  <c r="Z9" i="25" s="1"/>
  <c r="Z10" i="25"/>
  <c r="Z11" i="25"/>
  <c r="Z12" i="25"/>
  <c r="V9" i="26"/>
  <c r="Z9" i="26" s="1"/>
  <c r="Z10" i="26"/>
  <c r="Z11" i="26"/>
  <c r="Z12" i="26"/>
  <c r="V9" i="27"/>
  <c r="Z9" i="27" s="1"/>
  <c r="Z10" i="27"/>
  <c r="Z11" i="27"/>
  <c r="Z12" i="27"/>
  <c r="V9" i="28"/>
  <c r="Z9" i="28" s="1"/>
  <c r="Z10" i="28"/>
  <c r="Z11" i="28"/>
  <c r="Z12" i="28"/>
  <c r="V9" i="29"/>
  <c r="Z9" i="29" s="1"/>
  <c r="Z10" i="29"/>
  <c r="Z11" i="29"/>
  <c r="Z12" i="29"/>
  <c r="V9" i="30"/>
  <c r="Z9" i="30" s="1"/>
  <c r="Z10" i="30"/>
  <c r="Z11" i="30"/>
  <c r="Z12" i="30"/>
  <c r="V9" i="1"/>
  <c r="Z9" i="1" s="1"/>
  <c r="Z10" i="1"/>
  <c r="Z11" i="1"/>
  <c r="Z12" i="1"/>
  <c r="V8" i="2"/>
  <c r="Z8" i="2" s="1"/>
  <c r="V8" i="3"/>
  <c r="Z8" i="3" s="1"/>
  <c r="V8" i="4"/>
  <c r="Z8" i="4" s="1"/>
  <c r="V8" i="5"/>
  <c r="Z8" i="5" s="1"/>
  <c r="V8" i="6"/>
  <c r="Z8" i="6" s="1"/>
  <c r="V8" i="7"/>
  <c r="Z8" i="7" s="1"/>
  <c r="V8" i="8"/>
  <c r="Z8" i="8" s="1"/>
  <c r="V8" i="9"/>
  <c r="Z8" i="9" s="1"/>
  <c r="V8" i="10"/>
  <c r="Z8" i="10" s="1"/>
  <c r="V8" i="11"/>
  <c r="Z8" i="11" s="1"/>
  <c r="V8" i="12"/>
  <c r="Z8" i="12" s="1"/>
  <c r="V8" i="13"/>
  <c r="Z8" i="13" s="1"/>
  <c r="V8" i="14"/>
  <c r="Z8" i="14" s="1"/>
  <c r="V8" i="15"/>
  <c r="Z8" i="15" s="1"/>
  <c r="V8" i="16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Z8" i="23" s="1"/>
  <c r="V8" i="24"/>
  <c r="Z8" i="24" s="1"/>
  <c r="V8" i="25"/>
  <c r="Z8" i="25" s="1"/>
  <c r="V8" i="26"/>
  <c r="Z8" i="26" s="1"/>
  <c r="V8" i="27"/>
  <c r="Z8" i="27" s="1"/>
  <c r="V8" i="28"/>
  <c r="Z8" i="28" s="1"/>
  <c r="V8" i="29"/>
  <c r="Z8" i="29" s="1"/>
  <c r="V8" i="30"/>
  <c r="Z8" i="30" s="1"/>
  <c r="V8" i="1"/>
  <c r="Z8" i="1" s="1"/>
  <c r="J9" i="2"/>
  <c r="Y9" i="2" s="1"/>
  <c r="J10" i="2"/>
  <c r="Y10" i="2" s="1"/>
  <c r="J11" i="2"/>
  <c r="Y11" i="2" s="1"/>
  <c r="Y12" i="2"/>
  <c r="J9" i="3"/>
  <c r="Y9" i="3" s="1"/>
  <c r="Y10" i="3"/>
  <c r="J11" i="3"/>
  <c r="Y11" i="3" s="1"/>
  <c r="Y12" i="3"/>
  <c r="Y9" i="4"/>
  <c r="J10" i="4"/>
  <c r="Y10" i="4" s="1"/>
  <c r="J11" i="4"/>
  <c r="Y11" i="4" s="1"/>
  <c r="Y12" i="4"/>
  <c r="AA12" i="4" s="1"/>
  <c r="J9" i="5"/>
  <c r="Y9" i="5" s="1"/>
  <c r="J10" i="5"/>
  <c r="Y10" i="5" s="1"/>
  <c r="J11" i="5"/>
  <c r="Y11" i="5" s="1"/>
  <c r="Y12" i="5"/>
  <c r="J9" i="6"/>
  <c r="Y9" i="6" s="1"/>
  <c r="J10" i="6"/>
  <c r="Y10" i="6" s="1"/>
  <c r="J11" i="6"/>
  <c r="Y11" i="6" s="1"/>
  <c r="Y12" i="6"/>
  <c r="J9" i="7"/>
  <c r="Y9" i="7" s="1"/>
  <c r="J10" i="7"/>
  <c r="Y10" i="7" s="1"/>
  <c r="J11" i="7"/>
  <c r="Y11" i="7" s="1"/>
  <c r="Y12" i="7"/>
  <c r="J9" i="8"/>
  <c r="Y9" i="8" s="1"/>
  <c r="J10" i="8"/>
  <c r="Y10" i="8" s="1"/>
  <c r="J11" i="8"/>
  <c r="Y11" i="8" s="1"/>
  <c r="Y12" i="8"/>
  <c r="J9" i="9"/>
  <c r="Y9" i="9" s="1"/>
  <c r="J10" i="9"/>
  <c r="Y10" i="9" s="1"/>
  <c r="J11" i="9"/>
  <c r="Y11" i="9" s="1"/>
  <c r="Y12" i="9"/>
  <c r="J9" i="10"/>
  <c r="Y9" i="10" s="1"/>
  <c r="J10" i="10"/>
  <c r="Y10" i="10" s="1"/>
  <c r="J11" i="10"/>
  <c r="Y11" i="10" s="1"/>
  <c r="Y12" i="10"/>
  <c r="J9" i="11"/>
  <c r="Y9" i="11" s="1"/>
  <c r="J10" i="11"/>
  <c r="Y10" i="11" s="1"/>
  <c r="J11" i="11"/>
  <c r="Y11" i="11" s="1"/>
  <c r="Y12" i="11"/>
  <c r="J9" i="12"/>
  <c r="Y9" i="12" s="1"/>
  <c r="J10" i="12"/>
  <c r="Y10" i="12" s="1"/>
  <c r="J11" i="12"/>
  <c r="Y11" i="12" s="1"/>
  <c r="Y12" i="12"/>
  <c r="J9" i="13"/>
  <c r="Y9" i="13" s="1"/>
  <c r="J10" i="13"/>
  <c r="Y10" i="13" s="1"/>
  <c r="J11" i="13"/>
  <c r="Y11" i="13" s="1"/>
  <c r="Y12" i="13"/>
  <c r="J9" i="14"/>
  <c r="Y9" i="14" s="1"/>
  <c r="J10" i="14"/>
  <c r="J11" i="14"/>
  <c r="Y11" i="14" s="1"/>
  <c r="Y12" i="14"/>
  <c r="AA12" i="14" s="1"/>
  <c r="J9" i="15"/>
  <c r="Y9" i="15" s="1"/>
  <c r="J10" i="15"/>
  <c r="Y10" i="15" s="1"/>
  <c r="J11" i="15"/>
  <c r="Y11" i="15" s="1"/>
  <c r="Y12" i="15"/>
  <c r="J9" i="16"/>
  <c r="Y9" i="16" s="1"/>
  <c r="J10" i="16"/>
  <c r="Y10" i="16" s="1"/>
  <c r="J11" i="16"/>
  <c r="Y11" i="16" s="1"/>
  <c r="Y12" i="16"/>
  <c r="AA12" i="16" s="1"/>
  <c r="J9" i="17"/>
  <c r="Y9" i="17" s="1"/>
  <c r="J10" i="17"/>
  <c r="Y10" i="17" s="1"/>
  <c r="J11" i="17"/>
  <c r="Y11" i="17" s="1"/>
  <c r="Y12" i="17"/>
  <c r="J9" i="18"/>
  <c r="Y9" i="18" s="1"/>
  <c r="J10" i="18"/>
  <c r="Y10" i="18" s="1"/>
  <c r="J11" i="18"/>
  <c r="Y11" i="18" s="1"/>
  <c r="Y12" i="18"/>
  <c r="J9" i="19"/>
  <c r="Y9" i="19" s="1"/>
  <c r="J10" i="19"/>
  <c r="Y10" i="19" s="1"/>
  <c r="J11" i="19"/>
  <c r="Y11" i="19" s="1"/>
  <c r="Y12" i="19"/>
  <c r="AA12" i="19" s="1"/>
  <c r="J9" i="20"/>
  <c r="Y9" i="20" s="1"/>
  <c r="J10" i="20"/>
  <c r="Y10" i="20" s="1"/>
  <c r="J11" i="20"/>
  <c r="Y11" i="20" s="1"/>
  <c r="Y12" i="20"/>
  <c r="J9" i="21"/>
  <c r="Y9" i="21" s="1"/>
  <c r="J10" i="21"/>
  <c r="Y10" i="21" s="1"/>
  <c r="J11" i="21"/>
  <c r="Y11" i="21" s="1"/>
  <c r="Y12" i="21"/>
  <c r="J9" i="22"/>
  <c r="Y9" i="22" s="1"/>
  <c r="J10" i="22"/>
  <c r="Y10" i="22" s="1"/>
  <c r="J11" i="22"/>
  <c r="Y11" i="22" s="1"/>
  <c r="Y12" i="22"/>
  <c r="J9" i="23"/>
  <c r="Y9" i="23" s="1"/>
  <c r="J10" i="23"/>
  <c r="Y10" i="23" s="1"/>
  <c r="J11" i="23"/>
  <c r="Y11" i="23" s="1"/>
  <c r="Y12" i="23"/>
  <c r="J9" i="24"/>
  <c r="Y9" i="24" s="1"/>
  <c r="J10" i="24"/>
  <c r="Y10" i="24" s="1"/>
  <c r="J11" i="24"/>
  <c r="Y11" i="24" s="1"/>
  <c r="Y12" i="24"/>
  <c r="J9" i="25"/>
  <c r="Y9" i="25" s="1"/>
  <c r="J10" i="25"/>
  <c r="Y10" i="25" s="1"/>
  <c r="J11" i="25"/>
  <c r="Y11" i="25" s="1"/>
  <c r="Y12" i="25"/>
  <c r="J9" i="26"/>
  <c r="Y9" i="26" s="1"/>
  <c r="J10" i="26"/>
  <c r="Y10" i="26" s="1"/>
  <c r="J11" i="26"/>
  <c r="Y11" i="26" s="1"/>
  <c r="Y12" i="26"/>
  <c r="J9" i="27"/>
  <c r="Y9" i="27" s="1"/>
  <c r="J10" i="27"/>
  <c r="Y10" i="27" s="1"/>
  <c r="J11" i="27"/>
  <c r="Y11" i="27" s="1"/>
  <c r="Y12" i="27"/>
  <c r="J9" i="28"/>
  <c r="J10" i="28"/>
  <c r="Y10" i="28" s="1"/>
  <c r="J11" i="28"/>
  <c r="Y11" i="28" s="1"/>
  <c r="Y12" i="28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Y12" i="30"/>
  <c r="J9" i="1"/>
  <c r="Y9" i="1" s="1"/>
  <c r="J10" i="1"/>
  <c r="Y10" i="1" s="1"/>
  <c r="J11" i="1"/>
  <c r="Y11" i="1" s="1"/>
  <c r="Y12" i="1"/>
  <c r="J8" i="2"/>
  <c r="Y8" i="2" s="1"/>
  <c r="Y8" i="3"/>
  <c r="J8" i="4"/>
  <c r="Y8" i="4" s="1"/>
  <c r="J8" i="5"/>
  <c r="Y8" i="5" s="1"/>
  <c r="J8" i="6"/>
  <c r="Y8" i="6" s="1"/>
  <c r="J8" i="7"/>
  <c r="Y8" i="7" s="1"/>
  <c r="J8" i="8"/>
  <c r="Y8" i="8" s="1"/>
  <c r="J8" i="9"/>
  <c r="Y8" i="9" s="1"/>
  <c r="J8" i="10"/>
  <c r="Y8" i="10" s="1"/>
  <c r="J8" i="11"/>
  <c r="Y8" i="11" s="1"/>
  <c r="J8" i="12"/>
  <c r="Y8" i="12" s="1"/>
  <c r="J8" i="13"/>
  <c r="Y8" i="13" s="1"/>
  <c r="J8" i="14"/>
  <c r="J8" i="15"/>
  <c r="Y8" i="15" s="1"/>
  <c r="J8" i="16"/>
  <c r="Y8" i="16" s="1"/>
  <c r="J8" i="17"/>
  <c r="Y8" i="17" s="1"/>
  <c r="J8" i="18"/>
  <c r="Y8" i="18" s="1"/>
  <c r="J8" i="19"/>
  <c r="Y8" i="19" s="1"/>
  <c r="J8" i="20"/>
  <c r="Y8" i="20" s="1"/>
  <c r="J8" i="21"/>
  <c r="Y8" i="21" s="1"/>
  <c r="J8" i="22"/>
  <c r="Y8" i="22" s="1"/>
  <c r="J8" i="23"/>
  <c r="Y8" i="23" s="1"/>
  <c r="J8" i="24"/>
  <c r="Y8" i="24" s="1"/>
  <c r="J8" i="25"/>
  <c r="Y8" i="25" s="1"/>
  <c r="J8" i="26"/>
  <c r="Y8" i="26" s="1"/>
  <c r="J8" i="27"/>
  <c r="Y8" i="27" s="1"/>
  <c r="J8" i="28"/>
  <c r="Y8" i="28" s="1"/>
  <c r="J8" i="29"/>
  <c r="J8" i="30"/>
  <c r="J8" i="1"/>
  <c r="Y8" i="1" s="1"/>
  <c r="AA12" i="3" l="1"/>
  <c r="AA17" i="22"/>
  <c r="AA12" i="9"/>
  <c r="AA12" i="2"/>
  <c r="Z18" i="23"/>
  <c r="Z19" i="23" s="1"/>
  <c r="J18" i="1"/>
  <c r="J19" i="1" s="1"/>
  <c r="AA12" i="1"/>
  <c r="AA12" i="26"/>
  <c r="AA12" i="23"/>
  <c r="AA11" i="26"/>
  <c r="Z18" i="16"/>
  <c r="Z19" i="16" s="1"/>
  <c r="Z18" i="26"/>
  <c r="Z19" i="26" s="1"/>
  <c r="Z18" i="9"/>
  <c r="Z19" i="9" s="1"/>
  <c r="Z18" i="14"/>
  <c r="Z19" i="14" s="1"/>
  <c r="AA11" i="16"/>
  <c r="AA11" i="14"/>
  <c r="AA11" i="9"/>
  <c r="AA11" i="4"/>
  <c r="AA8" i="15"/>
  <c r="AA10" i="26"/>
  <c r="AA10" i="23"/>
  <c r="AA10" i="16"/>
  <c r="AA10" i="15"/>
  <c r="AA10" i="9"/>
  <c r="AA10" i="8"/>
  <c r="AA10" i="3"/>
  <c r="AA10" i="2"/>
  <c r="AA10" i="14"/>
  <c r="AA11" i="23"/>
  <c r="AA11" i="18"/>
  <c r="AA11" i="10"/>
  <c r="AA11" i="5"/>
  <c r="AA11" i="3"/>
  <c r="AA9" i="9"/>
  <c r="AA9" i="26"/>
  <c r="AA9" i="23"/>
  <c r="AA9" i="16"/>
  <c r="AA9" i="14"/>
  <c r="AA9" i="12"/>
  <c r="AA9" i="4"/>
  <c r="AA9" i="2"/>
  <c r="Z18" i="2"/>
  <c r="Z19" i="2" s="1"/>
  <c r="AA8" i="2"/>
  <c r="Y18" i="16"/>
  <c r="Y19" i="16" s="1"/>
  <c r="AA8" i="16"/>
  <c r="Y18" i="26"/>
  <c r="Y19" i="26" s="1"/>
  <c r="Y18" i="9"/>
  <c r="Y19" i="9" s="1"/>
  <c r="AA8" i="9"/>
  <c r="Y18" i="1"/>
  <c r="Y19" i="1" s="1"/>
  <c r="Y18" i="23"/>
  <c r="Y19" i="23" s="1"/>
  <c r="AA8" i="23"/>
  <c r="Y18" i="14"/>
  <c r="Y19" i="14" s="1"/>
  <c r="AA12" i="18"/>
  <c r="AA12" i="17"/>
  <c r="Y8" i="30"/>
  <c r="AA8" i="30" s="1"/>
  <c r="J23" i="30"/>
  <c r="AA8" i="8"/>
  <c r="AA11" i="1"/>
  <c r="AA8" i="14"/>
  <c r="AA9" i="1"/>
  <c r="Y8" i="29"/>
  <c r="J22" i="29"/>
  <c r="AA8" i="1"/>
  <c r="AA8" i="3"/>
  <c r="AA10" i="1"/>
  <c r="C19" i="1"/>
  <c r="AA8" i="26"/>
  <c r="AA11" i="30"/>
  <c r="AA9" i="30"/>
  <c r="AA10" i="30"/>
  <c r="Z22" i="30"/>
  <c r="Z23" i="30" s="1"/>
  <c r="AA12" i="30"/>
  <c r="AA17" i="28"/>
  <c r="AA20" i="29"/>
  <c r="AA11" i="29"/>
  <c r="AA10" i="29"/>
  <c r="Z21" i="29"/>
  <c r="Z22" i="29" s="1"/>
  <c r="AA9" i="29"/>
  <c r="Y21" i="29"/>
  <c r="Y22" i="29" s="1"/>
  <c r="AA8" i="29"/>
  <c r="AA12" i="29"/>
  <c r="Y9" i="28"/>
  <c r="AA9" i="28" s="1"/>
  <c r="J22" i="28"/>
  <c r="Z21" i="28"/>
  <c r="Z22" i="28" s="1"/>
  <c r="AA8" i="28"/>
  <c r="AA11" i="28"/>
  <c r="AA12" i="28"/>
  <c r="AA10" i="28"/>
  <c r="Y21" i="28"/>
  <c r="Y22" i="28" s="1"/>
  <c r="AA9" i="25"/>
  <c r="AA11" i="25"/>
  <c r="AA11" i="27"/>
  <c r="Z21" i="27"/>
  <c r="Z22" i="27" s="1"/>
  <c r="AA10" i="27"/>
  <c r="AA9" i="27"/>
  <c r="AA12" i="27"/>
  <c r="AA8" i="27"/>
  <c r="Y21" i="27"/>
  <c r="Y22" i="27" s="1"/>
  <c r="AA12" i="25"/>
  <c r="Z18" i="25"/>
  <c r="Z19" i="25" s="1"/>
  <c r="AA10" i="25"/>
  <c r="AA10" i="24"/>
  <c r="AA9" i="24"/>
  <c r="AA11" i="24"/>
  <c r="Z18" i="24"/>
  <c r="Z19" i="24" s="1"/>
  <c r="AA12" i="24"/>
  <c r="Y18" i="25"/>
  <c r="Y19" i="25" s="1"/>
  <c r="AA8" i="25"/>
  <c r="AA8" i="24"/>
  <c r="Y18" i="24"/>
  <c r="Y19" i="24" s="1"/>
  <c r="AA10" i="22"/>
  <c r="AA8" i="22"/>
  <c r="AA11" i="22"/>
  <c r="Z18" i="22"/>
  <c r="Z19" i="22" s="1"/>
  <c r="AA9" i="22"/>
  <c r="AA8" i="21"/>
  <c r="Y18" i="22"/>
  <c r="Y19" i="22" s="1"/>
  <c r="AA12" i="22"/>
  <c r="AA9" i="21"/>
  <c r="AA10" i="21"/>
  <c r="Z18" i="21"/>
  <c r="Z19" i="21" s="1"/>
  <c r="AA12" i="21"/>
  <c r="AA12" i="20"/>
  <c r="AA10" i="20"/>
  <c r="AA9" i="20"/>
  <c r="Y18" i="21"/>
  <c r="Y19" i="21" s="1"/>
  <c r="AA11" i="21"/>
  <c r="AA11" i="19"/>
  <c r="AA10" i="19"/>
  <c r="Z18" i="19"/>
  <c r="Z19" i="19" s="1"/>
  <c r="AA9" i="19"/>
  <c r="AA11" i="20"/>
  <c r="Y19" i="20"/>
  <c r="Y20" i="20" s="1"/>
  <c r="AA17" i="20"/>
  <c r="Z19" i="20"/>
  <c r="Z20" i="20" s="1"/>
  <c r="AA8" i="20"/>
  <c r="AA9" i="18"/>
  <c r="Z18" i="18"/>
  <c r="Z19" i="18" s="1"/>
  <c r="AA8" i="18"/>
  <c r="Y18" i="19"/>
  <c r="Y19" i="19" s="1"/>
  <c r="AA8" i="19"/>
  <c r="AA8" i="17"/>
  <c r="AA11" i="17"/>
  <c r="Z18" i="17"/>
  <c r="Z19" i="17" s="1"/>
  <c r="AA9" i="17"/>
  <c r="AA10" i="17"/>
  <c r="Y18" i="18"/>
  <c r="Y19" i="18" s="1"/>
  <c r="AA10" i="18"/>
  <c r="Y18" i="17"/>
  <c r="Y19" i="17" s="1"/>
  <c r="AA17" i="17"/>
  <c r="AA11" i="15"/>
  <c r="Z18" i="15"/>
  <c r="Z19" i="15" s="1"/>
  <c r="AA9" i="15"/>
  <c r="Y18" i="15"/>
  <c r="Y19" i="15" s="1"/>
  <c r="AA12" i="15"/>
  <c r="AA12" i="13"/>
  <c r="AA11" i="13"/>
  <c r="AA9" i="13"/>
  <c r="AA10" i="13"/>
  <c r="Z18" i="13"/>
  <c r="Z19" i="13" s="1"/>
  <c r="AA8" i="13"/>
  <c r="AA12" i="12"/>
  <c r="AA10" i="12"/>
  <c r="AA8" i="12"/>
  <c r="Y18" i="13"/>
  <c r="Y19" i="13" s="1"/>
  <c r="AA17" i="13"/>
  <c r="Z18" i="12"/>
  <c r="Z19" i="12" s="1"/>
  <c r="AA11" i="12"/>
  <c r="AA17" i="12"/>
  <c r="AA12" i="11"/>
  <c r="AA9" i="11"/>
  <c r="Y18" i="12"/>
  <c r="Y19" i="12" s="1"/>
  <c r="AA11" i="11"/>
  <c r="Z18" i="11"/>
  <c r="Z19" i="11" s="1"/>
  <c r="AA10" i="11"/>
  <c r="AA12" i="10"/>
  <c r="AA9" i="10"/>
  <c r="Z18" i="10"/>
  <c r="Z19" i="10" s="1"/>
  <c r="AA8" i="10"/>
  <c r="Y18" i="11"/>
  <c r="Y19" i="11" s="1"/>
  <c r="AA8" i="11"/>
  <c r="AA12" i="7"/>
  <c r="AA12" i="8"/>
  <c r="Z18" i="8"/>
  <c r="Z19" i="8" s="1"/>
  <c r="AA11" i="8"/>
  <c r="AA10" i="10"/>
  <c r="Y18" i="10"/>
  <c r="Y19" i="10" s="1"/>
  <c r="AA11" i="7"/>
  <c r="Z18" i="7"/>
  <c r="Z19" i="7" s="1"/>
  <c r="AA10" i="7"/>
  <c r="AA8" i="7"/>
  <c r="Y18" i="8"/>
  <c r="Y19" i="8" s="1"/>
  <c r="AA9" i="8"/>
  <c r="AA12" i="6"/>
  <c r="AA11" i="6"/>
  <c r="AA8" i="6"/>
  <c r="Z18" i="6"/>
  <c r="Z19" i="6" s="1"/>
  <c r="AA10" i="6"/>
  <c r="AA9" i="7"/>
  <c r="Y18" i="7"/>
  <c r="Y19" i="7" s="1"/>
  <c r="AA8" i="5"/>
  <c r="AA9" i="5"/>
  <c r="AA12" i="5"/>
  <c r="Y18" i="6"/>
  <c r="Y19" i="6" s="1"/>
  <c r="AA9" i="6"/>
  <c r="Z18" i="4"/>
  <c r="Z19" i="4" s="1"/>
  <c r="AA8" i="4"/>
  <c r="Y18" i="5"/>
  <c r="Y19" i="5" s="1"/>
  <c r="Y18" i="4"/>
  <c r="Y19" i="4" s="1"/>
  <c r="AA10" i="4"/>
  <c r="Z18" i="3"/>
  <c r="Z19" i="3" s="1"/>
  <c r="AA9" i="3"/>
  <c r="Y18" i="3"/>
  <c r="Y19" i="3" s="1"/>
  <c r="Y18" i="2"/>
  <c r="Y19" i="2" s="1"/>
  <c r="AA11" i="2"/>
  <c r="AA10" i="5"/>
  <c r="Z18" i="5"/>
  <c r="Z19" i="5" s="1"/>
  <c r="Z18" i="1"/>
  <c r="Z19" i="1" s="1"/>
  <c r="J18" i="25"/>
  <c r="J19" i="25" s="1"/>
  <c r="C19" i="25"/>
  <c r="J21" i="29"/>
  <c r="C22" i="29"/>
  <c r="J18" i="17"/>
  <c r="J19" i="17" s="1"/>
  <c r="C19" i="17"/>
  <c r="J18" i="26"/>
  <c r="J19" i="26" s="1"/>
  <c r="F19" i="26"/>
  <c r="J18" i="22"/>
  <c r="J19" i="22" s="1"/>
  <c r="F19" i="22"/>
  <c r="J18" i="14"/>
  <c r="J19" i="14" s="1"/>
  <c r="F19" i="14"/>
  <c r="J18" i="6"/>
  <c r="J19" i="6" s="1"/>
  <c r="F19" i="6"/>
  <c r="J21" i="27"/>
  <c r="J22" i="27" s="1"/>
  <c r="J18" i="23"/>
  <c r="J19" i="23" s="1"/>
  <c r="J18" i="19"/>
  <c r="J19" i="19" s="1"/>
  <c r="J18" i="15"/>
  <c r="J19" i="15" s="1"/>
  <c r="J18" i="11"/>
  <c r="J19" i="11" s="1"/>
  <c r="J18" i="7"/>
  <c r="J19" i="7" s="1"/>
  <c r="J18" i="3"/>
  <c r="C22" i="27"/>
  <c r="C19" i="11"/>
  <c r="C19" i="15"/>
  <c r="J21" i="28"/>
  <c r="J18" i="24"/>
  <c r="J19" i="24" s="1"/>
  <c r="J19" i="20"/>
  <c r="J20" i="20" s="1"/>
  <c r="J18" i="16"/>
  <c r="J19" i="16" s="1"/>
  <c r="J18" i="12"/>
  <c r="J19" i="12" s="1"/>
  <c r="J18" i="8"/>
  <c r="J19" i="8" s="1"/>
  <c r="J18" i="4"/>
  <c r="J19" i="4" s="1"/>
  <c r="V18" i="26"/>
  <c r="V19" i="26" s="1"/>
  <c r="V18" i="22"/>
  <c r="V19" i="22" s="1"/>
  <c r="V18" i="18"/>
  <c r="V19" i="18" s="1"/>
  <c r="V18" i="14"/>
  <c r="V19" i="14" s="1"/>
  <c r="V18" i="10"/>
  <c r="V19" i="10" s="1"/>
  <c r="V18" i="4"/>
  <c r="V19" i="4" s="1"/>
  <c r="V18" i="3"/>
  <c r="V19" i="3" s="1"/>
  <c r="V18" i="2"/>
  <c r="V19" i="2" s="1"/>
  <c r="V18" i="5"/>
  <c r="V19" i="5" s="1"/>
  <c r="V21" i="29"/>
  <c r="V22" i="29" s="1"/>
  <c r="V18" i="25"/>
  <c r="V19" i="25" s="1"/>
  <c r="V18" i="21"/>
  <c r="V19" i="21" s="1"/>
  <c r="V18" i="17"/>
  <c r="V19" i="17" s="1"/>
  <c r="V18" i="13"/>
  <c r="V19" i="13" s="1"/>
  <c r="V18" i="9"/>
  <c r="V19" i="9" s="1"/>
  <c r="V18" i="7"/>
  <c r="V19" i="7" s="1"/>
  <c r="V18" i="6"/>
  <c r="V19" i="6" s="1"/>
  <c r="V18" i="1"/>
  <c r="V19" i="1" s="1"/>
  <c r="V22" i="30"/>
  <c r="V23" i="30" s="1"/>
  <c r="V21" i="27"/>
  <c r="V22" i="27" s="1"/>
  <c r="V18" i="23"/>
  <c r="V19" i="23" s="1"/>
  <c r="V18" i="19"/>
  <c r="V19" i="19" s="1"/>
  <c r="V18" i="15"/>
  <c r="V19" i="15" s="1"/>
  <c r="V18" i="11"/>
  <c r="V19" i="11" s="1"/>
  <c r="O19" i="6"/>
  <c r="O19" i="2"/>
  <c r="O22" i="29"/>
  <c r="V21" i="28"/>
  <c r="V22" i="28" s="1"/>
  <c r="O19" i="25"/>
  <c r="V18" i="24"/>
  <c r="V19" i="24" s="1"/>
  <c r="O19" i="21"/>
  <c r="O19" i="17"/>
  <c r="V18" i="16"/>
  <c r="V19" i="16" s="1"/>
  <c r="O19" i="13"/>
  <c r="V18" i="12"/>
  <c r="V19" i="12" s="1"/>
  <c r="O19" i="9"/>
  <c r="V18" i="8"/>
  <c r="V19" i="8" s="1"/>
  <c r="O19" i="5"/>
  <c r="J22" i="30"/>
  <c r="J18" i="18"/>
  <c r="J19" i="18" s="1"/>
  <c r="J18" i="10"/>
  <c r="J19" i="10" s="1"/>
  <c r="J18" i="2"/>
  <c r="J19" i="2" s="1"/>
  <c r="J18" i="21"/>
  <c r="J19" i="21" s="1"/>
  <c r="J18" i="13"/>
  <c r="J19" i="13" s="1"/>
  <c r="J18" i="9"/>
  <c r="J19" i="9" s="1"/>
  <c r="J18" i="5"/>
  <c r="J19" i="5" s="1"/>
  <c r="AA18" i="11" l="1"/>
  <c r="AA19" i="11" s="1"/>
  <c r="AA18" i="26"/>
  <c r="AA19" i="26" s="1"/>
  <c r="AA18" i="16"/>
  <c r="AA19" i="16" s="1"/>
  <c r="AA18" i="3"/>
  <c r="AA19" i="3" s="1"/>
  <c r="AA18" i="9"/>
  <c r="AA19" i="9" s="1"/>
  <c r="AA18" i="2"/>
  <c r="AA19" i="2" s="1"/>
  <c r="AA18" i="1"/>
  <c r="AA19" i="1" s="1"/>
  <c r="AA18" i="14"/>
  <c r="AA19" i="14" s="1"/>
  <c r="AA18" i="23"/>
  <c r="AA19" i="23" s="1"/>
  <c r="Y22" i="30"/>
  <c r="Y23" i="30" s="1"/>
  <c r="AA18" i="13"/>
  <c r="AA19" i="13" s="1"/>
  <c r="AA22" i="30"/>
  <c r="AA23" i="30" s="1"/>
  <c r="AA21" i="29"/>
  <c r="AA22" i="29" s="1"/>
  <c r="AA21" i="28"/>
  <c r="AA22" i="28" s="1"/>
  <c r="AA21" i="27"/>
  <c r="AA22" i="27" s="1"/>
  <c r="AA18" i="25"/>
  <c r="AA19" i="25" s="1"/>
  <c r="AA18" i="24"/>
  <c r="AA19" i="24" s="1"/>
  <c r="AA18" i="22"/>
  <c r="AA19" i="22" s="1"/>
  <c r="AA18" i="21"/>
  <c r="AA19" i="21" s="1"/>
  <c r="AA18" i="19"/>
  <c r="AA19" i="19" s="1"/>
  <c r="AA19" i="20"/>
  <c r="AA20" i="20" s="1"/>
  <c r="AA18" i="18"/>
  <c r="AA19" i="18" s="1"/>
  <c r="AA18" i="17"/>
  <c r="AA19" i="17" s="1"/>
  <c r="AA18" i="15"/>
  <c r="AA19" i="15" s="1"/>
  <c r="AA18" i="12"/>
  <c r="AA19" i="12" s="1"/>
  <c r="AA18" i="10"/>
  <c r="AA19" i="10" s="1"/>
  <c r="AA18" i="8"/>
  <c r="AA19" i="8" s="1"/>
  <c r="AA18" i="7"/>
  <c r="AA19" i="7" s="1"/>
  <c r="AA18" i="6"/>
  <c r="AA19" i="6" s="1"/>
  <c r="AA18" i="5"/>
  <c r="AA19" i="5" s="1"/>
  <c r="AA18" i="4"/>
  <c r="AA19" i="4" s="1"/>
  <c r="T20" i="20"/>
  <c r="S20" i="20"/>
  <c r="R20" i="20"/>
  <c r="U20" i="20"/>
  <c r="P20" i="20"/>
  <c r="V19" i="20"/>
  <c r="V20" i="20" s="1"/>
  <c r="Q20" i="20"/>
</calcChain>
</file>

<file path=xl/sharedStrings.xml><?xml version="1.0" encoding="utf-8"?>
<sst xmlns="http://schemas.openxmlformats.org/spreadsheetml/2006/main" count="1676" uniqueCount="49">
  <si>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</si>
  <si>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</si>
  <si>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</si>
  <si>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</si>
  <si>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</si>
  <si>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</si>
  <si>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</si>
  <si>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</si>
  <si>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</si>
  <si>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</si>
  <si>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</si>
  <si>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</si>
  <si>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</si>
  <si>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</si>
  <si>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</si>
  <si>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Umair</t>
  </si>
  <si>
    <t xml:space="preserve">Shakoor </t>
  </si>
  <si>
    <t>Shakoor</t>
  </si>
  <si>
    <t>SKU Wise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</si>
  <si>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</si>
  <si>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</si>
  <si>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</si>
  <si>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</si>
  <si>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</si>
  <si>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</si>
  <si>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</si>
  <si>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</si>
  <si>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</si>
  <si>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</si>
  <si>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</si>
  <si>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</si>
  <si>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</si>
  <si>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</si>
  <si>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</si>
  <si>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</si>
  <si>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</si>
  <si>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</si>
  <si>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</si>
  <si>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 xml:space="preserve">Hasan </t>
  </si>
  <si>
    <t xml:space="preserve">Jabbar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</si>
  <si>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</si>
  <si>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</si>
  <si>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</si>
  <si>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</si>
  <si>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</si>
  <si>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</si>
  <si>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</si>
  <si>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</si>
  <si>
    <t>Yasir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</si>
</sst>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9"/>
  <sheetViews>
    <sheetView workbookViewId="0">
      <selection activeCell="X12" sqref="X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23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4" t="s">
        <v>19</v>
      </c>
      <c r="Z3" s="74"/>
      <c r="AA3" s="74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4"/>
      <c r="Z4" s="74"/>
      <c r="AA4" s="74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50</v>
      </c>
      <c r="D8" s="11">
        <v>70</v>
      </c>
      <c r="E8" s="11">
        <v>70</v>
      </c>
      <c r="F8" s="11">
        <v>50</v>
      </c>
      <c r="G8" s="11">
        <v>70</v>
      </c>
      <c r="H8" s="11">
        <v>70</v>
      </c>
      <c r="I8" s="11">
        <v>70</v>
      </c>
      <c r="J8" s="15">
        <f>SUM(C8:I8)/40</f>
        <v>11.25</v>
      </c>
      <c r="K8" s="12">
        <v>7</v>
      </c>
      <c r="L8" s="13"/>
      <c r="M8" s="14"/>
      <c r="N8" s="7" t="s">
        <v>13</v>
      </c>
      <c r="O8" s="11"/>
      <c r="P8" s="11">
        <v>30</v>
      </c>
      <c r="Q8" s="11">
        <v>30</v>
      </c>
      <c r="R8" s="11">
        <v>50</v>
      </c>
      <c r="S8" s="11">
        <v>30</v>
      </c>
      <c r="T8" s="11">
        <v>30</v>
      </c>
      <c r="U8" s="11">
        <v>30</v>
      </c>
      <c r="V8" s="15">
        <f>SUM(O8:U8)/40</f>
        <v>5</v>
      </c>
      <c r="W8" s="12">
        <v>5</v>
      </c>
      <c r="Y8" s="36">
        <f>J8</f>
        <v>11.25</v>
      </c>
      <c r="Z8" s="37">
        <f>V8</f>
        <v>5</v>
      </c>
      <c r="AA8" s="38">
        <f>Y8-Z8</f>
        <v>6.25</v>
      </c>
    </row>
    <row r="9" spans="1:27" x14ac:dyDescent="0.35">
      <c r="A9" s="14"/>
      <c r="B9" s="7" t="s">
        <v>14</v>
      </c>
      <c r="C9" s="11"/>
      <c r="D9" s="11">
        <v>82</v>
      </c>
      <c r="E9" s="11">
        <v>0</v>
      </c>
      <c r="F9" s="11">
        <v>41</v>
      </c>
      <c r="G9" s="11">
        <v>40</v>
      </c>
      <c r="H9" s="11">
        <v>40</v>
      </c>
      <c r="I9" s="11">
        <v>40</v>
      </c>
      <c r="J9" s="15">
        <f t="shared" ref="J9:J16" si="0">SUM(C9:I9)/40</f>
        <v>6.0750000000000002</v>
      </c>
      <c r="K9" s="12">
        <v>23</v>
      </c>
      <c r="L9" s="13"/>
      <c r="M9" s="14"/>
      <c r="N9" s="7" t="s">
        <v>14</v>
      </c>
      <c r="O9" s="11"/>
      <c r="P9" s="11">
        <v>79</v>
      </c>
      <c r="Q9" s="11">
        <v>0</v>
      </c>
      <c r="R9" s="11">
        <v>41</v>
      </c>
      <c r="S9" s="11">
        <v>39</v>
      </c>
      <c r="T9" s="11">
        <v>40</v>
      </c>
      <c r="U9" s="11">
        <v>40</v>
      </c>
      <c r="V9" s="15">
        <f t="shared" ref="V9:V16" si="1">SUM(O9:U9)/40</f>
        <v>5.9749999999999996</v>
      </c>
      <c r="W9" s="12">
        <v>23</v>
      </c>
      <c r="Y9" s="36">
        <f t="shared" ref="Y9:Y17" si="2">J9</f>
        <v>6.0750000000000002</v>
      </c>
      <c r="Z9" s="37">
        <f t="shared" ref="Z9:Z17" si="3">V9</f>
        <v>5.9749999999999996</v>
      </c>
      <c r="AA9" s="38">
        <f t="shared" ref="AA9:AA17" si="4">Y9-Z9</f>
        <v>0.10000000000000053</v>
      </c>
    </row>
    <row r="10" spans="1:27" x14ac:dyDescent="0.35">
      <c r="A10" s="14"/>
      <c r="B10" s="7" t="s">
        <v>15</v>
      </c>
      <c r="C10" s="11">
        <v>138</v>
      </c>
      <c r="D10" s="11">
        <v>18</v>
      </c>
      <c r="E10" s="11">
        <v>18</v>
      </c>
      <c r="F10" s="11">
        <v>22</v>
      </c>
      <c r="G10" s="11">
        <v>0</v>
      </c>
      <c r="H10" s="11">
        <v>0</v>
      </c>
      <c r="I10" s="11">
        <v>0</v>
      </c>
      <c r="J10" s="15">
        <f t="shared" si="0"/>
        <v>4.9000000000000004</v>
      </c>
      <c r="K10" s="12">
        <v>6</v>
      </c>
      <c r="L10" s="13"/>
      <c r="M10" s="14"/>
      <c r="N10" s="7" t="s">
        <v>15</v>
      </c>
      <c r="O10" s="11">
        <v>138</v>
      </c>
      <c r="P10" s="11">
        <v>18</v>
      </c>
      <c r="Q10" s="11">
        <v>18</v>
      </c>
      <c r="R10" s="11">
        <v>22</v>
      </c>
      <c r="S10" s="11"/>
      <c r="T10" s="11"/>
      <c r="U10" s="11"/>
      <c r="V10" s="15">
        <f t="shared" si="1"/>
        <v>4.9000000000000004</v>
      </c>
      <c r="W10" s="12">
        <v>6</v>
      </c>
      <c r="Y10" s="36">
        <f t="shared" si="2"/>
        <v>4.9000000000000004</v>
      </c>
      <c r="Z10" s="37">
        <f t="shared" si="3"/>
        <v>4.9000000000000004</v>
      </c>
      <c r="AA10" s="38">
        <f t="shared" si="4"/>
        <v>0</v>
      </c>
    </row>
    <row r="11" spans="1:27" x14ac:dyDescent="0.35">
      <c r="A11" s="16"/>
      <c r="B11" s="17" t="s">
        <v>39</v>
      </c>
      <c r="C11" s="11">
        <v>86</v>
      </c>
      <c r="D11" s="11">
        <v>0</v>
      </c>
      <c r="E11" s="11">
        <v>0</v>
      </c>
      <c r="F11" s="11">
        <v>0</v>
      </c>
      <c r="G11" s="11">
        <v>42</v>
      </c>
      <c r="H11" s="11">
        <v>26</v>
      </c>
      <c r="I11" s="11">
        <v>42</v>
      </c>
      <c r="J11" s="15">
        <f t="shared" si="0"/>
        <v>4.9000000000000004</v>
      </c>
      <c r="K11" s="12">
        <v>4</v>
      </c>
      <c r="L11" s="13"/>
      <c r="M11" s="16"/>
      <c r="N11" s="17" t="s">
        <v>39</v>
      </c>
      <c r="O11" s="11">
        <v>6</v>
      </c>
      <c r="P11" s="11">
        <v>0</v>
      </c>
      <c r="Q11" s="11">
        <v>0</v>
      </c>
      <c r="R11" s="11">
        <v>0</v>
      </c>
      <c r="S11" s="11">
        <v>12</v>
      </c>
      <c r="T11" s="11">
        <v>6</v>
      </c>
      <c r="U11" s="11">
        <v>12</v>
      </c>
      <c r="V11" s="15">
        <f t="shared" si="1"/>
        <v>0.9</v>
      </c>
      <c r="W11" s="12">
        <v>2</v>
      </c>
      <c r="Y11" s="36">
        <f t="shared" si="2"/>
        <v>4.9000000000000004</v>
      </c>
      <c r="Z11" s="37">
        <f t="shared" si="3"/>
        <v>0.9</v>
      </c>
      <c r="AA11" s="38">
        <f t="shared" si="4"/>
        <v>4</v>
      </c>
    </row>
    <row r="12" spans="1:27" x14ac:dyDescent="0.35">
      <c r="A12" s="16"/>
      <c r="B12" s="17" t="s">
        <v>37</v>
      </c>
      <c r="C12" s="11">
        <v>176</v>
      </c>
      <c r="D12" s="11">
        <v>40</v>
      </c>
      <c r="E12" s="11">
        <v>48</v>
      </c>
      <c r="F12" s="11">
        <v>40</v>
      </c>
      <c r="G12" s="11">
        <v>8</v>
      </c>
      <c r="H12" s="11">
        <v>0</v>
      </c>
      <c r="I12" s="11">
        <v>4</v>
      </c>
      <c r="J12" s="15">
        <f t="shared" si="0"/>
        <v>7.9</v>
      </c>
      <c r="K12" s="12">
        <v>5</v>
      </c>
      <c r="L12" s="13"/>
      <c r="M12" s="16"/>
      <c r="N12" s="17" t="s">
        <v>37</v>
      </c>
      <c r="O12" s="11">
        <v>176</v>
      </c>
      <c r="P12" s="11">
        <v>40</v>
      </c>
      <c r="Q12" s="11">
        <v>40</v>
      </c>
      <c r="R12" s="11">
        <v>40</v>
      </c>
      <c r="S12" s="11">
        <v>0</v>
      </c>
      <c r="T12" s="11">
        <v>0</v>
      </c>
      <c r="U12" s="11">
        <v>0</v>
      </c>
      <c r="V12" s="15">
        <f t="shared" si="1"/>
        <v>7.4</v>
      </c>
      <c r="W12" s="12">
        <v>4</v>
      </c>
      <c r="Y12" s="36">
        <f t="shared" si="2"/>
        <v>7.9</v>
      </c>
      <c r="Z12" s="37">
        <f t="shared" si="3"/>
        <v>7.4</v>
      </c>
      <c r="AA12" s="38">
        <f t="shared" si="4"/>
        <v>0.5</v>
      </c>
    </row>
    <row r="13" spans="1:27" x14ac:dyDescent="0.35">
      <c r="A13" s="16"/>
      <c r="B13" s="17" t="s">
        <v>16</v>
      </c>
      <c r="C13" s="11"/>
      <c r="D13" s="11">
        <v>820</v>
      </c>
      <c r="E13" s="11">
        <v>840</v>
      </c>
      <c r="F13" s="11">
        <v>960</v>
      </c>
      <c r="G13" s="11">
        <v>860</v>
      </c>
      <c r="H13" s="11">
        <v>840</v>
      </c>
      <c r="I13" s="11">
        <v>840</v>
      </c>
      <c r="J13" s="15">
        <f t="shared" si="0"/>
        <v>129</v>
      </c>
      <c r="K13" s="12">
        <v>3</v>
      </c>
      <c r="L13" s="13"/>
      <c r="M13" s="16"/>
      <c r="N13" s="17" t="s">
        <v>16</v>
      </c>
      <c r="O13" s="11"/>
      <c r="P13" s="11">
        <v>800</v>
      </c>
      <c r="Q13" s="11">
        <v>800</v>
      </c>
      <c r="R13" s="11">
        <v>920</v>
      </c>
      <c r="S13" s="11">
        <v>840</v>
      </c>
      <c r="T13" s="11">
        <v>800</v>
      </c>
      <c r="U13" s="11">
        <v>800</v>
      </c>
      <c r="V13" s="15">
        <f t="shared" si="1"/>
        <v>124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v>22</v>
      </c>
      <c r="K14" s="12">
        <v>18</v>
      </c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4">
        <f t="shared" ref="C18:I18" si="5">SUM(C8:C17)</f>
        <v>450</v>
      </c>
      <c r="D18" s="24">
        <f t="shared" si="5"/>
        <v>1030</v>
      </c>
      <c r="E18" s="24">
        <f t="shared" si="5"/>
        <v>976</v>
      </c>
      <c r="F18" s="24">
        <f t="shared" si="5"/>
        <v>1113</v>
      </c>
      <c r="G18" s="24">
        <f t="shared" si="5"/>
        <v>1020</v>
      </c>
      <c r="H18" s="24">
        <f t="shared" si="5"/>
        <v>976</v>
      </c>
      <c r="I18" s="24">
        <f t="shared" si="5"/>
        <v>996</v>
      </c>
      <c r="J18" s="19">
        <f>SUM(C18:I18)</f>
        <v>6561</v>
      </c>
      <c r="K18" s="27"/>
      <c r="M18" s="1"/>
      <c r="N18" s="7"/>
      <c r="O18" s="24">
        <f t="shared" ref="O18:U18" si="6">SUM(O8:O17)</f>
        <v>320</v>
      </c>
      <c r="P18" s="24">
        <f t="shared" si="6"/>
        <v>967</v>
      </c>
      <c r="Q18" s="24">
        <f t="shared" si="6"/>
        <v>888</v>
      </c>
      <c r="R18" s="24">
        <f t="shared" si="6"/>
        <v>1073</v>
      </c>
      <c r="S18" s="24">
        <f t="shared" si="6"/>
        <v>921</v>
      </c>
      <c r="T18" s="24">
        <f t="shared" si="6"/>
        <v>876</v>
      </c>
      <c r="U18" s="24">
        <f t="shared" si="6"/>
        <v>882</v>
      </c>
      <c r="V18" s="19">
        <f>SUM(O18:U18)</f>
        <v>5927</v>
      </c>
      <c r="W18" s="27"/>
      <c r="Y18" s="31">
        <f>SUM(Y8:Y17)</f>
        <v>35.024999999999999</v>
      </c>
      <c r="Z18" s="32">
        <f>SUM(Z8:Z17)</f>
        <v>24.174999999999997</v>
      </c>
      <c r="AA18" s="42">
        <f>SUM(AA8:AA17)</f>
        <v>10.850000000000001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11.25</v>
      </c>
      <c r="D19" s="21">
        <f t="shared" si="7"/>
        <v>25.75</v>
      </c>
      <c r="E19" s="21">
        <f t="shared" si="7"/>
        <v>24.4</v>
      </c>
      <c r="F19" s="21">
        <f t="shared" si="7"/>
        <v>27.824999999999999</v>
      </c>
      <c r="G19" s="21">
        <f t="shared" si="7"/>
        <v>25.5</v>
      </c>
      <c r="H19" s="21">
        <f t="shared" si="7"/>
        <v>24.4</v>
      </c>
      <c r="I19" s="21">
        <f t="shared" si="7"/>
        <v>24.9</v>
      </c>
      <c r="J19" s="22">
        <f t="shared" si="7"/>
        <v>164.02500000000001</v>
      </c>
      <c r="K19" s="23"/>
      <c r="M19" s="1"/>
      <c r="N19" s="20" t="s">
        <v>18</v>
      </c>
      <c r="O19" s="21">
        <f t="shared" ref="O19:V19" si="8">O18/40</f>
        <v>8</v>
      </c>
      <c r="P19" s="21">
        <f t="shared" si="8"/>
        <v>24.175000000000001</v>
      </c>
      <c r="Q19" s="21">
        <f t="shared" si="8"/>
        <v>22.2</v>
      </c>
      <c r="R19" s="21">
        <f t="shared" si="8"/>
        <v>26.824999999999999</v>
      </c>
      <c r="S19" s="21">
        <f t="shared" si="8"/>
        <v>23.024999999999999</v>
      </c>
      <c r="T19" s="21">
        <f t="shared" si="8"/>
        <v>21.9</v>
      </c>
      <c r="U19" s="21">
        <f t="shared" si="8"/>
        <v>22.05</v>
      </c>
      <c r="V19" s="22">
        <f t="shared" si="8"/>
        <v>148.17500000000001</v>
      </c>
      <c r="W19" s="23"/>
      <c r="Y19" s="39">
        <f>Y18/40</f>
        <v>0.87562499999999999</v>
      </c>
      <c r="Z19" s="40">
        <f>Z18/40</f>
        <v>0.60437499999999988</v>
      </c>
      <c r="AA19" s="41">
        <f>AA18/40</f>
        <v>0.27125000000000005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24</v>
      </c>
      <c r="B1" s="1"/>
      <c r="C1" s="1"/>
      <c r="D1" s="1"/>
      <c r="E1" s="1"/>
      <c r="F1" s="1"/>
      <c r="G1" s="1"/>
      <c r="H1" s="1"/>
      <c r="I1" s="1"/>
      <c r="L1" s="78" t="s">
        <v>29</v>
      </c>
      <c r="M1" s="78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9"/>
  <sheetViews>
    <sheetView workbookViewId="0">
      <selection activeCell="P10" sqref="P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590</v>
      </c>
      <c r="D8" s="11">
        <v>0</v>
      </c>
      <c r="E8" s="11">
        <v>0</v>
      </c>
      <c r="F8" s="11">
        <v>11</v>
      </c>
      <c r="G8" s="11">
        <v>310</v>
      </c>
      <c r="H8" s="11">
        <v>339</v>
      </c>
      <c r="I8" s="11">
        <v>370</v>
      </c>
      <c r="J8" s="15">
        <v>42</v>
      </c>
      <c r="K8" s="12">
        <v>24</v>
      </c>
      <c r="L8" s="13"/>
      <c r="M8" s="14"/>
      <c r="N8" s="7" t="s">
        <v>13</v>
      </c>
      <c r="O8" s="11">
        <v>590</v>
      </c>
      <c r="P8" s="11">
        <v>0</v>
      </c>
      <c r="Q8" s="11">
        <v>0</v>
      </c>
      <c r="R8" s="11">
        <v>11</v>
      </c>
      <c r="S8" s="11">
        <v>295</v>
      </c>
      <c r="T8" s="11">
        <v>320</v>
      </c>
      <c r="U8" s="11">
        <v>345</v>
      </c>
      <c r="V8" s="15">
        <f>SUM(O8:U8)/40</f>
        <v>39.024999999999999</v>
      </c>
      <c r="W8" s="12">
        <v>24</v>
      </c>
      <c r="Y8" s="36">
        <f>J8</f>
        <v>42</v>
      </c>
      <c r="Z8" s="37">
        <f>V8</f>
        <v>39.024999999999999</v>
      </c>
      <c r="AA8" s="38">
        <f>Y8-Z8</f>
        <v>2.9750000000000014</v>
      </c>
    </row>
    <row r="9" spans="1:27" x14ac:dyDescent="0.35">
      <c r="A9" s="14"/>
      <c r="B9" s="7" t="s">
        <v>14</v>
      </c>
      <c r="C9" s="11"/>
      <c r="D9" s="11">
        <v>73</v>
      </c>
      <c r="E9" s="11">
        <v>56</v>
      </c>
      <c r="F9" s="11">
        <v>79</v>
      </c>
      <c r="G9" s="11">
        <v>82</v>
      </c>
      <c r="H9" s="11">
        <v>78</v>
      </c>
      <c r="I9" s="11">
        <v>88</v>
      </c>
      <c r="J9" s="15">
        <f t="shared" ref="J9:J16" si="0">SUM(C9:I9)/40</f>
        <v>11.4</v>
      </c>
      <c r="K9" s="12">
        <v>13</v>
      </c>
      <c r="L9" s="13"/>
      <c r="M9" s="14"/>
      <c r="N9" s="7" t="s">
        <v>14</v>
      </c>
      <c r="O9" s="11"/>
      <c r="P9" s="11">
        <v>73</v>
      </c>
      <c r="Q9" s="11">
        <v>56</v>
      </c>
      <c r="R9" s="11">
        <v>79</v>
      </c>
      <c r="S9" s="11">
        <v>82</v>
      </c>
      <c r="T9" s="11">
        <v>78</v>
      </c>
      <c r="U9" s="11">
        <v>88</v>
      </c>
      <c r="V9" s="15">
        <f t="shared" ref="V9:V16" si="1">SUM(O9:U9)/40</f>
        <v>11.4</v>
      </c>
      <c r="W9" s="12">
        <v>13</v>
      </c>
      <c r="Y9" s="36">
        <f t="shared" ref="Y9:Y17" si="2">J9</f>
        <v>11.4</v>
      </c>
      <c r="Z9" s="37">
        <f t="shared" ref="Z9:Z17" si="3">V9</f>
        <v>11.4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v>12</v>
      </c>
      <c r="K10" s="12">
        <v>14</v>
      </c>
      <c r="L10" s="13"/>
      <c r="M10" s="14"/>
      <c r="N10" s="7" t="s">
        <v>15</v>
      </c>
      <c r="O10" s="11">
        <v>180</v>
      </c>
      <c r="P10" s="11">
        <v>0</v>
      </c>
      <c r="Q10" s="11">
        <v>0</v>
      </c>
      <c r="R10" s="11">
        <v>0</v>
      </c>
      <c r="S10" s="11">
        <v>128</v>
      </c>
      <c r="T10" s="11">
        <v>79</v>
      </c>
      <c r="U10" s="11">
        <v>122</v>
      </c>
      <c r="V10" s="15">
        <f t="shared" si="1"/>
        <v>12.725</v>
      </c>
      <c r="W10" s="12">
        <v>10</v>
      </c>
      <c r="Y10" s="36">
        <f t="shared" si="2"/>
        <v>12</v>
      </c>
      <c r="Z10" s="37">
        <f t="shared" si="3"/>
        <v>12.725</v>
      </c>
      <c r="AA10" s="38">
        <f t="shared" si="4"/>
        <v>-0.72499999999999964</v>
      </c>
    </row>
    <row r="11" spans="1:27" x14ac:dyDescent="0.35">
      <c r="A11" s="16"/>
      <c r="B11" s="17" t="s">
        <v>39</v>
      </c>
      <c r="C11" s="11">
        <v>196</v>
      </c>
      <c r="D11" s="11">
        <v>0</v>
      </c>
      <c r="E11" s="11">
        <v>0</v>
      </c>
      <c r="F11" s="11">
        <v>0</v>
      </c>
      <c r="G11" s="11">
        <v>95</v>
      </c>
      <c r="H11" s="11">
        <v>90</v>
      </c>
      <c r="I11" s="11">
        <v>95</v>
      </c>
      <c r="J11" s="15">
        <f t="shared" si="0"/>
        <v>11.9</v>
      </c>
      <c r="K11" s="12">
        <v>4</v>
      </c>
      <c r="L11" s="13"/>
      <c r="M11" s="16"/>
      <c r="N11" s="17" t="s">
        <v>39</v>
      </c>
      <c r="O11" s="11">
        <v>201</v>
      </c>
      <c r="P11" s="11">
        <v>5</v>
      </c>
      <c r="Q11" s="11">
        <v>5</v>
      </c>
      <c r="R11" s="11">
        <v>5</v>
      </c>
      <c r="S11" s="11">
        <v>100</v>
      </c>
      <c r="T11" s="11">
        <v>95</v>
      </c>
      <c r="U11" s="11">
        <v>100</v>
      </c>
      <c r="V11" s="15">
        <f t="shared" si="1"/>
        <v>12.775</v>
      </c>
      <c r="W11" s="12">
        <v>5</v>
      </c>
      <c r="Y11" s="36">
        <f t="shared" si="2"/>
        <v>11.9</v>
      </c>
      <c r="Z11" s="37">
        <f t="shared" si="3"/>
        <v>12.775</v>
      </c>
      <c r="AA11" s="38">
        <f t="shared" si="4"/>
        <v>-0.875</v>
      </c>
    </row>
    <row r="12" spans="1:27" x14ac:dyDescent="0.35">
      <c r="A12" s="16"/>
      <c r="B12" s="17" t="s">
        <v>37</v>
      </c>
      <c r="C12" s="11">
        <v>90</v>
      </c>
      <c r="D12" s="11">
        <v>18</v>
      </c>
      <c r="E12" s="11">
        <v>16</v>
      </c>
      <c r="F12" s="11">
        <v>12</v>
      </c>
      <c r="G12" s="11">
        <v>24</v>
      </c>
      <c r="H12" s="11">
        <v>17</v>
      </c>
      <c r="I12" s="11">
        <v>10</v>
      </c>
      <c r="J12" s="15">
        <f t="shared" si="0"/>
        <v>4.6749999999999998</v>
      </c>
      <c r="K12" s="12">
        <v>7</v>
      </c>
      <c r="L12" s="13"/>
      <c r="M12" s="16"/>
      <c r="N12" s="17" t="s">
        <v>37</v>
      </c>
      <c r="O12" s="11">
        <v>32</v>
      </c>
      <c r="P12" s="11">
        <v>0</v>
      </c>
      <c r="Q12" s="11">
        <v>10</v>
      </c>
      <c r="R12" s="11">
        <v>0</v>
      </c>
      <c r="S12" s="11">
        <v>10</v>
      </c>
      <c r="T12" s="11">
        <v>0</v>
      </c>
      <c r="U12" s="11">
        <v>0</v>
      </c>
      <c r="V12" s="15">
        <f t="shared" si="1"/>
        <v>1.3</v>
      </c>
      <c r="W12" s="12">
        <v>2</v>
      </c>
      <c r="Y12" s="36">
        <f t="shared" si="2"/>
        <v>4.6749999999999998</v>
      </c>
      <c r="Z12" s="37">
        <f t="shared" si="3"/>
        <v>1.3</v>
      </c>
      <c r="AA12" s="38">
        <f t="shared" si="4"/>
        <v>3.375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>
        <v>280</v>
      </c>
      <c r="P13" s="11">
        <v>360</v>
      </c>
      <c r="Q13" s="11">
        <v>360</v>
      </c>
      <c r="R13" s="11">
        <v>400</v>
      </c>
      <c r="S13" s="11">
        <v>360</v>
      </c>
      <c r="T13" s="11">
        <v>320</v>
      </c>
      <c r="U13" s="11"/>
      <c r="V13" s="15">
        <f t="shared" si="1"/>
        <v>52</v>
      </c>
      <c r="W13" s="12">
        <v>3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876</v>
      </c>
      <c r="D18" s="25">
        <f t="shared" si="5"/>
        <v>91</v>
      </c>
      <c r="E18" s="25">
        <f t="shared" si="5"/>
        <v>72</v>
      </c>
      <c r="F18" s="25">
        <f t="shared" si="5"/>
        <v>102</v>
      </c>
      <c r="G18" s="25">
        <f t="shared" si="5"/>
        <v>511</v>
      </c>
      <c r="H18" s="25">
        <f t="shared" si="5"/>
        <v>524</v>
      </c>
      <c r="I18" s="25">
        <f t="shared" si="5"/>
        <v>563</v>
      </c>
      <c r="J18" s="26">
        <f>SUM(C18:I18)</f>
        <v>2739</v>
      </c>
      <c r="K18" s="28"/>
      <c r="M18" s="1"/>
      <c r="N18" s="7"/>
      <c r="O18" s="25">
        <f t="shared" ref="O18:U18" si="6">SUM(O8:O17)</f>
        <v>1283</v>
      </c>
      <c r="P18" s="25">
        <f t="shared" si="6"/>
        <v>438</v>
      </c>
      <c r="Q18" s="25">
        <f t="shared" si="6"/>
        <v>431</v>
      </c>
      <c r="R18" s="25">
        <f t="shared" si="6"/>
        <v>495</v>
      </c>
      <c r="S18" s="25">
        <f t="shared" si="6"/>
        <v>975</v>
      </c>
      <c r="T18" s="25">
        <f t="shared" si="6"/>
        <v>892</v>
      </c>
      <c r="U18" s="25">
        <f t="shared" si="6"/>
        <v>655</v>
      </c>
      <c r="V18" s="26">
        <f>SUM(O18:U18)</f>
        <v>5169</v>
      </c>
      <c r="W18" s="28"/>
      <c r="Y18" s="33">
        <f>SUM(Y8:Y17)</f>
        <v>81.975000000000009</v>
      </c>
      <c r="Z18" s="34">
        <f>SUM(Z8:Z17)</f>
        <v>77.224999999999994</v>
      </c>
      <c r="AA18" s="35">
        <f>SUM(AA8:AA17)</f>
        <v>4.7500000000000018</v>
      </c>
    </row>
    <row r="19" spans="1:27" ht="15" thickBot="1" x14ac:dyDescent="0.4">
      <c r="A19" s="1"/>
      <c r="B19" s="20" t="s">
        <v>18</v>
      </c>
      <c r="C19" s="21">
        <f t="shared" ref="C19:I19" si="7">C18/40</f>
        <v>21.9</v>
      </c>
      <c r="D19" s="21">
        <f t="shared" si="7"/>
        <v>2.2749999999999999</v>
      </c>
      <c r="E19" s="21">
        <f t="shared" si="7"/>
        <v>1.8</v>
      </c>
      <c r="F19" s="21">
        <f t="shared" si="7"/>
        <v>2.5499999999999998</v>
      </c>
      <c r="G19" s="21">
        <f t="shared" si="7"/>
        <v>12.775</v>
      </c>
      <c r="H19" s="21">
        <f t="shared" si="7"/>
        <v>13.1</v>
      </c>
      <c r="I19" s="21">
        <f t="shared" si="7"/>
        <v>14.074999999999999</v>
      </c>
      <c r="J19" s="22">
        <f>SUM(J8:J16)</f>
        <v>81.975000000000009</v>
      </c>
      <c r="K19" s="23"/>
      <c r="M19" s="1"/>
      <c r="N19" s="20" t="s">
        <v>18</v>
      </c>
      <c r="O19" s="21">
        <f t="shared" ref="O19:V19" si="8">O18/40</f>
        <v>32.075000000000003</v>
      </c>
      <c r="P19" s="21">
        <f t="shared" si="8"/>
        <v>10.95</v>
      </c>
      <c r="Q19" s="21">
        <f t="shared" si="8"/>
        <v>10.775</v>
      </c>
      <c r="R19" s="21">
        <f t="shared" si="8"/>
        <v>12.375</v>
      </c>
      <c r="S19" s="21">
        <f t="shared" si="8"/>
        <v>24.375</v>
      </c>
      <c r="T19" s="21">
        <f t="shared" si="8"/>
        <v>22.3</v>
      </c>
      <c r="U19" s="21">
        <f t="shared" si="8"/>
        <v>16.375</v>
      </c>
      <c r="V19" s="22">
        <f t="shared" si="8"/>
        <v>129.22499999999999</v>
      </c>
      <c r="W19" s="23"/>
      <c r="Y19" s="39">
        <f>Y18/40</f>
        <v>2.0493750000000004</v>
      </c>
      <c r="Z19" s="40">
        <f>Z18/40</f>
        <v>1.9306249999999998</v>
      </c>
      <c r="AA19" s="41">
        <f>AA18/40</f>
        <v>0.11875000000000005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9"/>
  <sheetViews>
    <sheetView tabSelected="1" workbookViewId="0">
      <selection activeCell="M13" sqref="M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>
        <v>84</v>
      </c>
      <c r="P8" s="11">
        <v>40</v>
      </c>
      <c r="Q8" s="11">
        <v>0</v>
      </c>
      <c r="R8" s="11">
        <v>0</v>
      </c>
      <c r="S8" s="11">
        <v>25</v>
      </c>
      <c r="T8" s="11">
        <v>45</v>
      </c>
      <c r="U8" s="11">
        <v>50</v>
      </c>
      <c r="V8" s="15">
        <f>SUM(O8:U8)/40</f>
        <v>6.1</v>
      </c>
      <c r="W8" s="12">
        <v>12</v>
      </c>
      <c r="Y8" s="36">
        <f>J8</f>
        <v>0</v>
      </c>
      <c r="Z8" s="37">
        <f>V8</f>
        <v>6.1</v>
      </c>
      <c r="AA8" s="38">
        <f>Y8-Z8</f>
        <v>-6.1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14</v>
      </c>
      <c r="O9" s="11">
        <v>80</v>
      </c>
      <c r="P9" s="11">
        <v>105</v>
      </c>
      <c r="Q9" s="11">
        <v>99</v>
      </c>
      <c r="R9" s="11">
        <v>115</v>
      </c>
      <c r="S9" s="11">
        <v>54</v>
      </c>
      <c r="T9" s="11">
        <v>55</v>
      </c>
      <c r="U9" s="11"/>
      <c r="V9" s="15">
        <f t="shared" ref="V9:V16" si="0">SUM(O9:U9)/40</f>
        <v>12.7</v>
      </c>
      <c r="W9" s="12">
        <v>20</v>
      </c>
      <c r="Y9" s="36">
        <f t="shared" ref="Y9:Y17" si="1">J9</f>
        <v>0</v>
      </c>
      <c r="Z9" s="37">
        <f t="shared" ref="Z9:Z17" si="2">V9</f>
        <v>12.7</v>
      </c>
      <c r="AA9" s="38">
        <f t="shared" ref="AA9:AA17" si="3">Y9-Z9</f>
        <v>-12.7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ref="J10:J16" si="4">SUM(C10:I10)/40</f>
        <v>0</v>
      </c>
      <c r="K10" s="12"/>
      <c r="L10" s="13"/>
      <c r="M10" s="14"/>
      <c r="N10" s="7" t="s">
        <v>15</v>
      </c>
      <c r="O10" s="11">
        <v>138</v>
      </c>
      <c r="P10" s="11">
        <v>40</v>
      </c>
      <c r="Q10" s="11">
        <v>40</v>
      </c>
      <c r="R10" s="11">
        <v>40</v>
      </c>
      <c r="S10" s="11">
        <v>55</v>
      </c>
      <c r="T10" s="11">
        <v>50</v>
      </c>
      <c r="U10" s="11">
        <v>55</v>
      </c>
      <c r="V10" s="15">
        <f t="shared" si="0"/>
        <v>10.45</v>
      </c>
      <c r="W10" s="12">
        <v>6</v>
      </c>
      <c r="Y10" s="36">
        <f t="shared" si="1"/>
        <v>0</v>
      </c>
      <c r="Z10" s="37">
        <f t="shared" si="2"/>
        <v>10.45</v>
      </c>
      <c r="AA10" s="38">
        <f t="shared" si="3"/>
        <v>-10.45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4"/>
        <v>0</v>
      </c>
      <c r="K11" s="12"/>
      <c r="L11" s="13"/>
      <c r="M11" s="16"/>
      <c r="N11" s="17" t="s">
        <v>39</v>
      </c>
      <c r="O11" s="11">
        <v>76</v>
      </c>
      <c r="P11" s="11">
        <v>10</v>
      </c>
      <c r="Q11" s="11">
        <v>10</v>
      </c>
      <c r="R11" s="11">
        <v>22</v>
      </c>
      <c r="S11" s="11">
        <v>18</v>
      </c>
      <c r="T11" s="11">
        <v>10</v>
      </c>
      <c r="U11" s="11">
        <v>0</v>
      </c>
      <c r="V11" s="15">
        <f t="shared" si="0"/>
        <v>3.65</v>
      </c>
      <c r="W11" s="12">
        <v>4</v>
      </c>
      <c r="Y11" s="36">
        <f t="shared" si="1"/>
        <v>0</v>
      </c>
      <c r="Z11" s="37">
        <f t="shared" si="2"/>
        <v>3.65</v>
      </c>
      <c r="AA11" s="38">
        <f t="shared" si="3"/>
        <v>-3.65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4"/>
        <v>0</v>
      </c>
      <c r="K12" s="12"/>
      <c r="L12" s="13"/>
      <c r="M12" s="16"/>
      <c r="N12" s="17" t="s">
        <v>37</v>
      </c>
      <c r="O12" s="11">
        <v>128</v>
      </c>
      <c r="P12" s="11">
        <v>0</v>
      </c>
      <c r="Q12" s="11">
        <v>12</v>
      </c>
      <c r="R12" s="11">
        <v>0</v>
      </c>
      <c r="S12" s="11">
        <v>0</v>
      </c>
      <c r="T12" s="11">
        <v>0</v>
      </c>
      <c r="U12" s="11">
        <v>12</v>
      </c>
      <c r="V12" s="15">
        <f t="shared" si="0"/>
        <v>3.8</v>
      </c>
      <c r="W12" s="12">
        <v>5</v>
      </c>
      <c r="Y12" s="36">
        <f t="shared" si="1"/>
        <v>0</v>
      </c>
      <c r="Z12" s="37">
        <f t="shared" si="2"/>
        <v>3.8</v>
      </c>
      <c r="AA12" s="38">
        <f t="shared" si="3"/>
        <v>-3.8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4"/>
        <v>0</v>
      </c>
      <c r="K13" s="12"/>
      <c r="L13" s="13"/>
      <c r="M13" s="16"/>
      <c r="N13" s="17" t="s">
        <v>16</v>
      </c>
      <c r="O13" s="11"/>
      <c r="P13" s="11">
        <v>160</v>
      </c>
      <c r="Q13" s="11">
        <v>160</v>
      </c>
      <c r="R13" s="11">
        <v>200</v>
      </c>
      <c r="S13" s="11">
        <v>360</v>
      </c>
      <c r="T13" s="11">
        <v>280</v>
      </c>
      <c r="U13" s="11"/>
      <c r="V13" s="15">
        <f t="shared" si="0"/>
        <v>29</v>
      </c>
      <c r="W13" s="12">
        <v>4</v>
      </c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4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0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4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0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4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0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1"/>
        <v>0</v>
      </c>
      <c r="Z17" s="37">
        <f t="shared" si="2"/>
        <v>0</v>
      </c>
      <c r="AA17" s="38">
        <f t="shared" si="3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506</v>
      </c>
      <c r="P18" s="25">
        <f t="shared" si="6"/>
        <v>355</v>
      </c>
      <c r="Q18" s="25">
        <f t="shared" si="6"/>
        <v>321</v>
      </c>
      <c r="R18" s="25">
        <f t="shared" si="6"/>
        <v>377</v>
      </c>
      <c r="S18" s="25">
        <f t="shared" si="6"/>
        <v>512</v>
      </c>
      <c r="T18" s="25">
        <f t="shared" si="6"/>
        <v>440</v>
      </c>
      <c r="U18" s="25">
        <f t="shared" si="6"/>
        <v>117</v>
      </c>
      <c r="V18" s="26">
        <f>SUM(O18:U18)</f>
        <v>2628</v>
      </c>
      <c r="W18" s="28"/>
      <c r="Y18" s="33">
        <f>SUM(Y8:Y17)</f>
        <v>0</v>
      </c>
      <c r="Z18" s="34">
        <f>SUM(Z8:Z17)</f>
        <v>36.699999999999996</v>
      </c>
      <c r="AA18" s="35">
        <f>SUM(AA8:AA17)</f>
        <v>-36.699999999999996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12.65</v>
      </c>
      <c r="P19" s="21">
        <f t="shared" si="8"/>
        <v>8.875</v>
      </c>
      <c r="Q19" s="21">
        <f t="shared" si="8"/>
        <v>8.0250000000000004</v>
      </c>
      <c r="R19" s="21">
        <f t="shared" si="8"/>
        <v>9.4250000000000007</v>
      </c>
      <c r="S19" s="21">
        <f t="shared" si="8"/>
        <v>12.8</v>
      </c>
      <c r="T19" s="21">
        <f t="shared" si="8"/>
        <v>11</v>
      </c>
      <c r="U19" s="21">
        <f t="shared" si="8"/>
        <v>2.9249999999999998</v>
      </c>
      <c r="V19" s="22">
        <f t="shared" si="8"/>
        <v>65.7</v>
      </c>
      <c r="W19" s="23"/>
      <c r="Y19" s="39">
        <f>Y18/40</f>
        <v>0</v>
      </c>
      <c r="Z19" s="40">
        <f>Z18/40</f>
        <v>0.91749999999999987</v>
      </c>
      <c r="AA19" s="41">
        <f>AA18/40</f>
        <v>-0.91749999999999987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20"/>
  <sheetViews>
    <sheetView workbookViewId="0">
      <selection activeCell="P10" sqref="P10:U15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27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5" t="s">
        <v>0</v>
      </c>
      <c r="C2" s="75"/>
      <c r="D2" s="75"/>
      <c r="E2" s="75"/>
      <c r="F2" s="75"/>
      <c r="G2" s="75"/>
      <c r="H2" s="75"/>
      <c r="I2" s="75"/>
      <c r="J2" s="75"/>
      <c r="K2" s="44"/>
      <c r="L2" s="44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44"/>
      <c r="B3" s="75"/>
      <c r="C3" s="75"/>
      <c r="D3" s="75"/>
      <c r="E3" s="75"/>
      <c r="F3" s="75"/>
      <c r="G3" s="75"/>
      <c r="H3" s="75"/>
      <c r="I3" s="75"/>
      <c r="J3" s="75"/>
      <c r="K3" s="44"/>
      <c r="L3" s="44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44"/>
      <c r="B4" s="75"/>
      <c r="C4" s="75"/>
      <c r="D4" s="75"/>
      <c r="E4" s="75"/>
      <c r="F4" s="75"/>
      <c r="G4" s="75"/>
      <c r="H4" s="75"/>
      <c r="I4" s="75"/>
      <c r="J4" s="75"/>
      <c r="K4" s="44"/>
      <c r="L4" s="44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customHeight="1" thickBot="1" x14ac:dyDescent="0.4">
      <c r="A5" s="44"/>
      <c r="B5" s="76"/>
      <c r="C5" s="76"/>
      <c r="D5" s="76"/>
      <c r="E5" s="76"/>
      <c r="F5" s="76"/>
      <c r="G5" s="76"/>
      <c r="H5" s="76"/>
      <c r="I5" s="76"/>
      <c r="J5" s="76"/>
      <c r="K5" s="44"/>
      <c r="L5" s="44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44"/>
      <c r="B6" s="45"/>
      <c r="C6" s="46" t="s">
        <v>2</v>
      </c>
      <c r="D6" s="80" t="s">
        <v>3</v>
      </c>
      <c r="E6" s="80"/>
      <c r="F6" s="80"/>
      <c r="G6" s="80" t="s">
        <v>4</v>
      </c>
      <c r="H6" s="80"/>
      <c r="I6" s="80"/>
      <c r="J6" s="47"/>
      <c r="K6" s="48"/>
      <c r="L6" s="44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/>
      <c r="D8" s="54"/>
      <c r="E8" s="54"/>
      <c r="F8" s="54"/>
      <c r="G8" s="54"/>
      <c r="H8" s="54"/>
      <c r="I8" s="54"/>
      <c r="J8" s="58">
        <f>SUM(C8:I8)/40</f>
        <v>0</v>
      </c>
      <c r="K8" s="55"/>
      <c r="L8" s="56"/>
      <c r="M8" s="14"/>
      <c r="N8" s="50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57"/>
      <c r="B9" s="50" t="s">
        <v>14</v>
      </c>
      <c r="C9" s="54"/>
      <c r="D9" s="54"/>
      <c r="E9" s="54"/>
      <c r="F9" s="54"/>
      <c r="G9" s="54"/>
      <c r="H9" s="54"/>
      <c r="I9" s="54"/>
      <c r="J9" s="58">
        <f t="shared" ref="J9:J16" si="0">SUM(C9:I9)/40</f>
        <v>0</v>
      </c>
      <c r="K9" s="55"/>
      <c r="L9" s="56"/>
      <c r="M9" s="14"/>
      <c r="N9" s="50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57"/>
      <c r="B10" s="50" t="s">
        <v>15</v>
      </c>
      <c r="C10" s="54"/>
      <c r="D10" s="54"/>
      <c r="E10" s="54"/>
      <c r="F10" s="54"/>
      <c r="G10" s="54"/>
      <c r="H10" s="54"/>
      <c r="I10" s="54"/>
      <c r="J10" s="58">
        <f t="shared" si="0"/>
        <v>0</v>
      </c>
      <c r="K10" s="55"/>
      <c r="L10" s="56"/>
      <c r="M10" s="14"/>
      <c r="N10" s="50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59"/>
      <c r="B11" s="60" t="s">
        <v>39</v>
      </c>
      <c r="C11" s="54"/>
      <c r="D11" s="54"/>
      <c r="E11" s="54"/>
      <c r="F11" s="54"/>
      <c r="G11" s="54"/>
      <c r="H11" s="54"/>
      <c r="I11" s="54"/>
      <c r="J11" s="58">
        <f t="shared" si="0"/>
        <v>0</v>
      </c>
      <c r="K11" s="55"/>
      <c r="L11" s="56"/>
      <c r="M11" s="16"/>
      <c r="N11" s="60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59"/>
      <c r="B12" s="60" t="s">
        <v>37</v>
      </c>
      <c r="C12" s="54"/>
      <c r="D12" s="54"/>
      <c r="E12" s="54"/>
      <c r="F12" s="54"/>
      <c r="G12" s="54"/>
      <c r="H12" s="54"/>
      <c r="I12" s="54"/>
      <c r="J12" s="58">
        <f t="shared" si="0"/>
        <v>0</v>
      </c>
      <c r="K12" s="55"/>
      <c r="L12" s="56"/>
      <c r="M12" s="16"/>
      <c r="N12" s="60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59"/>
      <c r="B13" s="60" t="s">
        <v>16</v>
      </c>
      <c r="C13" s="54"/>
      <c r="D13" s="54"/>
      <c r="E13" s="54"/>
      <c r="F13" s="54"/>
      <c r="G13" s="54"/>
      <c r="H13" s="54"/>
      <c r="I13" s="54"/>
      <c r="J13" s="58">
        <f t="shared" si="0"/>
        <v>0</v>
      </c>
      <c r="K13" s="55"/>
      <c r="L13" s="56"/>
      <c r="M13" s="16"/>
      <c r="N13" s="60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59"/>
      <c r="B14" s="60" t="s">
        <v>45</v>
      </c>
      <c r="C14" s="54"/>
      <c r="D14" s="54"/>
      <c r="E14" s="54"/>
      <c r="F14" s="54"/>
      <c r="G14" s="54"/>
      <c r="H14" s="54"/>
      <c r="I14" s="54"/>
      <c r="J14" s="58">
        <f t="shared" si="0"/>
        <v>0</v>
      </c>
      <c r="K14" s="55"/>
      <c r="L14" s="56"/>
      <c r="M14" s="16"/>
      <c r="N14" s="60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59"/>
      <c r="B15" s="60" t="s">
        <v>46</v>
      </c>
      <c r="C15" s="54"/>
      <c r="D15" s="54"/>
      <c r="E15" s="54"/>
      <c r="F15" s="54"/>
      <c r="G15" s="54"/>
      <c r="H15" s="54"/>
      <c r="I15" s="54"/>
      <c r="J15" s="58">
        <f t="shared" si="0"/>
        <v>0</v>
      </c>
      <c r="K15" s="55"/>
      <c r="L15" s="56"/>
      <c r="M15" s="16"/>
      <c r="N15" s="60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59"/>
      <c r="B16" s="60" t="s">
        <v>48</v>
      </c>
      <c r="C16" s="54"/>
      <c r="D16" s="54"/>
      <c r="E16" s="54"/>
      <c r="F16" s="54"/>
      <c r="G16" s="54"/>
      <c r="H16" s="54"/>
      <c r="I16" s="54"/>
      <c r="J16" s="58">
        <f t="shared" si="0"/>
        <v>0</v>
      </c>
      <c r="K16" s="55"/>
      <c r="L16" s="56"/>
      <c r="M16" s="16"/>
      <c r="N16" s="60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59"/>
      <c r="B17" s="60"/>
      <c r="C17" s="54"/>
      <c r="D17" s="54"/>
      <c r="E17" s="54"/>
      <c r="F17" s="54"/>
      <c r="G17" s="54"/>
      <c r="H17" s="54"/>
      <c r="I17" s="54"/>
      <c r="J17" s="58"/>
      <c r="K17" s="61"/>
      <c r="L17" s="44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44"/>
      <c r="B18" s="50"/>
      <c r="C18" s="62">
        <f t="shared" ref="C18:I18" si="5">SUM(C8:C17)</f>
        <v>0</v>
      </c>
      <c r="D18" s="62">
        <f t="shared" si="5"/>
        <v>0</v>
      </c>
      <c r="E18" s="62">
        <f t="shared" si="5"/>
        <v>0</v>
      </c>
      <c r="F18" s="62">
        <f t="shared" si="5"/>
        <v>0</v>
      </c>
      <c r="G18" s="62">
        <f t="shared" si="5"/>
        <v>0</v>
      </c>
      <c r="H18" s="62">
        <f t="shared" si="5"/>
        <v>0</v>
      </c>
      <c r="I18" s="62">
        <f t="shared" si="5"/>
        <v>0</v>
      </c>
      <c r="J18" s="63">
        <f>SUM(C18:I18)</f>
        <v>0</v>
      </c>
      <c r="K18" s="64"/>
      <c r="L18" s="44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44"/>
      <c r="B19" s="65" t="s">
        <v>18</v>
      </c>
      <c r="C19" s="66">
        <f t="shared" ref="C19:J19" si="7">C18/40</f>
        <v>0</v>
      </c>
      <c r="D19" s="66">
        <f t="shared" si="7"/>
        <v>0</v>
      </c>
      <c r="E19" s="66">
        <f t="shared" si="7"/>
        <v>0</v>
      </c>
      <c r="F19" s="66">
        <f t="shared" si="7"/>
        <v>0</v>
      </c>
      <c r="G19" s="66">
        <f t="shared" si="7"/>
        <v>0</v>
      </c>
      <c r="H19" s="66">
        <f t="shared" si="7"/>
        <v>0</v>
      </c>
      <c r="I19" s="66">
        <f t="shared" si="7"/>
        <v>0</v>
      </c>
      <c r="J19" s="67">
        <f t="shared" si="7"/>
        <v>0</v>
      </c>
      <c r="K19" s="68"/>
      <c r="L19" s="44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  <row r="20" spans="1:27" x14ac:dyDescent="0.35">
      <c r="A20" s="44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70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70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70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70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70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70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70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70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70">
        <f t="shared" si="0"/>
        <v>0</v>
      </c>
      <c r="K12" s="12"/>
      <c r="L12" s="13"/>
      <c r="M12" s="16" t="s">
        <v>30</v>
      </c>
      <c r="N12" s="17" t="s">
        <v>37</v>
      </c>
      <c r="O12" s="11"/>
      <c r="P12" s="11"/>
      <c r="Q12" s="11"/>
      <c r="R12" s="11"/>
      <c r="S12" s="11"/>
      <c r="T12" s="11"/>
      <c r="U12" s="11"/>
      <c r="V12" s="70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70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70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70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70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70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70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70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70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70"/>
      <c r="K17" s="18"/>
      <c r="M17" s="16"/>
      <c r="N17" s="17" t="s">
        <v>31</v>
      </c>
      <c r="O17" s="11">
        <v>1600</v>
      </c>
      <c r="P17" s="11"/>
      <c r="Q17" s="11"/>
      <c r="R17" s="11"/>
      <c r="S17" s="11">
        <v>600</v>
      </c>
      <c r="T17" s="11">
        <v>800</v>
      </c>
      <c r="U17" s="11">
        <v>1000</v>
      </c>
      <c r="V17" s="70">
        <f t="shared" si="1"/>
        <v>100</v>
      </c>
      <c r="W17" s="12">
        <v>1</v>
      </c>
      <c r="Y17" s="36">
        <f t="shared" si="2"/>
        <v>0</v>
      </c>
      <c r="Z17" s="37">
        <f t="shared" si="3"/>
        <v>100</v>
      </c>
      <c r="AA17" s="38">
        <f t="shared" si="4"/>
        <v>-100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1600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600</v>
      </c>
      <c r="T18" s="25">
        <f t="shared" si="6"/>
        <v>800</v>
      </c>
      <c r="U18" s="25">
        <f t="shared" si="6"/>
        <v>1000</v>
      </c>
      <c r="V18" s="26">
        <f>SUM(O18:U18)</f>
        <v>4000</v>
      </c>
      <c r="W18" s="28"/>
      <c r="Y18" s="33">
        <f>SUM(Y8:Y17)</f>
        <v>0</v>
      </c>
      <c r="Z18" s="34">
        <f>SUM(Z8:Z17)</f>
        <v>100</v>
      </c>
      <c r="AA18" s="35">
        <f>SUM(AA8:AA17)</f>
        <v>-100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40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15</v>
      </c>
      <c r="T19" s="21">
        <f t="shared" si="8"/>
        <v>20</v>
      </c>
      <c r="U19" s="21">
        <f t="shared" si="8"/>
        <v>25</v>
      </c>
      <c r="V19" s="69">
        <f t="shared" si="8"/>
        <v>100</v>
      </c>
      <c r="W19" s="23"/>
      <c r="Y19" s="39">
        <f>Y18/40</f>
        <v>0</v>
      </c>
      <c r="Z19" s="40">
        <f>Z18/40</f>
        <v>2.5</v>
      </c>
      <c r="AA19" s="41">
        <f>AA18/40</f>
        <v>-2.5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3</v>
      </c>
      <c r="P12" s="11">
        <f>281-40</f>
        <v>241</v>
      </c>
      <c r="Q12" s="11">
        <v>403</v>
      </c>
      <c r="R12" s="11">
        <v>161</v>
      </c>
      <c r="S12" s="11">
        <f>383-20</f>
        <v>363</v>
      </c>
      <c r="T12" s="11">
        <f>281-20</f>
        <v>261</v>
      </c>
      <c r="U12" s="11">
        <f>561-20</f>
        <v>541</v>
      </c>
      <c r="V12" s="15">
        <f t="shared" si="1"/>
        <v>49.325000000000003</v>
      </c>
      <c r="W12" s="12"/>
      <c r="Y12" s="36">
        <f t="shared" si="2"/>
        <v>0</v>
      </c>
      <c r="Z12" s="37">
        <f t="shared" si="3"/>
        <v>49.325000000000003</v>
      </c>
      <c r="AA12" s="38">
        <f t="shared" si="4"/>
        <v>-49.325000000000003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3</v>
      </c>
      <c r="P18" s="25">
        <f t="shared" si="6"/>
        <v>241</v>
      </c>
      <c r="Q18" s="25">
        <f t="shared" si="6"/>
        <v>403</v>
      </c>
      <c r="R18" s="25">
        <f t="shared" si="6"/>
        <v>161</v>
      </c>
      <c r="S18" s="25">
        <f t="shared" si="6"/>
        <v>363</v>
      </c>
      <c r="T18" s="25">
        <f t="shared" si="6"/>
        <v>261</v>
      </c>
      <c r="U18" s="25">
        <f t="shared" si="6"/>
        <v>541</v>
      </c>
      <c r="V18" s="26">
        <f>SUM(O18:U18)</f>
        <v>1973</v>
      </c>
      <c r="W18" s="28"/>
      <c r="Y18" s="33">
        <f>SUM(Y8:Y17)</f>
        <v>0</v>
      </c>
      <c r="Z18" s="34">
        <f>SUM(Z8:Z17)</f>
        <v>49.325000000000003</v>
      </c>
      <c r="AA18" s="35">
        <f>SUM(AA8:AA17)</f>
        <v>-49.325000000000003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7.4999999999999997E-2</v>
      </c>
      <c r="P19" s="21">
        <f t="shared" si="8"/>
        <v>6.0250000000000004</v>
      </c>
      <c r="Q19" s="21">
        <f t="shared" si="8"/>
        <v>10.074999999999999</v>
      </c>
      <c r="R19" s="21">
        <f t="shared" si="8"/>
        <v>4.0250000000000004</v>
      </c>
      <c r="S19" s="21">
        <f t="shared" si="8"/>
        <v>9.0749999999999993</v>
      </c>
      <c r="T19" s="21">
        <f t="shared" si="8"/>
        <v>6.5250000000000004</v>
      </c>
      <c r="U19" s="21">
        <f t="shared" si="8"/>
        <v>13.525</v>
      </c>
      <c r="V19" s="22">
        <f t="shared" si="8"/>
        <v>49.325000000000003</v>
      </c>
      <c r="W19" s="23"/>
      <c r="Y19" s="39">
        <f>Y18/40</f>
        <v>0</v>
      </c>
      <c r="Z19" s="40">
        <f>Z18/40</f>
        <v>1.233125</v>
      </c>
      <c r="AA19" s="41">
        <f>AA18/40</f>
        <v>-1.233125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120</v>
      </c>
      <c r="P12" s="11">
        <v>864</v>
      </c>
      <c r="Q12" s="11">
        <v>1004</v>
      </c>
      <c r="R12" s="11">
        <v>3399</v>
      </c>
      <c r="S12" s="11">
        <v>1158</v>
      </c>
      <c r="T12" s="11">
        <v>1436</v>
      </c>
      <c r="U12" s="11">
        <v>2720</v>
      </c>
      <c r="V12" s="15">
        <f t="shared" si="1"/>
        <v>267.52499999999998</v>
      </c>
      <c r="W12" s="12"/>
      <c r="Y12" s="36">
        <f t="shared" si="2"/>
        <v>0</v>
      </c>
      <c r="Z12" s="37">
        <f t="shared" si="3"/>
        <v>267.52499999999998</v>
      </c>
      <c r="AA12" s="38">
        <f t="shared" si="4"/>
        <v>-267.52499999999998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120</v>
      </c>
      <c r="P18" s="25">
        <f t="shared" si="6"/>
        <v>864</v>
      </c>
      <c r="Q18" s="25">
        <f t="shared" si="6"/>
        <v>1004</v>
      </c>
      <c r="R18" s="25">
        <f t="shared" si="6"/>
        <v>3399</v>
      </c>
      <c r="S18" s="25">
        <f t="shared" si="6"/>
        <v>1158</v>
      </c>
      <c r="T18" s="25">
        <f t="shared" si="6"/>
        <v>1436</v>
      </c>
      <c r="U18" s="25">
        <f t="shared" si="6"/>
        <v>2720</v>
      </c>
      <c r="V18" s="26">
        <f>SUM(O18:U18)</f>
        <v>10701</v>
      </c>
      <c r="W18" s="28"/>
      <c r="Y18" s="33">
        <f>SUM(Y8:Y17)</f>
        <v>0</v>
      </c>
      <c r="Z18" s="34">
        <f>SUM(Z8:Z17)</f>
        <v>267.52499999999998</v>
      </c>
      <c r="AA18" s="35">
        <f>SUM(AA8:AA17)</f>
        <v>-267.52499999999998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3</v>
      </c>
      <c r="P19" s="21">
        <f t="shared" si="8"/>
        <v>21.6</v>
      </c>
      <c r="Q19" s="21">
        <f t="shared" si="8"/>
        <v>25.1</v>
      </c>
      <c r="R19" s="21">
        <f t="shared" si="8"/>
        <v>84.974999999999994</v>
      </c>
      <c r="S19" s="21">
        <f t="shared" si="8"/>
        <v>28.95</v>
      </c>
      <c r="T19" s="21">
        <f t="shared" si="8"/>
        <v>35.9</v>
      </c>
      <c r="U19" s="21">
        <f t="shared" si="8"/>
        <v>68</v>
      </c>
      <c r="V19" s="22">
        <f t="shared" si="8"/>
        <v>267.52499999999998</v>
      </c>
      <c r="W19" s="23"/>
      <c r="Y19" s="39">
        <f>Y18/40</f>
        <v>0</v>
      </c>
      <c r="Z19" s="40">
        <f>Z18/40</f>
        <v>6.6881249999999994</v>
      </c>
      <c r="AA19" s="41">
        <f>AA18/40</f>
        <v>-6.6881249999999994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1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1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1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1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71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1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71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1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71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1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71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1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71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1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71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1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71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1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71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71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>
        <v>200</v>
      </c>
      <c r="Q12" s="11">
        <v>440</v>
      </c>
      <c r="R12" s="11">
        <v>760</v>
      </c>
      <c r="S12" s="11">
        <v>400</v>
      </c>
      <c r="T12" s="11">
        <v>520</v>
      </c>
      <c r="U12" s="11">
        <v>800</v>
      </c>
      <c r="V12" s="15">
        <f t="shared" si="1"/>
        <v>78</v>
      </c>
      <c r="W12" s="12"/>
      <c r="Y12" s="36">
        <f t="shared" si="2"/>
        <v>0</v>
      </c>
      <c r="Z12" s="37">
        <f t="shared" si="3"/>
        <v>78</v>
      </c>
      <c r="AA12" s="38">
        <f t="shared" si="4"/>
        <v>-78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33</v>
      </c>
      <c r="O17" s="11"/>
      <c r="P17" s="11">
        <v>10</v>
      </c>
      <c r="Q17" s="11">
        <v>20</v>
      </c>
      <c r="R17" s="11">
        <v>10</v>
      </c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210</v>
      </c>
      <c r="Q18" s="25">
        <f t="shared" si="6"/>
        <v>460</v>
      </c>
      <c r="R18" s="25">
        <f t="shared" si="6"/>
        <v>770</v>
      </c>
      <c r="S18" s="25">
        <f t="shared" si="6"/>
        <v>400</v>
      </c>
      <c r="T18" s="25">
        <f t="shared" si="6"/>
        <v>520</v>
      </c>
      <c r="U18" s="25">
        <f t="shared" si="6"/>
        <v>800</v>
      </c>
      <c r="V18" s="26">
        <f>SUM(O18:U18)</f>
        <v>3160</v>
      </c>
      <c r="W18" s="28"/>
      <c r="Y18" s="33">
        <f>SUM(Y8:Y17)</f>
        <v>0</v>
      </c>
      <c r="Z18" s="34">
        <f>SUM(Z8:Z17)</f>
        <v>78</v>
      </c>
      <c r="AA18" s="35">
        <f>SUM(AA8:AA17)</f>
        <v>-78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5.25</v>
      </c>
      <c r="Q19" s="21">
        <f t="shared" si="8"/>
        <v>11.5</v>
      </c>
      <c r="R19" s="21">
        <f t="shared" si="8"/>
        <v>19.25</v>
      </c>
      <c r="S19" s="21">
        <f t="shared" si="8"/>
        <v>10</v>
      </c>
      <c r="T19" s="21">
        <f t="shared" si="8"/>
        <v>13</v>
      </c>
      <c r="U19" s="21">
        <f t="shared" si="8"/>
        <v>20</v>
      </c>
      <c r="V19" s="22">
        <f t="shared" si="8"/>
        <v>79</v>
      </c>
      <c r="W19" s="23"/>
      <c r="Y19" s="39">
        <f>Y18/40</f>
        <v>0</v>
      </c>
      <c r="Z19" s="40">
        <f>Z18/40</f>
        <v>1.95</v>
      </c>
      <c r="AA19" s="41">
        <f>AA18/40</f>
        <v>-1.95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>
        <v>79</v>
      </c>
      <c r="Q12" s="11">
        <v>120</v>
      </c>
      <c r="R12" s="11">
        <v>120</v>
      </c>
      <c r="S12" s="11">
        <v>160</v>
      </c>
      <c r="T12" s="11">
        <v>200</v>
      </c>
      <c r="U12" s="11">
        <v>160</v>
      </c>
      <c r="V12" s="15">
        <f t="shared" si="1"/>
        <v>20.975000000000001</v>
      </c>
      <c r="W12" s="12"/>
      <c r="Y12" s="36">
        <f t="shared" si="2"/>
        <v>0</v>
      </c>
      <c r="Z12" s="37">
        <f t="shared" si="3"/>
        <v>20.975000000000001</v>
      </c>
      <c r="AA12" s="38">
        <f t="shared" si="4"/>
        <v>-20.975000000000001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32</v>
      </c>
      <c r="O17" s="11">
        <v>20</v>
      </c>
      <c r="P17" s="11">
        <v>0</v>
      </c>
      <c r="Q17" s="11">
        <v>0</v>
      </c>
      <c r="R17" s="11"/>
      <c r="S17" s="11">
        <v>10</v>
      </c>
      <c r="T17" s="11">
        <v>10</v>
      </c>
      <c r="U17" s="11">
        <v>20</v>
      </c>
      <c r="V17" s="15">
        <f t="shared" si="1"/>
        <v>1.5</v>
      </c>
      <c r="W17" s="12">
        <v>1</v>
      </c>
      <c r="Y17" s="36">
        <f t="shared" si="2"/>
        <v>0</v>
      </c>
      <c r="Z17" s="37">
        <f t="shared" si="3"/>
        <v>1.5</v>
      </c>
      <c r="AA17" s="38">
        <f t="shared" si="4"/>
        <v>-1.5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20</v>
      </c>
      <c r="P18" s="25">
        <f t="shared" si="6"/>
        <v>79</v>
      </c>
      <c r="Q18" s="25">
        <f t="shared" si="6"/>
        <v>120</v>
      </c>
      <c r="R18" s="25">
        <f t="shared" si="6"/>
        <v>120</v>
      </c>
      <c r="S18" s="25">
        <f t="shared" si="6"/>
        <v>170</v>
      </c>
      <c r="T18" s="25">
        <f t="shared" si="6"/>
        <v>210</v>
      </c>
      <c r="U18" s="25">
        <f t="shared" si="6"/>
        <v>180</v>
      </c>
      <c r="V18" s="26">
        <f>SUM(O18:U18)</f>
        <v>899</v>
      </c>
      <c r="W18" s="28"/>
      <c r="Y18" s="33">
        <f>SUM(Y8:Y17)</f>
        <v>0</v>
      </c>
      <c r="Z18" s="34">
        <f>SUM(Z8:Z17)</f>
        <v>22.475000000000001</v>
      </c>
      <c r="AA18" s="35">
        <f>SUM(AA8:AA17)</f>
        <v>-22.475000000000001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0.5</v>
      </c>
      <c r="P19" s="21">
        <f t="shared" si="8"/>
        <v>1.9750000000000001</v>
      </c>
      <c r="Q19" s="21">
        <f t="shared" si="8"/>
        <v>3</v>
      </c>
      <c r="R19" s="21">
        <f t="shared" si="8"/>
        <v>3</v>
      </c>
      <c r="S19" s="21">
        <f t="shared" si="8"/>
        <v>4.25</v>
      </c>
      <c r="T19" s="21">
        <f t="shared" si="8"/>
        <v>5.25</v>
      </c>
      <c r="U19" s="21">
        <f t="shared" si="8"/>
        <v>4.5</v>
      </c>
      <c r="V19" s="22">
        <f t="shared" si="8"/>
        <v>22.475000000000001</v>
      </c>
      <c r="W19" s="23"/>
      <c r="Y19" s="39">
        <f>Y18/40</f>
        <v>0</v>
      </c>
      <c r="Z19" s="40">
        <f>Z18/40</f>
        <v>0.56187500000000001</v>
      </c>
      <c r="AA19" s="41">
        <f>AA18/40</f>
        <v>-0.56187500000000001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9"/>
  <sheetViews>
    <sheetView topLeftCell="A2"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4040</v>
      </c>
      <c r="P12" s="11">
        <v>2200</v>
      </c>
      <c r="Q12" s="11">
        <v>1960</v>
      </c>
      <c r="R12" s="11">
        <v>1280</v>
      </c>
      <c r="S12" s="11">
        <f>4520+880</f>
        <v>5400</v>
      </c>
      <c r="T12" s="11">
        <f>3580+640</f>
        <v>4220</v>
      </c>
      <c r="U12" s="11">
        <f>3400+880+2000</f>
        <v>6280</v>
      </c>
      <c r="V12" s="15">
        <f t="shared" si="1"/>
        <v>634.5</v>
      </c>
      <c r="W12" s="12"/>
      <c r="Y12" s="36">
        <f t="shared" si="2"/>
        <v>0</v>
      </c>
      <c r="Z12" s="37">
        <f t="shared" si="3"/>
        <v>634.5</v>
      </c>
      <c r="AA12" s="38">
        <f t="shared" si="4"/>
        <v>-634.5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32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34</v>
      </c>
      <c r="O17" s="11">
        <v>24</v>
      </c>
      <c r="P17" s="11">
        <v>16</v>
      </c>
      <c r="Q17" s="11">
        <v>16</v>
      </c>
      <c r="R17" s="11">
        <v>4</v>
      </c>
      <c r="S17" s="11">
        <v>4</v>
      </c>
      <c r="T17" s="11">
        <v>4</v>
      </c>
      <c r="U17" s="11">
        <v>4</v>
      </c>
      <c r="V17" s="15">
        <f t="shared" si="1"/>
        <v>1.8</v>
      </c>
      <c r="W17" s="12">
        <v>2</v>
      </c>
      <c r="Y17" s="36">
        <f t="shared" si="2"/>
        <v>0</v>
      </c>
      <c r="Z17" s="37">
        <f t="shared" si="3"/>
        <v>1.8</v>
      </c>
      <c r="AA17" s="38">
        <f t="shared" si="4"/>
        <v>-1.8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4064</v>
      </c>
      <c r="P18" s="25">
        <f t="shared" si="6"/>
        <v>2216</v>
      </c>
      <c r="Q18" s="25">
        <f t="shared" si="6"/>
        <v>1976</v>
      </c>
      <c r="R18" s="25">
        <f t="shared" si="6"/>
        <v>1284</v>
      </c>
      <c r="S18" s="25">
        <f t="shared" si="6"/>
        <v>5404</v>
      </c>
      <c r="T18" s="25">
        <f t="shared" si="6"/>
        <v>4224</v>
      </c>
      <c r="U18" s="25">
        <f t="shared" si="6"/>
        <v>6284</v>
      </c>
      <c r="V18" s="26">
        <f>SUM(O18:U18)</f>
        <v>25452</v>
      </c>
      <c r="W18" s="28"/>
      <c r="Y18" s="33">
        <f>SUM(Y8:Y17)</f>
        <v>0</v>
      </c>
      <c r="Z18" s="34">
        <f>SUM(Z8:Z17)</f>
        <v>636.29999999999995</v>
      </c>
      <c r="AA18" s="35">
        <f>SUM(AA8:AA17)</f>
        <v>-636.29999999999995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101.6</v>
      </c>
      <c r="P19" s="21">
        <f t="shared" si="8"/>
        <v>55.4</v>
      </c>
      <c r="Q19" s="21">
        <f t="shared" si="8"/>
        <v>49.4</v>
      </c>
      <c r="R19" s="21">
        <f t="shared" si="8"/>
        <v>32.1</v>
      </c>
      <c r="S19" s="21">
        <f t="shared" si="8"/>
        <v>135.1</v>
      </c>
      <c r="T19" s="21">
        <f t="shared" si="8"/>
        <v>105.6</v>
      </c>
      <c r="U19" s="21">
        <f t="shared" si="8"/>
        <v>157.1</v>
      </c>
      <c r="V19" s="22">
        <f t="shared" si="8"/>
        <v>636.29999999999995</v>
      </c>
      <c r="W19" s="23"/>
      <c r="Y19" s="39">
        <f>Y18/40</f>
        <v>0</v>
      </c>
      <c r="Z19" s="40">
        <f>Z18/40</f>
        <v>15.907499999999999</v>
      </c>
      <c r="AA19" s="41">
        <f>AA18/40</f>
        <v>-15.907499999999999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>
        <v>80</v>
      </c>
      <c r="Q12" s="11">
        <v>80</v>
      </c>
      <c r="R12" s="11">
        <v>280</v>
      </c>
      <c r="S12" s="11">
        <v>120</v>
      </c>
      <c r="T12" s="11">
        <v>120</v>
      </c>
      <c r="U12" s="11">
        <v>200</v>
      </c>
      <c r="V12" s="15">
        <f t="shared" si="1"/>
        <v>23</v>
      </c>
      <c r="W12" s="12"/>
      <c r="Y12" s="36">
        <f t="shared" si="2"/>
        <v>0</v>
      </c>
      <c r="Z12" s="37">
        <f t="shared" si="3"/>
        <v>23</v>
      </c>
      <c r="AA12" s="38">
        <f t="shared" si="4"/>
        <v>-23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35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M17" s="16"/>
      <c r="N17" s="17" t="s">
        <v>36</v>
      </c>
      <c r="O17" s="11">
        <v>40</v>
      </c>
      <c r="P17" s="11">
        <v>0</v>
      </c>
      <c r="Q17" s="11">
        <v>0</v>
      </c>
      <c r="R17" s="11">
        <v>0</v>
      </c>
      <c r="S17" s="11">
        <v>15</v>
      </c>
      <c r="T17" s="11">
        <v>10</v>
      </c>
      <c r="U17" s="11">
        <v>15</v>
      </c>
      <c r="V17" s="15">
        <f t="shared" si="1"/>
        <v>2</v>
      </c>
      <c r="W17" s="12">
        <v>2</v>
      </c>
      <c r="Y17" s="36">
        <f t="shared" si="2"/>
        <v>0</v>
      </c>
      <c r="Z17" s="37">
        <f t="shared" si="3"/>
        <v>2</v>
      </c>
      <c r="AA17" s="38">
        <f t="shared" si="4"/>
        <v>-2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80</v>
      </c>
      <c r="P18" s="25">
        <f t="shared" si="6"/>
        <v>80</v>
      </c>
      <c r="Q18" s="25">
        <f t="shared" si="6"/>
        <v>80</v>
      </c>
      <c r="R18" s="25">
        <f t="shared" si="6"/>
        <v>280</v>
      </c>
      <c r="S18" s="25">
        <f t="shared" si="6"/>
        <v>135</v>
      </c>
      <c r="T18" s="25">
        <f t="shared" si="6"/>
        <v>130</v>
      </c>
      <c r="U18" s="25">
        <f t="shared" si="6"/>
        <v>215</v>
      </c>
      <c r="V18" s="26">
        <f>SUM(O18:U18)</f>
        <v>1000</v>
      </c>
      <c r="W18" s="28"/>
      <c r="Y18" s="33">
        <f>SUM(Y8:Y17)</f>
        <v>0</v>
      </c>
      <c r="Z18" s="34">
        <f>SUM(Z8:Z17)</f>
        <v>25</v>
      </c>
      <c r="AA18" s="35">
        <f>SUM(AA8:AA17)</f>
        <v>-25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</v>
      </c>
      <c r="P19" s="21">
        <f t="shared" si="8"/>
        <v>2</v>
      </c>
      <c r="Q19" s="21">
        <f t="shared" si="8"/>
        <v>2</v>
      </c>
      <c r="R19" s="21">
        <f t="shared" si="8"/>
        <v>7</v>
      </c>
      <c r="S19" s="21">
        <f t="shared" si="8"/>
        <v>3.375</v>
      </c>
      <c r="T19" s="21">
        <f t="shared" si="8"/>
        <v>3.25</v>
      </c>
      <c r="U19" s="21">
        <f t="shared" si="8"/>
        <v>5.375</v>
      </c>
      <c r="V19" s="22">
        <f t="shared" si="8"/>
        <v>25</v>
      </c>
      <c r="W19" s="23"/>
      <c r="Y19" s="39">
        <f>Y18/40</f>
        <v>0</v>
      </c>
      <c r="Z19" s="40">
        <f>Z18/40</f>
        <v>0.625</v>
      </c>
      <c r="AA19" s="41">
        <f>AA18/40</f>
        <v>-0.625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/>
      <c r="Y12" s="36">
        <f t="shared" si="2"/>
        <v>0</v>
      </c>
      <c r="Z12" s="37">
        <f t="shared" si="3"/>
        <v>6</v>
      </c>
      <c r="AA12" s="38">
        <f t="shared" si="4"/>
        <v>-6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40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70</v>
      </c>
      <c r="T18" s="25">
        <f t="shared" si="6"/>
        <v>60</v>
      </c>
      <c r="U18" s="25">
        <f t="shared" si="6"/>
        <v>70</v>
      </c>
      <c r="V18" s="26">
        <f>SUM(O18:U18)</f>
        <v>240</v>
      </c>
      <c r="W18" s="28"/>
      <c r="Y18" s="33">
        <f>SUM(Y8:Y17)</f>
        <v>0</v>
      </c>
      <c r="Z18" s="34">
        <f>SUM(Z8:Z17)</f>
        <v>6</v>
      </c>
      <c r="AA18" s="35">
        <f>SUM(AA8:AA17)</f>
        <v>-6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1.75</v>
      </c>
      <c r="T19" s="21">
        <f t="shared" si="8"/>
        <v>1.5</v>
      </c>
      <c r="U19" s="21">
        <f t="shared" si="8"/>
        <v>1.75</v>
      </c>
      <c r="V19" s="22">
        <f t="shared" si="8"/>
        <v>6</v>
      </c>
      <c r="W19" s="23"/>
      <c r="Y19" s="39">
        <f>Y18/40</f>
        <v>0</v>
      </c>
      <c r="Z19" s="40">
        <f>Z18/40</f>
        <v>0.15</v>
      </c>
      <c r="AA19" s="41">
        <f>AA18/40</f>
        <v>-0.15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/>
      <c r="Y12" s="36">
        <f t="shared" si="2"/>
        <v>0</v>
      </c>
      <c r="Z12" s="37">
        <f t="shared" si="3"/>
        <v>6</v>
      </c>
      <c r="AA12" s="38">
        <f t="shared" si="4"/>
        <v>-6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37</v>
      </c>
      <c r="O17" s="11">
        <v>12</v>
      </c>
      <c r="P17" s="11">
        <v>0</v>
      </c>
      <c r="Q17" s="11">
        <v>12</v>
      </c>
      <c r="R17" s="11">
        <v>0</v>
      </c>
      <c r="S17" s="11">
        <v>15</v>
      </c>
      <c r="T17" s="11">
        <v>0</v>
      </c>
      <c r="U17" s="11">
        <v>0</v>
      </c>
      <c r="V17" s="15">
        <f t="shared" si="1"/>
        <v>0.97499999999999998</v>
      </c>
      <c r="W17" s="12">
        <v>3</v>
      </c>
      <c r="Y17" s="36">
        <f t="shared" si="2"/>
        <v>0</v>
      </c>
      <c r="Z17" s="37">
        <f t="shared" si="3"/>
        <v>0.97499999999999998</v>
      </c>
      <c r="AA17" s="38">
        <f t="shared" si="4"/>
        <v>-0.97499999999999998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52</v>
      </c>
      <c r="P18" s="25">
        <f t="shared" si="6"/>
        <v>0</v>
      </c>
      <c r="Q18" s="25">
        <f t="shared" si="6"/>
        <v>12</v>
      </c>
      <c r="R18" s="25">
        <f t="shared" si="6"/>
        <v>0</v>
      </c>
      <c r="S18" s="25">
        <f t="shared" si="6"/>
        <v>85</v>
      </c>
      <c r="T18" s="25">
        <f t="shared" si="6"/>
        <v>60</v>
      </c>
      <c r="U18" s="25">
        <f t="shared" si="6"/>
        <v>70</v>
      </c>
      <c r="V18" s="26">
        <f>SUM(O18:U18)</f>
        <v>279</v>
      </c>
      <c r="W18" s="28"/>
      <c r="Y18" s="33">
        <f>SUM(Y8:Y17)</f>
        <v>0</v>
      </c>
      <c r="Z18" s="34">
        <f>SUM(Z8:Z17)</f>
        <v>6.9749999999999996</v>
      </c>
      <c r="AA18" s="35">
        <f>SUM(AA8:AA17)</f>
        <v>-6.9749999999999996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1.3</v>
      </c>
      <c r="P19" s="21">
        <f t="shared" si="8"/>
        <v>0</v>
      </c>
      <c r="Q19" s="21">
        <f t="shared" si="8"/>
        <v>0.3</v>
      </c>
      <c r="R19" s="21">
        <f t="shared" si="8"/>
        <v>0</v>
      </c>
      <c r="S19" s="21">
        <f t="shared" si="8"/>
        <v>2.125</v>
      </c>
      <c r="T19" s="21">
        <f t="shared" si="8"/>
        <v>1.5</v>
      </c>
      <c r="U19" s="21">
        <f t="shared" si="8"/>
        <v>1.75</v>
      </c>
      <c r="V19" s="22">
        <f t="shared" si="8"/>
        <v>6.9749999999999996</v>
      </c>
      <c r="W19" s="23"/>
      <c r="Y19" s="39">
        <f>Y18/40</f>
        <v>0</v>
      </c>
      <c r="Z19" s="40">
        <f>Z18/40</f>
        <v>0.174375</v>
      </c>
      <c r="AA19" s="41">
        <f>AA18/40</f>
        <v>-0.174375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>
        <v>280</v>
      </c>
      <c r="Q12" s="11">
        <v>288</v>
      </c>
      <c r="R12" s="11">
        <v>680</v>
      </c>
      <c r="S12" s="11">
        <v>440</v>
      </c>
      <c r="T12" s="11">
        <v>599</v>
      </c>
      <c r="U12" s="11">
        <v>600</v>
      </c>
      <c r="V12" s="15">
        <f t="shared" si="1"/>
        <v>72.174999999999997</v>
      </c>
      <c r="W12" s="12"/>
      <c r="Y12" s="36">
        <f t="shared" si="2"/>
        <v>0</v>
      </c>
      <c r="Z12" s="37">
        <f t="shared" si="3"/>
        <v>72.174999999999997</v>
      </c>
      <c r="AA12" s="38">
        <f t="shared" si="4"/>
        <v>-72.174999999999997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280</v>
      </c>
      <c r="Q18" s="25">
        <f t="shared" si="6"/>
        <v>288</v>
      </c>
      <c r="R18" s="25">
        <f t="shared" si="6"/>
        <v>680</v>
      </c>
      <c r="S18" s="25">
        <f t="shared" si="6"/>
        <v>440</v>
      </c>
      <c r="T18" s="25">
        <f t="shared" si="6"/>
        <v>599</v>
      </c>
      <c r="U18" s="25">
        <f t="shared" si="6"/>
        <v>600</v>
      </c>
      <c r="V18" s="26">
        <f>SUM(O18:U18)</f>
        <v>2887</v>
      </c>
      <c r="W18" s="28"/>
      <c r="Y18" s="33">
        <f>SUM(Y8:Y17)</f>
        <v>0</v>
      </c>
      <c r="Z18" s="34">
        <f>SUM(Z8:Z17)</f>
        <v>72.174999999999997</v>
      </c>
      <c r="AA18" s="35">
        <f>SUM(AA8:AA17)</f>
        <v>-72.174999999999997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7</v>
      </c>
      <c r="Q19" s="21">
        <f t="shared" si="8"/>
        <v>7.2</v>
      </c>
      <c r="R19" s="21">
        <f t="shared" si="8"/>
        <v>17</v>
      </c>
      <c r="S19" s="21">
        <f t="shared" si="8"/>
        <v>11</v>
      </c>
      <c r="T19" s="21">
        <f t="shared" si="8"/>
        <v>14.975</v>
      </c>
      <c r="U19" s="21">
        <f t="shared" si="8"/>
        <v>15</v>
      </c>
      <c r="V19" s="22">
        <f t="shared" si="8"/>
        <v>72.174999999999997</v>
      </c>
      <c r="W19" s="23"/>
      <c r="Y19" s="39">
        <f>Y18/40</f>
        <v>0</v>
      </c>
      <c r="Z19" s="40">
        <f>Z18/40</f>
        <v>1.8043749999999998</v>
      </c>
      <c r="AA19" s="41">
        <f>AA18/40</f>
        <v>-1.8043749999999998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7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  <row r="27" spans="1:27" x14ac:dyDescent="0.35">
      <c r="J27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31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8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40</v>
      </c>
      <c r="P12" s="11"/>
      <c r="Q12" s="11"/>
      <c r="R12" s="11"/>
      <c r="S12" s="11">
        <v>1</v>
      </c>
      <c r="T12" s="11">
        <v>1</v>
      </c>
      <c r="U12" s="11">
        <v>1</v>
      </c>
      <c r="V12" s="15">
        <f t="shared" si="1"/>
        <v>1.075</v>
      </c>
      <c r="W12" s="12"/>
      <c r="Y12" s="36">
        <f t="shared" si="2"/>
        <v>0</v>
      </c>
      <c r="Z12" s="37">
        <f t="shared" si="3"/>
        <v>1.075</v>
      </c>
      <c r="AA12" s="38">
        <f t="shared" si="4"/>
        <v>-1.075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38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38</v>
      </c>
      <c r="O17" s="11">
        <v>69</v>
      </c>
      <c r="P17" s="11">
        <v>0</v>
      </c>
      <c r="Q17" s="11">
        <v>22</v>
      </c>
      <c r="R17" s="11">
        <v>0</v>
      </c>
      <c r="S17" s="11">
        <v>23</v>
      </c>
      <c r="T17" s="11">
        <v>10</v>
      </c>
      <c r="U17" s="11">
        <v>20</v>
      </c>
      <c r="V17" s="15">
        <f t="shared" si="1"/>
        <v>3.6</v>
      </c>
      <c r="W17" s="18">
        <v>5</v>
      </c>
      <c r="Y17" s="36">
        <f t="shared" si="2"/>
        <v>0</v>
      </c>
      <c r="Z17" s="37">
        <f t="shared" si="3"/>
        <v>3.6</v>
      </c>
      <c r="AA17" s="38">
        <f t="shared" si="4"/>
        <v>-3.6</v>
      </c>
    </row>
    <row r="18" spans="1:27" x14ac:dyDescent="0.35">
      <c r="A18" s="16"/>
      <c r="B18" s="17" t="s">
        <v>16</v>
      </c>
      <c r="C18" s="11">
        <v>80</v>
      </c>
      <c r="D18" s="11">
        <v>320</v>
      </c>
      <c r="E18" s="11">
        <v>160</v>
      </c>
      <c r="F18" s="11">
        <v>600</v>
      </c>
      <c r="G18" s="11">
        <v>360</v>
      </c>
      <c r="H18" s="11">
        <v>160</v>
      </c>
      <c r="I18" s="11">
        <v>760</v>
      </c>
      <c r="J18" s="15">
        <f t="shared" si="0"/>
        <v>61</v>
      </c>
      <c r="K18" s="18"/>
      <c r="M18" s="16"/>
      <c r="N18" s="17" t="s">
        <v>16</v>
      </c>
      <c r="O18" s="11"/>
      <c r="P18" s="11">
        <v>160</v>
      </c>
      <c r="Q18" s="11">
        <v>120</v>
      </c>
      <c r="R18" s="11">
        <v>840</v>
      </c>
      <c r="S18" s="11">
        <v>319</v>
      </c>
      <c r="T18" s="11">
        <v>160</v>
      </c>
      <c r="U18" s="11">
        <v>680</v>
      </c>
      <c r="V18" s="15">
        <f>SUM(O18:U18)/40</f>
        <v>56.975000000000001</v>
      </c>
      <c r="W18" s="18"/>
      <c r="Y18" s="36">
        <f t="shared" ref="Y18" si="5">J18</f>
        <v>61</v>
      </c>
      <c r="Z18" s="37">
        <f t="shared" ref="Z18" si="6">V18</f>
        <v>56.975000000000001</v>
      </c>
      <c r="AA18" s="38">
        <f t="shared" ref="AA18" si="7">Y18-Z18</f>
        <v>4.0249999999999986</v>
      </c>
    </row>
    <row r="19" spans="1:27" x14ac:dyDescent="0.35">
      <c r="A19" s="1"/>
      <c r="B19" s="7"/>
      <c r="C19" s="25">
        <f t="shared" ref="C19:I19" si="8">SUM(C8:C18)</f>
        <v>80</v>
      </c>
      <c r="D19" s="25">
        <f t="shared" si="8"/>
        <v>320</v>
      </c>
      <c r="E19" s="25">
        <f t="shared" si="8"/>
        <v>160</v>
      </c>
      <c r="F19" s="25">
        <f t="shared" si="8"/>
        <v>600</v>
      </c>
      <c r="G19" s="25">
        <f t="shared" si="8"/>
        <v>360</v>
      </c>
      <c r="H19" s="25">
        <f t="shared" si="8"/>
        <v>160</v>
      </c>
      <c r="I19" s="25">
        <f t="shared" si="8"/>
        <v>760</v>
      </c>
      <c r="J19" s="26">
        <f>SUM(C19:I19)</f>
        <v>2440</v>
      </c>
      <c r="K19" s="28"/>
      <c r="M19" s="1"/>
      <c r="N19" s="7"/>
      <c r="O19" s="72">
        <f>SUM(O8:O18)</f>
        <v>109</v>
      </c>
      <c r="P19" s="72">
        <f t="shared" ref="P19:U19" si="9">SUM(P8:P18)</f>
        <v>160</v>
      </c>
      <c r="Q19" s="72">
        <f t="shared" si="9"/>
        <v>142</v>
      </c>
      <c r="R19" s="72">
        <f t="shared" si="9"/>
        <v>840</v>
      </c>
      <c r="S19" s="72">
        <f t="shared" si="9"/>
        <v>343</v>
      </c>
      <c r="T19" s="72">
        <f t="shared" si="9"/>
        <v>171</v>
      </c>
      <c r="U19" s="72">
        <f t="shared" si="9"/>
        <v>701</v>
      </c>
      <c r="V19" s="26">
        <f>SUM(O19:U19)</f>
        <v>2466</v>
      </c>
      <c r="W19" s="28"/>
      <c r="Y19" s="33">
        <f>SUM(Y8:Y17)</f>
        <v>0</v>
      </c>
      <c r="Z19" s="34">
        <f>SUM(Z8:Z17)</f>
        <v>4.6749999999999998</v>
      </c>
      <c r="AA19" s="35">
        <f>SUM(AA8:AA17)</f>
        <v>-4.6749999999999998</v>
      </c>
    </row>
    <row r="20" spans="1:27" ht="15" thickBot="1" x14ac:dyDescent="0.4">
      <c r="A20" s="1"/>
      <c r="B20" s="20" t="s">
        <v>18</v>
      </c>
      <c r="C20" s="21">
        <f t="shared" ref="C20:J20" si="10">C19/40</f>
        <v>2</v>
      </c>
      <c r="D20" s="21">
        <f t="shared" si="10"/>
        <v>8</v>
      </c>
      <c r="E20" s="21">
        <f t="shared" si="10"/>
        <v>4</v>
      </c>
      <c r="F20" s="21">
        <f t="shared" si="10"/>
        <v>15</v>
      </c>
      <c r="G20" s="21">
        <f t="shared" si="10"/>
        <v>9</v>
      </c>
      <c r="H20" s="21">
        <f t="shared" si="10"/>
        <v>4</v>
      </c>
      <c r="I20" s="21">
        <f t="shared" si="10"/>
        <v>19</v>
      </c>
      <c r="J20" s="22">
        <f t="shared" si="10"/>
        <v>61</v>
      </c>
      <c r="K20" s="23"/>
      <c r="M20" s="1"/>
      <c r="N20" s="20" t="s">
        <v>18</v>
      </c>
      <c r="O20" s="21">
        <f t="shared" ref="O20:V20" si="11">O19/40</f>
        <v>2.7250000000000001</v>
      </c>
      <c r="P20" s="21">
        <f t="shared" si="11"/>
        <v>4</v>
      </c>
      <c r="Q20" s="21">
        <f t="shared" si="11"/>
        <v>3.55</v>
      </c>
      <c r="R20" s="21">
        <f t="shared" si="11"/>
        <v>21</v>
      </c>
      <c r="S20" s="21">
        <f t="shared" si="11"/>
        <v>8.5749999999999993</v>
      </c>
      <c r="T20" s="21">
        <f t="shared" si="11"/>
        <v>4.2750000000000004</v>
      </c>
      <c r="U20" s="21">
        <f t="shared" si="11"/>
        <v>17.524999999999999</v>
      </c>
      <c r="V20" s="22">
        <f t="shared" si="11"/>
        <v>61.65</v>
      </c>
      <c r="W20" s="23"/>
      <c r="Y20" s="39">
        <f>Y19/40</f>
        <v>0</v>
      </c>
      <c r="Z20" s="40">
        <f>Z19/40</f>
        <v>0.11687499999999999</v>
      </c>
      <c r="AA20" s="41">
        <f>AA19/40</f>
        <v>-0.11687499999999999</v>
      </c>
    </row>
    <row r="24" spans="1:27" x14ac:dyDescent="0.35">
      <c r="X24">
        <v>20467</v>
      </c>
      <c r="Y24">
        <v>3323</v>
      </c>
    </row>
    <row r="25" spans="1:27" x14ac:dyDescent="0.35">
      <c r="X25">
        <v>20557</v>
      </c>
      <c r="Y25">
        <v>2515</v>
      </c>
    </row>
    <row r="26" spans="1:27" x14ac:dyDescent="0.35">
      <c r="X26">
        <v>18860</v>
      </c>
      <c r="Y26">
        <v>4805</v>
      </c>
    </row>
    <row r="27" spans="1:27" x14ac:dyDescent="0.35">
      <c r="X27" s="73">
        <f>SUM(X24:X26)</f>
        <v>59884</v>
      </c>
      <c r="Y27">
        <v>6272</v>
      </c>
    </row>
    <row r="28" spans="1:27" x14ac:dyDescent="0.35">
      <c r="Y28">
        <v>3136</v>
      </c>
    </row>
    <row r="29" spans="1:27" x14ac:dyDescent="0.35">
      <c r="Y29">
        <v>130</v>
      </c>
    </row>
    <row r="30" spans="1:27" x14ac:dyDescent="0.35">
      <c r="Y30">
        <f>SUM(Y24:Y29)</f>
        <v>20181</v>
      </c>
    </row>
    <row r="31" spans="1:27" x14ac:dyDescent="0.35">
      <c r="W31">
        <f>X27-Y30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107</v>
      </c>
      <c r="P12" s="11">
        <v>10</v>
      </c>
      <c r="Q12" s="11">
        <v>106</v>
      </c>
      <c r="R12" s="11">
        <v>15</v>
      </c>
      <c r="S12" s="11">
        <v>51</v>
      </c>
      <c r="T12" s="11">
        <v>40</v>
      </c>
      <c r="U12" s="11">
        <v>40</v>
      </c>
      <c r="V12" s="15">
        <f t="shared" si="1"/>
        <v>9.2249999999999996</v>
      </c>
      <c r="W12" s="12"/>
      <c r="Y12" s="36">
        <f t="shared" si="2"/>
        <v>0</v>
      </c>
      <c r="Z12" s="37">
        <f t="shared" si="3"/>
        <v>9.2249999999999996</v>
      </c>
      <c r="AA12" s="38">
        <f t="shared" si="4"/>
        <v>-9.2249999999999996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107</v>
      </c>
      <c r="P18" s="25">
        <f t="shared" si="6"/>
        <v>10</v>
      </c>
      <c r="Q18" s="25">
        <f t="shared" si="6"/>
        <v>106</v>
      </c>
      <c r="R18" s="25">
        <f t="shared" si="6"/>
        <v>15</v>
      </c>
      <c r="S18" s="25">
        <f t="shared" si="6"/>
        <v>51</v>
      </c>
      <c r="T18" s="25">
        <f t="shared" si="6"/>
        <v>40</v>
      </c>
      <c r="U18" s="25">
        <f t="shared" si="6"/>
        <v>40</v>
      </c>
      <c r="V18" s="26">
        <f>SUM(O18:U18)</f>
        <v>369</v>
      </c>
      <c r="W18" s="28"/>
      <c r="Y18" s="33">
        <f>SUM(Y8:Y17)</f>
        <v>0</v>
      </c>
      <c r="Z18" s="34">
        <f>SUM(Z8:Z17)</f>
        <v>9.2249999999999996</v>
      </c>
      <c r="AA18" s="35">
        <f>SUM(AA8:AA17)</f>
        <v>-9.2249999999999996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2.6749999999999998</v>
      </c>
      <c r="P19" s="21">
        <f t="shared" si="8"/>
        <v>0.25</v>
      </c>
      <c r="Q19" s="21">
        <f t="shared" si="8"/>
        <v>2.65</v>
      </c>
      <c r="R19" s="21">
        <f t="shared" si="8"/>
        <v>0.375</v>
      </c>
      <c r="S19" s="21">
        <f t="shared" si="8"/>
        <v>1.2749999999999999</v>
      </c>
      <c r="T19" s="21">
        <f t="shared" si="8"/>
        <v>1</v>
      </c>
      <c r="U19" s="21">
        <f t="shared" si="8"/>
        <v>1</v>
      </c>
      <c r="V19" s="22">
        <f t="shared" si="8"/>
        <v>9.2249999999999996</v>
      </c>
      <c r="W19" s="23"/>
      <c r="Y19" s="39">
        <f>Y18/40</f>
        <v>0</v>
      </c>
      <c r="Z19" s="40">
        <f>Z18/40</f>
        <v>0.230625</v>
      </c>
      <c r="AA19" s="41">
        <f>AA18/40</f>
        <v>-0.230625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26</v>
      </c>
      <c r="P12" s="11">
        <v>12</v>
      </c>
      <c r="Q12" s="11">
        <v>20</v>
      </c>
      <c r="R12" s="11">
        <v>12</v>
      </c>
      <c r="S12" s="11">
        <v>20</v>
      </c>
      <c r="T12" s="11">
        <v>6</v>
      </c>
      <c r="U12" s="11">
        <v>12</v>
      </c>
      <c r="V12" s="15">
        <f t="shared" si="1"/>
        <v>2.7</v>
      </c>
      <c r="W12" s="12"/>
      <c r="Y12" s="36">
        <f t="shared" si="2"/>
        <v>0</v>
      </c>
      <c r="Z12" s="37">
        <f t="shared" si="3"/>
        <v>2.7</v>
      </c>
      <c r="AA12" s="38">
        <f t="shared" si="4"/>
        <v>-2.7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17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17</v>
      </c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26</v>
      </c>
      <c r="P18" s="25">
        <f t="shared" si="6"/>
        <v>12</v>
      </c>
      <c r="Q18" s="25">
        <f t="shared" si="6"/>
        <v>20</v>
      </c>
      <c r="R18" s="25">
        <f t="shared" si="6"/>
        <v>12</v>
      </c>
      <c r="S18" s="25">
        <f t="shared" si="6"/>
        <v>20</v>
      </c>
      <c r="T18" s="25">
        <f t="shared" si="6"/>
        <v>6</v>
      </c>
      <c r="U18" s="25">
        <f t="shared" si="6"/>
        <v>12</v>
      </c>
      <c r="V18" s="26">
        <f>SUM(O18:U18)</f>
        <v>108</v>
      </c>
      <c r="W18" s="28"/>
      <c r="Y18" s="33">
        <f>SUM(Y8:Y17)</f>
        <v>0</v>
      </c>
      <c r="Z18" s="34">
        <f>SUM(Z8:Z17)</f>
        <v>2.7</v>
      </c>
      <c r="AA18" s="35">
        <f>SUM(AA8:AA17)</f>
        <v>-2.7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0.65</v>
      </c>
      <c r="P19" s="21">
        <f t="shared" si="8"/>
        <v>0.3</v>
      </c>
      <c r="Q19" s="21">
        <f t="shared" si="8"/>
        <v>0.5</v>
      </c>
      <c r="R19" s="21">
        <f t="shared" si="8"/>
        <v>0.3</v>
      </c>
      <c r="S19" s="21">
        <f t="shared" si="8"/>
        <v>0.5</v>
      </c>
      <c r="T19" s="21">
        <f t="shared" si="8"/>
        <v>0.15</v>
      </c>
      <c r="U19" s="21">
        <f t="shared" si="8"/>
        <v>0.3</v>
      </c>
      <c r="V19" s="22">
        <f t="shared" si="8"/>
        <v>2.7</v>
      </c>
      <c r="W19" s="23"/>
      <c r="Y19" s="39">
        <f>Y18/40</f>
        <v>0</v>
      </c>
      <c r="Z19" s="40">
        <f>Z18/40</f>
        <v>6.7500000000000004E-2</v>
      </c>
      <c r="AA19" s="41">
        <f>AA18/40</f>
        <v>-6.7500000000000004E-2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1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6" si="0">SUM(C9:I9)/40</f>
        <v>0</v>
      </c>
      <c r="K9" s="12"/>
      <c r="L9" s="13"/>
      <c r="M9" s="14"/>
      <c r="N9" s="7" t="s">
        <v>14</v>
      </c>
      <c r="O9" s="43"/>
      <c r="P9" s="43"/>
      <c r="Q9" s="43"/>
      <c r="R9" s="43"/>
      <c r="S9" s="43"/>
      <c r="T9" s="43"/>
      <c r="U9" s="43"/>
      <c r="V9" s="71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15</v>
      </c>
      <c r="O10" s="43"/>
      <c r="P10" s="43"/>
      <c r="Q10" s="43"/>
      <c r="R10" s="43"/>
      <c r="S10" s="43"/>
      <c r="T10" s="43"/>
      <c r="U10" s="43"/>
      <c r="V10" s="71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39</v>
      </c>
      <c r="O11" s="43"/>
      <c r="P11" s="43"/>
      <c r="Q11" s="43"/>
      <c r="R11" s="43"/>
      <c r="S11" s="43"/>
      <c r="T11" s="43"/>
      <c r="U11" s="43"/>
      <c r="V11" s="71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37</v>
      </c>
      <c r="O12" s="43"/>
      <c r="P12" s="43"/>
      <c r="Q12" s="43"/>
      <c r="R12" s="43"/>
      <c r="S12" s="43"/>
      <c r="T12" s="43"/>
      <c r="U12" s="43"/>
      <c r="V12" s="71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43"/>
      <c r="D13" s="43"/>
      <c r="E13" s="43"/>
      <c r="F13" s="43"/>
      <c r="G13" s="43"/>
      <c r="H13" s="43"/>
      <c r="I13" s="43"/>
      <c r="J13" s="15">
        <f t="shared" si="0"/>
        <v>0</v>
      </c>
      <c r="K13" s="12"/>
      <c r="L13" s="13"/>
      <c r="M13" s="16"/>
      <c r="N13" s="17" t="s">
        <v>16</v>
      </c>
      <c r="O13" s="43"/>
      <c r="P13" s="43"/>
      <c r="Q13" s="43"/>
      <c r="R13" s="43"/>
      <c r="S13" s="43"/>
      <c r="T13" s="43"/>
      <c r="U13" s="43"/>
      <c r="V13" s="71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43"/>
      <c r="D14" s="43"/>
      <c r="E14" s="43"/>
      <c r="F14" s="43"/>
      <c r="G14" s="43"/>
      <c r="H14" s="43"/>
      <c r="I14" s="43"/>
      <c r="J14" s="15">
        <f t="shared" si="0"/>
        <v>0</v>
      </c>
      <c r="K14" s="12"/>
      <c r="L14" s="13"/>
      <c r="M14" s="16"/>
      <c r="N14" s="17" t="s">
        <v>45</v>
      </c>
      <c r="O14" s="43"/>
      <c r="P14" s="43"/>
      <c r="Q14" s="43"/>
      <c r="R14" s="43"/>
      <c r="S14" s="43"/>
      <c r="T14" s="43"/>
      <c r="U14" s="43"/>
      <c r="V14" s="71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43"/>
      <c r="D15" s="43"/>
      <c r="E15" s="43"/>
      <c r="F15" s="43"/>
      <c r="G15" s="43"/>
      <c r="H15" s="43"/>
      <c r="I15" s="43"/>
      <c r="J15" s="15">
        <f t="shared" si="0"/>
        <v>0</v>
      </c>
      <c r="K15" s="12"/>
      <c r="L15" s="13"/>
      <c r="M15" s="16"/>
      <c r="N15" s="17" t="s">
        <v>46</v>
      </c>
      <c r="O15" s="43"/>
      <c r="P15" s="43"/>
      <c r="Q15" s="43"/>
      <c r="R15" s="43"/>
      <c r="S15" s="43"/>
      <c r="T15" s="43"/>
      <c r="U15" s="43"/>
      <c r="V15" s="71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43"/>
      <c r="D16" s="43"/>
      <c r="E16" s="43"/>
      <c r="F16" s="43"/>
      <c r="G16" s="43"/>
      <c r="H16" s="43"/>
      <c r="I16" s="43"/>
      <c r="J16" s="15">
        <f t="shared" si="0"/>
        <v>0</v>
      </c>
      <c r="K16" s="12"/>
      <c r="L16" s="13"/>
      <c r="M16" s="16"/>
      <c r="N16" s="17" t="s">
        <v>48</v>
      </c>
      <c r="O16" s="43"/>
      <c r="P16" s="43"/>
      <c r="Q16" s="43"/>
      <c r="R16" s="43"/>
      <c r="S16" s="43"/>
      <c r="T16" s="43"/>
      <c r="U16" s="43"/>
      <c r="V16" s="71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43"/>
      <c r="D17" s="43"/>
      <c r="E17" s="43"/>
      <c r="F17" s="43"/>
      <c r="G17" s="43"/>
      <c r="H17" s="43"/>
      <c r="I17" s="43"/>
      <c r="J17" s="15"/>
      <c r="K17" s="18"/>
      <c r="M17" s="16"/>
      <c r="N17" s="17"/>
      <c r="O17" s="43"/>
      <c r="P17" s="43"/>
      <c r="Q17" s="43"/>
      <c r="R17" s="43"/>
      <c r="S17" s="43"/>
      <c r="T17" s="43"/>
      <c r="U17" s="43"/>
      <c r="V17" s="71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70</v>
      </c>
      <c r="P12" s="11">
        <v>10</v>
      </c>
      <c r="Q12" s="11">
        <v>20</v>
      </c>
      <c r="R12" s="11">
        <v>0</v>
      </c>
      <c r="S12" s="11">
        <v>20</v>
      </c>
      <c r="T12" s="11">
        <v>10</v>
      </c>
      <c r="U12" s="11">
        <v>10</v>
      </c>
      <c r="V12" s="15">
        <f t="shared" si="1"/>
        <v>3.5</v>
      </c>
      <c r="W12" s="12"/>
      <c r="Y12" s="36">
        <f t="shared" si="2"/>
        <v>0</v>
      </c>
      <c r="Z12" s="37">
        <f t="shared" si="3"/>
        <v>3.5</v>
      </c>
      <c r="AA12" s="38">
        <f t="shared" si="4"/>
        <v>-3.5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v>40</v>
      </c>
      <c r="P17" s="11">
        <v>199</v>
      </c>
      <c r="Q17" s="11">
        <v>200</v>
      </c>
      <c r="R17" s="11">
        <v>320</v>
      </c>
      <c r="S17" s="11">
        <v>280</v>
      </c>
      <c r="T17" s="11">
        <v>280</v>
      </c>
      <c r="U17" s="11">
        <v>300</v>
      </c>
      <c r="V17" s="15">
        <f t="shared" si="1"/>
        <v>40.475000000000001</v>
      </c>
      <c r="W17" s="12">
        <v>5</v>
      </c>
      <c r="Y17" s="36">
        <f t="shared" si="2"/>
        <v>0</v>
      </c>
      <c r="Z17" s="37">
        <f t="shared" si="3"/>
        <v>40.475000000000001</v>
      </c>
      <c r="AA17" s="38">
        <f t="shared" si="4"/>
        <v>-40.475000000000001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110</v>
      </c>
      <c r="P18" s="25">
        <f t="shared" si="6"/>
        <v>209</v>
      </c>
      <c r="Q18" s="25">
        <f t="shared" si="6"/>
        <v>220</v>
      </c>
      <c r="R18" s="25">
        <f t="shared" si="6"/>
        <v>320</v>
      </c>
      <c r="S18" s="25">
        <f t="shared" si="6"/>
        <v>300</v>
      </c>
      <c r="T18" s="25">
        <f t="shared" si="6"/>
        <v>290</v>
      </c>
      <c r="U18" s="25">
        <f t="shared" si="6"/>
        <v>310</v>
      </c>
      <c r="V18" s="26">
        <f>SUM(O18:U18)</f>
        <v>1759</v>
      </c>
      <c r="W18" s="28"/>
      <c r="Y18" s="33">
        <f>SUM(Y8:Y17)</f>
        <v>0</v>
      </c>
      <c r="Z18" s="34">
        <f>SUM(Z8:Z17)</f>
        <v>43.975000000000001</v>
      </c>
      <c r="AA18" s="35">
        <f>SUM(AA8:AA17)</f>
        <v>-43.975000000000001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2.75</v>
      </c>
      <c r="P19" s="21">
        <f t="shared" si="8"/>
        <v>5.2249999999999996</v>
      </c>
      <c r="Q19" s="21">
        <f t="shared" si="8"/>
        <v>5.5</v>
      </c>
      <c r="R19" s="21">
        <f t="shared" si="8"/>
        <v>8</v>
      </c>
      <c r="S19" s="21">
        <f t="shared" si="8"/>
        <v>7.5</v>
      </c>
      <c r="T19" s="21">
        <f t="shared" si="8"/>
        <v>7.25</v>
      </c>
      <c r="U19" s="21">
        <f t="shared" si="8"/>
        <v>7.75</v>
      </c>
      <c r="V19" s="22">
        <f t="shared" si="8"/>
        <v>43.975000000000001</v>
      </c>
      <c r="W19" s="23"/>
      <c r="Y19" s="39">
        <f>Y18/40</f>
        <v>0</v>
      </c>
      <c r="Z19" s="40">
        <f>Z18/40</f>
        <v>1.099375</v>
      </c>
      <c r="AA19" s="41">
        <f>AA18/40</f>
        <v>-1.099375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3</v>
      </c>
      <c r="P12" s="11">
        <v>6</v>
      </c>
      <c r="Q12" s="11">
        <v>12</v>
      </c>
      <c r="R12" s="11">
        <v>0</v>
      </c>
      <c r="S12" s="11">
        <v>22</v>
      </c>
      <c r="T12" s="11">
        <v>10</v>
      </c>
      <c r="U12" s="11">
        <v>0</v>
      </c>
      <c r="V12" s="15">
        <f t="shared" si="1"/>
        <v>1.325</v>
      </c>
      <c r="W12" s="12"/>
      <c r="Y12" s="36">
        <f t="shared" si="2"/>
        <v>0</v>
      </c>
      <c r="Z12" s="37">
        <f t="shared" si="3"/>
        <v>1.325</v>
      </c>
      <c r="AA12" s="38">
        <f t="shared" si="4"/>
        <v>-1.325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43</v>
      </c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 t="s">
        <v>43</v>
      </c>
      <c r="O17" s="11">
        <f>41+160</f>
        <v>201</v>
      </c>
      <c r="P17" s="11">
        <v>200</v>
      </c>
      <c r="Q17" s="11">
        <v>121</v>
      </c>
      <c r="R17" s="11">
        <v>440</v>
      </c>
      <c r="S17" s="11">
        <v>181</v>
      </c>
      <c r="T17" s="11">
        <v>140</v>
      </c>
      <c r="U17" s="11">
        <v>560</v>
      </c>
      <c r="V17" s="15">
        <f t="shared" si="1"/>
        <v>46.075000000000003</v>
      </c>
      <c r="W17" s="18">
        <v>6</v>
      </c>
      <c r="Y17" s="36">
        <f t="shared" si="2"/>
        <v>0</v>
      </c>
      <c r="Z17" s="37">
        <f t="shared" si="3"/>
        <v>46.075000000000003</v>
      </c>
      <c r="AA17" s="38">
        <f t="shared" si="4"/>
        <v>-46.075000000000003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204</v>
      </c>
      <c r="P18" s="25">
        <f t="shared" si="6"/>
        <v>206</v>
      </c>
      <c r="Q18" s="25">
        <f t="shared" si="6"/>
        <v>133</v>
      </c>
      <c r="R18" s="25">
        <f t="shared" si="6"/>
        <v>440</v>
      </c>
      <c r="S18" s="25">
        <f t="shared" si="6"/>
        <v>203</v>
      </c>
      <c r="T18" s="25">
        <f t="shared" si="6"/>
        <v>150</v>
      </c>
      <c r="U18" s="25">
        <f t="shared" si="6"/>
        <v>560</v>
      </c>
      <c r="V18" s="26">
        <f>SUM(O18:U18)</f>
        <v>1896</v>
      </c>
      <c r="W18" s="28"/>
      <c r="Y18" s="33">
        <f>SUM(Y8:Y17)</f>
        <v>0</v>
      </c>
      <c r="Z18" s="34">
        <f>SUM(Z8:Z17)</f>
        <v>47.400000000000006</v>
      </c>
      <c r="AA18" s="35">
        <f>SUM(AA8:AA17)</f>
        <v>-47.400000000000006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5.0999999999999996</v>
      </c>
      <c r="P19" s="21">
        <f t="shared" si="8"/>
        <v>5.15</v>
      </c>
      <c r="Q19" s="21">
        <f t="shared" si="8"/>
        <v>3.3250000000000002</v>
      </c>
      <c r="R19" s="21">
        <f t="shared" si="8"/>
        <v>11</v>
      </c>
      <c r="S19" s="21">
        <f t="shared" si="8"/>
        <v>5.0750000000000002</v>
      </c>
      <c r="T19" s="21">
        <f t="shared" si="8"/>
        <v>3.75</v>
      </c>
      <c r="U19" s="21">
        <f t="shared" si="8"/>
        <v>14</v>
      </c>
      <c r="V19" s="22">
        <f t="shared" si="8"/>
        <v>47.4</v>
      </c>
      <c r="W19" s="23"/>
      <c r="Y19" s="39">
        <f>Y18/40</f>
        <v>0</v>
      </c>
      <c r="Z19" s="40">
        <f>Z18/40</f>
        <v>1.1850000000000001</v>
      </c>
      <c r="AA19" s="41">
        <f>AA18/40</f>
        <v>-1.1850000000000001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9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14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15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15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0</v>
      </c>
      <c r="D18" s="25">
        <f t="shared" si="5"/>
        <v>0</v>
      </c>
      <c r="E18" s="25">
        <f t="shared" si="5"/>
        <v>0</v>
      </c>
      <c r="F18" s="25">
        <f t="shared" si="5"/>
        <v>0</v>
      </c>
      <c r="G18" s="25">
        <f t="shared" si="5"/>
        <v>0</v>
      </c>
      <c r="H18" s="25">
        <f t="shared" si="5"/>
        <v>0</v>
      </c>
      <c r="I18" s="25">
        <f t="shared" si="5"/>
        <v>0</v>
      </c>
      <c r="J18" s="26">
        <f>SUM(C18:I18)</f>
        <v>0</v>
      </c>
      <c r="K18" s="28"/>
      <c r="M18" s="1"/>
      <c r="N18" s="7"/>
      <c r="O18" s="25">
        <f t="shared" ref="O18:U18" si="6">SUM(O8:O17)</f>
        <v>0</v>
      </c>
      <c r="P18" s="25">
        <f t="shared" si="6"/>
        <v>0</v>
      </c>
      <c r="Q18" s="25">
        <f t="shared" si="6"/>
        <v>0</v>
      </c>
      <c r="R18" s="25">
        <f t="shared" si="6"/>
        <v>0</v>
      </c>
      <c r="S18" s="25">
        <f t="shared" si="6"/>
        <v>0</v>
      </c>
      <c r="T18" s="25">
        <f t="shared" si="6"/>
        <v>0</v>
      </c>
      <c r="U18" s="25">
        <f t="shared" si="6"/>
        <v>0</v>
      </c>
      <c r="V18" s="26">
        <f>SUM(O18:U18)</f>
        <v>0</v>
      </c>
      <c r="W18" s="28"/>
      <c r="Y18" s="33">
        <f>SUM(Y8:Y17)</f>
        <v>0</v>
      </c>
      <c r="Z18" s="34">
        <f>SUM(Z8:Z17)</f>
        <v>0</v>
      </c>
      <c r="AA18" s="35">
        <f>SUM(AA8:AA17)</f>
        <v>0</v>
      </c>
    </row>
    <row r="19" spans="1:27" ht="15" thickBot="1" x14ac:dyDescent="0.4">
      <c r="A19" s="1"/>
      <c r="B19" s="20" t="s">
        <v>18</v>
      </c>
      <c r="C19" s="21">
        <f t="shared" ref="C19:J19" si="7">C18/40</f>
        <v>0</v>
      </c>
      <c r="D19" s="21">
        <f t="shared" si="7"/>
        <v>0</v>
      </c>
      <c r="E19" s="21">
        <f t="shared" si="7"/>
        <v>0</v>
      </c>
      <c r="F19" s="21">
        <f t="shared" si="7"/>
        <v>0</v>
      </c>
      <c r="G19" s="21">
        <f t="shared" si="7"/>
        <v>0</v>
      </c>
      <c r="H19" s="21">
        <f t="shared" si="7"/>
        <v>0</v>
      </c>
      <c r="I19" s="21">
        <f t="shared" si="7"/>
        <v>0</v>
      </c>
      <c r="J19" s="22">
        <f t="shared" si="7"/>
        <v>0</v>
      </c>
      <c r="K19" s="23"/>
      <c r="M19" s="1"/>
      <c r="N19" s="20" t="s">
        <v>18</v>
      </c>
      <c r="O19" s="21">
        <f t="shared" ref="O19:V19" si="8">O18/40</f>
        <v>0</v>
      </c>
      <c r="P19" s="21">
        <f t="shared" si="8"/>
        <v>0</v>
      </c>
      <c r="Q19" s="21">
        <f t="shared" si="8"/>
        <v>0</v>
      </c>
      <c r="R19" s="21">
        <f t="shared" si="8"/>
        <v>0</v>
      </c>
      <c r="S19" s="21">
        <f t="shared" si="8"/>
        <v>0</v>
      </c>
      <c r="T19" s="21">
        <f t="shared" si="8"/>
        <v>0</v>
      </c>
      <c r="U19" s="21">
        <f t="shared" si="8"/>
        <v>0</v>
      </c>
      <c r="V19" s="22">
        <f t="shared" si="8"/>
        <v>0</v>
      </c>
      <c r="W19" s="23"/>
      <c r="Y19" s="39">
        <f>Y18/40</f>
        <v>0</v>
      </c>
      <c r="Z19" s="40">
        <f>Z18/40</f>
        <v>0</v>
      </c>
      <c r="AA19" s="41">
        <f>AA18/40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6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/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>
        <f t="shared" si="3"/>
        <v>0</v>
      </c>
      <c r="AA17" s="38"/>
    </row>
    <row r="18" spans="1:27" x14ac:dyDescent="0.35">
      <c r="A18" s="16"/>
      <c r="B18" s="17"/>
      <c r="C18" s="11"/>
      <c r="D18" s="11"/>
      <c r="E18" s="11"/>
      <c r="F18" s="11"/>
      <c r="G18" s="11"/>
      <c r="H18" s="11"/>
      <c r="I18" s="11"/>
      <c r="J18" s="15"/>
      <c r="K18" s="12"/>
      <c r="L18" s="13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/>
      <c r="C19" s="11"/>
      <c r="D19" s="11"/>
      <c r="E19" s="11"/>
      <c r="F19" s="11"/>
      <c r="G19" s="11"/>
      <c r="H19" s="11"/>
      <c r="I19" s="11"/>
      <c r="J19" s="15"/>
      <c r="K19" s="12">
        <v>20</v>
      </c>
      <c r="L19" s="13"/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/>
      <c r="K20" s="18"/>
      <c r="M20" s="16"/>
      <c r="N20" s="17" t="s">
        <v>43</v>
      </c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0</v>
      </c>
      <c r="Z21" s="34">
        <f>SUM(Z8:Z20)</f>
        <v>0</v>
      </c>
      <c r="AA21" s="35">
        <f>SUM(AA8:AA20)</f>
        <v>0</v>
      </c>
    </row>
    <row r="22" spans="1:27" ht="15" thickBot="1" x14ac:dyDescent="0.4">
      <c r="A22" s="1"/>
      <c r="B22" s="20" t="s">
        <v>18</v>
      </c>
      <c r="C22" s="21">
        <f t="shared" ref="C22:J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 t="shared" si="7"/>
        <v>0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22"/>
  <sheetViews>
    <sheetView topLeftCell="A7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6" si="1">SUM(O9:U9)/40</f>
        <v>0</v>
      </c>
      <c r="W9" s="12"/>
      <c r="Y9" s="36">
        <f t="shared" ref="Y9:Y17" si="2">J9</f>
        <v>0</v>
      </c>
      <c r="Z9" s="37">
        <f t="shared" ref="Z9:Z17" si="3">V9</f>
        <v>0</v>
      </c>
      <c r="AA9" s="38">
        <f t="shared" ref="AA9:AA17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/>
      <c r="W17" s="12">
        <v>2</v>
      </c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13</v>
      </c>
      <c r="K18" s="18"/>
      <c r="M18" s="16"/>
      <c r="N18" s="17"/>
      <c r="O18" s="11"/>
      <c r="P18" s="11"/>
      <c r="Q18" s="11"/>
      <c r="R18" s="11"/>
      <c r="S18" s="11"/>
      <c r="T18" s="11"/>
      <c r="U18" s="11"/>
      <c r="V18" s="15"/>
      <c r="W18" s="18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17</v>
      </c>
      <c r="K19" s="18">
        <v>13</v>
      </c>
      <c r="M19" s="16"/>
      <c r="N19" s="17"/>
      <c r="O19" s="11"/>
      <c r="P19" s="11"/>
      <c r="Q19" s="11"/>
      <c r="R19" s="11"/>
      <c r="S19" s="11"/>
      <c r="T19" s="11"/>
      <c r="U19" s="11"/>
      <c r="V19" s="15"/>
      <c r="W19" s="18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7</v>
      </c>
      <c r="K20" s="18">
        <v>8</v>
      </c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/>
      <c r="Z20" s="37"/>
      <c r="AA20" s="38"/>
    </row>
    <row r="21" spans="1:27" x14ac:dyDescent="0.35">
      <c r="A21" s="1"/>
      <c r="B21" s="7"/>
      <c r="C21" s="25">
        <f t="shared" ref="C21:I21" si="5">SUM(C8:C17)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SUM(O8:O17)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SUM(Y8:Y17)</f>
        <v>0</v>
      </c>
      <c r="Z21" s="34">
        <f>SUM(Z8:Z17)</f>
        <v>0</v>
      </c>
      <c r="AA21" s="35">
        <f>SUM(AA8:AA17)</f>
        <v>0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37</v>
      </c>
      <c r="K22" s="23"/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</v>
      </c>
      <c r="Z22" s="40">
        <f>Z21/40</f>
        <v>0</v>
      </c>
      <c r="AA22" s="41">
        <f>AA21/40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22"/>
  <sheetViews>
    <sheetView topLeftCell="A4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17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20" si="1">SUM(O9:U9)/40</f>
        <v>0</v>
      </c>
      <c r="W9" s="12"/>
      <c r="Y9" s="36">
        <f t="shared" ref="Y9:Y20" si="2">J9</f>
        <v>0</v>
      </c>
      <c r="Z9" s="37">
        <f t="shared" ref="Z9:Z20" si="3">V9</f>
        <v>0</v>
      </c>
      <c r="AA9" s="38">
        <f t="shared" ref="AA9:AA20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/>
      <c r="P17" s="11"/>
      <c r="Q17" s="11"/>
      <c r="R17" s="11"/>
      <c r="S17" s="11"/>
      <c r="T17" s="11"/>
      <c r="U17" s="11"/>
      <c r="V17" s="15">
        <f t="shared" si="1"/>
        <v>0</v>
      </c>
      <c r="W17" s="12">
        <v>2</v>
      </c>
      <c r="Y17" s="36"/>
      <c r="Z17" s="37"/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20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>
        <f t="shared" si="1"/>
        <v>0</v>
      </c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30</v>
      </c>
      <c r="K19" s="12">
        <v>15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>
        <f t="shared" si="1"/>
        <v>0</v>
      </c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6</v>
      </c>
      <c r="K20" s="18">
        <v>8</v>
      </c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>
        <f t="shared" si="1"/>
        <v>0</v>
      </c>
      <c r="W20" s="18"/>
      <c r="Y20" s="36">
        <f t="shared" si="2"/>
        <v>6</v>
      </c>
      <c r="Z20" s="37">
        <f t="shared" si="3"/>
        <v>0</v>
      </c>
      <c r="AA20" s="38">
        <f t="shared" si="4"/>
        <v>6</v>
      </c>
    </row>
    <row r="21" spans="1:27" x14ac:dyDescent="0.35">
      <c r="A21" s="1"/>
      <c r="B21" s="7"/>
      <c r="C21" s="25">
        <f t="shared" ref="C21:I21" si="5">SUM(C8:C20)</f>
        <v>0</v>
      </c>
      <c r="D21" s="25">
        <f t="shared" si="5"/>
        <v>0</v>
      </c>
      <c r="E21" s="25">
        <f t="shared" si="5"/>
        <v>0</v>
      </c>
      <c r="F21" s="25">
        <f t="shared" si="5"/>
        <v>0</v>
      </c>
      <c r="G21" s="25">
        <f t="shared" si="5"/>
        <v>0</v>
      </c>
      <c r="H21" s="25">
        <f t="shared" si="5"/>
        <v>0</v>
      </c>
      <c r="I21" s="25">
        <f t="shared" si="5"/>
        <v>0</v>
      </c>
      <c r="J21" s="26">
        <f>SUM(C21:I21)</f>
        <v>0</v>
      </c>
      <c r="K21" s="28"/>
      <c r="M21" s="1"/>
      <c r="N21" s="7"/>
      <c r="O21" s="25">
        <f t="shared" ref="O21:U21" si="6">SUM(O8:O20)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SUM(Y8:Y20)</f>
        <v>6</v>
      </c>
      <c r="Z21" s="34">
        <f>SUM(Z8:Z20)</f>
        <v>0</v>
      </c>
      <c r="AA21" s="35">
        <f>SUM(AA8:AA20)</f>
        <v>6</v>
      </c>
    </row>
    <row r="22" spans="1:27" ht="15" thickBot="1" x14ac:dyDescent="0.4">
      <c r="A22" s="1"/>
      <c r="B22" s="20" t="s">
        <v>18</v>
      </c>
      <c r="C22" s="21">
        <f t="shared" ref="C22:I22" si="7">C21/40</f>
        <v>0</v>
      </c>
      <c r="D22" s="21">
        <f t="shared" si="7"/>
        <v>0</v>
      </c>
      <c r="E22" s="21">
        <f t="shared" si="7"/>
        <v>0</v>
      </c>
      <c r="F22" s="21">
        <f t="shared" si="7"/>
        <v>0</v>
      </c>
      <c r="G22" s="21">
        <f t="shared" si="7"/>
        <v>0</v>
      </c>
      <c r="H22" s="21">
        <f t="shared" si="7"/>
        <v>0</v>
      </c>
      <c r="I22" s="21">
        <f t="shared" si="7"/>
        <v>0</v>
      </c>
      <c r="J22" s="22">
        <f>SUM(J8:J20)</f>
        <v>56</v>
      </c>
      <c r="K22" s="23"/>
      <c r="M22" s="1" t="s">
        <v>47</v>
      </c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0.15</v>
      </c>
      <c r="Z22" s="40">
        <f>Z21/40</f>
        <v>0</v>
      </c>
      <c r="AA22" s="41">
        <f>AA21/40</f>
        <v>0.15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23"/>
  <sheetViews>
    <sheetView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19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20</v>
      </c>
      <c r="AA5" s="5" t="s">
        <v>21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40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40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41</v>
      </c>
      <c r="C9" s="11"/>
      <c r="D9" s="11"/>
      <c r="E9" s="11"/>
      <c r="F9" s="11"/>
      <c r="G9" s="11"/>
      <c r="H9" s="11"/>
      <c r="I9" s="11"/>
      <c r="J9" s="15">
        <f t="shared" ref="J9:J21" si="0">SUM(C9:I9)/40</f>
        <v>0</v>
      </c>
      <c r="K9" s="12"/>
      <c r="L9" s="13"/>
      <c r="M9" s="14"/>
      <c r="N9" s="7" t="s">
        <v>41</v>
      </c>
      <c r="O9" s="11"/>
      <c r="P9" s="11"/>
      <c r="Q9" s="11"/>
      <c r="R9" s="11"/>
      <c r="S9" s="11"/>
      <c r="T9" s="11"/>
      <c r="U9" s="11"/>
      <c r="V9" s="15">
        <f t="shared" ref="V9:V17" si="1">SUM(O9:U9)/40</f>
        <v>0</v>
      </c>
      <c r="W9" s="12"/>
      <c r="Y9" s="36">
        <f t="shared" ref="Y9:Y21" si="2">J9</f>
        <v>0</v>
      </c>
      <c r="Z9" s="37">
        <f t="shared" ref="Z9:Z21" si="3">V9</f>
        <v>0</v>
      </c>
      <c r="AA9" s="38">
        <f t="shared" ref="AA9:AA21" si="4">Y9-Z9</f>
        <v>0</v>
      </c>
    </row>
    <row r="10" spans="1:27" x14ac:dyDescent="0.35">
      <c r="A10" s="14"/>
      <c r="B10" s="7" t="s">
        <v>42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>
        <v>50</v>
      </c>
      <c r="P12" s="11">
        <v>0</v>
      </c>
      <c r="Q12" s="11">
        <v>16</v>
      </c>
      <c r="R12" s="11">
        <v>0</v>
      </c>
      <c r="S12" s="11">
        <v>27</v>
      </c>
      <c r="T12" s="11">
        <v>11</v>
      </c>
      <c r="U12" s="11">
        <v>16</v>
      </c>
      <c r="V12" s="15">
        <f t="shared" si="1"/>
        <v>3</v>
      </c>
      <c r="W12" s="12"/>
      <c r="Y12" s="36">
        <f t="shared" si="2"/>
        <v>0</v>
      </c>
      <c r="Z12" s="37">
        <f t="shared" si="3"/>
        <v>3</v>
      </c>
      <c r="AA12" s="38">
        <f t="shared" si="4"/>
        <v>-3</v>
      </c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16</v>
      </c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2"/>
      <c r="L17" s="13"/>
      <c r="M17" s="16"/>
      <c r="N17" s="17" t="s">
        <v>16</v>
      </c>
      <c r="O17" s="11">
        <v>80</v>
      </c>
      <c r="P17" s="11">
        <v>80</v>
      </c>
      <c r="Q17" s="11">
        <v>80</v>
      </c>
      <c r="R17" s="11">
        <v>40</v>
      </c>
      <c r="S17" s="11">
        <v>80</v>
      </c>
      <c r="T17" s="11">
        <v>40</v>
      </c>
      <c r="U17" s="11">
        <v>80</v>
      </c>
      <c r="V17" s="15">
        <f t="shared" si="1"/>
        <v>12</v>
      </c>
      <c r="W17" s="12">
        <v>1</v>
      </c>
      <c r="Y17" s="36"/>
      <c r="Z17" s="37">
        <f t="shared" si="3"/>
        <v>12</v>
      </c>
      <c r="AA17" s="38"/>
    </row>
    <row r="18" spans="1:27" x14ac:dyDescent="0.35">
      <c r="A18" s="16"/>
      <c r="B18" s="17" t="s">
        <v>45</v>
      </c>
      <c r="C18" s="11"/>
      <c r="D18" s="11"/>
      <c r="E18" s="11"/>
      <c r="F18" s="11"/>
      <c r="G18" s="11"/>
      <c r="H18" s="11"/>
      <c r="I18" s="11"/>
      <c r="J18" s="15">
        <v>12</v>
      </c>
      <c r="K18" s="12"/>
      <c r="L18" s="13"/>
      <c r="M18" s="16"/>
      <c r="N18" s="17" t="s">
        <v>45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46</v>
      </c>
      <c r="C19" s="11"/>
      <c r="D19" s="11"/>
      <c r="E19" s="11"/>
      <c r="F19" s="11"/>
      <c r="G19" s="11"/>
      <c r="H19" s="11"/>
      <c r="I19" s="11"/>
      <c r="J19" s="15">
        <v>10</v>
      </c>
      <c r="K19" s="12">
        <v>8</v>
      </c>
      <c r="L19" s="13"/>
      <c r="M19" s="16"/>
      <c r="N19" s="17" t="s">
        <v>46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 t="s">
        <v>44</v>
      </c>
      <c r="C20" s="11"/>
      <c r="D20" s="11"/>
      <c r="E20" s="11"/>
      <c r="F20" s="11"/>
      <c r="G20" s="11"/>
      <c r="H20" s="11"/>
      <c r="I20" s="11"/>
      <c r="J20" s="15">
        <v>5</v>
      </c>
      <c r="K20" s="12">
        <v>7</v>
      </c>
      <c r="L20" s="13"/>
      <c r="M20" s="16"/>
      <c r="N20" s="17" t="s">
        <v>44</v>
      </c>
      <c r="O20" s="11"/>
      <c r="P20" s="11"/>
      <c r="Q20" s="11"/>
      <c r="R20" s="11"/>
      <c r="S20" s="11"/>
      <c r="T20" s="11"/>
      <c r="U20" s="11"/>
      <c r="V20" s="15"/>
      <c r="W20" s="12"/>
      <c r="Y20" s="36"/>
      <c r="Z20" s="37"/>
      <c r="AA20" s="38"/>
    </row>
    <row r="21" spans="1:27" x14ac:dyDescent="0.35">
      <c r="A21" s="16"/>
      <c r="B21" s="17"/>
      <c r="C21" s="11"/>
      <c r="D21" s="11"/>
      <c r="E21" s="11"/>
      <c r="F21" s="11"/>
      <c r="G21" s="11"/>
      <c r="H21" s="11"/>
      <c r="I21" s="11"/>
      <c r="J21" s="15">
        <f t="shared" si="0"/>
        <v>0</v>
      </c>
      <c r="K21" s="18"/>
      <c r="M21" s="16"/>
      <c r="N21" s="17"/>
      <c r="O21" s="11"/>
      <c r="P21" s="11"/>
      <c r="Q21" s="11"/>
      <c r="R21" s="11"/>
      <c r="S21" s="11"/>
      <c r="T21" s="11"/>
      <c r="U21" s="11"/>
      <c r="V21" s="15"/>
      <c r="W21" s="18"/>
      <c r="Y21" s="36">
        <f t="shared" si="2"/>
        <v>0</v>
      </c>
      <c r="Z21" s="37">
        <f t="shared" si="3"/>
        <v>0</v>
      </c>
      <c r="AA21" s="38">
        <f t="shared" si="4"/>
        <v>0</v>
      </c>
    </row>
    <row r="22" spans="1:27" x14ac:dyDescent="0.35">
      <c r="A22" s="1"/>
      <c r="B22" s="7"/>
      <c r="C22" s="25">
        <f t="shared" ref="C22:I22" si="5">SUM(C8:C21)</f>
        <v>0</v>
      </c>
      <c r="D22" s="25">
        <f t="shared" si="5"/>
        <v>0</v>
      </c>
      <c r="E22" s="25">
        <f t="shared" si="5"/>
        <v>0</v>
      </c>
      <c r="F22" s="25">
        <f t="shared" si="5"/>
        <v>0</v>
      </c>
      <c r="G22" s="25">
        <f t="shared" si="5"/>
        <v>0</v>
      </c>
      <c r="H22" s="25">
        <f t="shared" si="5"/>
        <v>0</v>
      </c>
      <c r="I22" s="25">
        <f t="shared" si="5"/>
        <v>0</v>
      </c>
      <c r="J22" s="26">
        <f>SUM(C22:I22)</f>
        <v>0</v>
      </c>
      <c r="K22" s="28"/>
      <c r="M22" s="1"/>
      <c r="N22" s="7"/>
      <c r="O22" s="25">
        <f t="shared" ref="O22:U22" si="6">SUM(O8:O21)</f>
        <v>130</v>
      </c>
      <c r="P22" s="25">
        <f t="shared" si="6"/>
        <v>80</v>
      </c>
      <c r="Q22" s="25">
        <f t="shared" si="6"/>
        <v>96</v>
      </c>
      <c r="R22" s="25">
        <f t="shared" si="6"/>
        <v>40</v>
      </c>
      <c r="S22" s="25">
        <f t="shared" si="6"/>
        <v>107</v>
      </c>
      <c r="T22" s="25">
        <f t="shared" si="6"/>
        <v>51</v>
      </c>
      <c r="U22" s="25">
        <f t="shared" si="6"/>
        <v>96</v>
      </c>
      <c r="V22" s="26">
        <f>SUM(O22:U22)</f>
        <v>600</v>
      </c>
      <c r="W22" s="28"/>
      <c r="Y22" s="33">
        <f>SUM(Y8:Y21)</f>
        <v>0</v>
      </c>
      <c r="Z22" s="34">
        <f>SUM(Z8:Z21)</f>
        <v>15</v>
      </c>
      <c r="AA22" s="35">
        <f>SUM(AA8:AA21)</f>
        <v>-3</v>
      </c>
    </row>
    <row r="23" spans="1:27" ht="15" thickBot="1" x14ac:dyDescent="0.4">
      <c r="A23" s="1"/>
      <c r="B23" s="20" t="s">
        <v>18</v>
      </c>
      <c r="C23" s="21">
        <f t="shared" ref="C23:I23" si="7">C22/40</f>
        <v>0</v>
      </c>
      <c r="D23" s="21">
        <f t="shared" si="7"/>
        <v>0</v>
      </c>
      <c r="E23" s="21">
        <f t="shared" si="7"/>
        <v>0</v>
      </c>
      <c r="F23" s="21">
        <f t="shared" si="7"/>
        <v>0</v>
      </c>
      <c r="G23" s="21">
        <f t="shared" si="7"/>
        <v>0</v>
      </c>
      <c r="H23" s="21">
        <f t="shared" si="7"/>
        <v>0</v>
      </c>
      <c r="I23" s="21">
        <f t="shared" si="7"/>
        <v>0</v>
      </c>
      <c r="J23" s="22">
        <f>SUM(J8:J20)</f>
        <v>27</v>
      </c>
      <c r="K23" s="22">
        <f>SUM(K8:K20)</f>
        <v>15</v>
      </c>
      <c r="M23" s="1"/>
      <c r="N23" s="20" t="s">
        <v>18</v>
      </c>
      <c r="O23" s="21">
        <f t="shared" ref="O23:V23" si="8">O22/40</f>
        <v>3.25</v>
      </c>
      <c r="P23" s="21">
        <f t="shared" si="8"/>
        <v>2</v>
      </c>
      <c r="Q23" s="21">
        <f t="shared" si="8"/>
        <v>2.4</v>
      </c>
      <c r="R23" s="21">
        <f t="shared" si="8"/>
        <v>1</v>
      </c>
      <c r="S23" s="21">
        <f t="shared" si="8"/>
        <v>2.6749999999999998</v>
      </c>
      <c r="T23" s="21">
        <f t="shared" si="8"/>
        <v>1.2749999999999999</v>
      </c>
      <c r="U23" s="21">
        <f t="shared" si="8"/>
        <v>2.4</v>
      </c>
      <c r="V23" s="22">
        <f t="shared" si="8"/>
        <v>15</v>
      </c>
      <c r="W23" s="23"/>
      <c r="Y23" s="39">
        <f>Y22/40</f>
        <v>0</v>
      </c>
      <c r="Z23" s="40">
        <f>Z22/40</f>
        <v>0.375</v>
      </c>
      <c r="AA23" s="41">
        <f>AA22/40</f>
        <v>-7.4999999999999997E-2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22"/>
  <sheetViews>
    <sheetView topLeftCell="A9" workbookViewId="0">
      <selection activeCell="S14" sqref="S14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75" t="s">
        <v>0</v>
      </c>
      <c r="C1" s="75"/>
      <c r="D1" s="75"/>
      <c r="E1" s="75"/>
      <c r="F1" s="75"/>
      <c r="G1" s="75"/>
      <c r="H1" s="75"/>
      <c r="I1" s="75"/>
      <c r="J1" s="75"/>
      <c r="M1" s="1"/>
      <c r="N1" s="75" t="s">
        <v>1</v>
      </c>
      <c r="O1" s="75"/>
      <c r="P1" s="75"/>
      <c r="Q1" s="75"/>
      <c r="R1" s="75"/>
      <c r="S1" s="75"/>
      <c r="T1" s="75"/>
      <c r="U1" s="75"/>
      <c r="V1" s="75"/>
    </row>
    <row r="2" spans="1:27" x14ac:dyDescent="0.35">
      <c r="A2" s="1"/>
      <c r="B2" s="75"/>
      <c r="C2" s="75"/>
      <c r="D2" s="75"/>
      <c r="E2" s="75"/>
      <c r="F2" s="75"/>
      <c r="G2" s="75"/>
      <c r="H2" s="75"/>
      <c r="I2" s="75"/>
      <c r="J2" s="75"/>
      <c r="M2" s="1"/>
      <c r="N2" s="75"/>
      <c r="O2" s="75"/>
      <c r="P2" s="75"/>
      <c r="Q2" s="75"/>
      <c r="R2" s="75"/>
      <c r="S2" s="75"/>
      <c r="T2" s="75"/>
      <c r="U2" s="75"/>
      <c r="V2" s="75"/>
      <c r="Y2" s="79" t="s">
        <v>19</v>
      </c>
      <c r="Z2" s="79"/>
      <c r="AA2" s="79"/>
    </row>
    <row r="3" spans="1:27" ht="14.5" customHeight="1" thickBot="1" x14ac:dyDescent="0.4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/>
      <c r="Z3" s="79"/>
      <c r="AA3" s="79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29" t="s">
        <v>0</v>
      </c>
      <c r="Z4" s="4" t="s">
        <v>20</v>
      </c>
      <c r="AA4" s="5" t="s">
        <v>21</v>
      </c>
    </row>
    <row r="5" spans="1:27" x14ac:dyDescent="0.35">
      <c r="A5" s="1"/>
      <c r="B5" s="2"/>
      <c r="C5" s="3" t="s">
        <v>2</v>
      </c>
      <c r="D5" s="77" t="s">
        <v>3</v>
      </c>
      <c r="E5" s="77"/>
      <c r="F5" s="77"/>
      <c r="G5" s="77" t="s">
        <v>4</v>
      </c>
      <c r="H5" s="77"/>
      <c r="I5" s="77"/>
      <c r="J5" s="4"/>
      <c r="K5" s="5"/>
      <c r="M5" s="1"/>
      <c r="N5" s="2"/>
      <c r="O5" s="3" t="s">
        <v>2</v>
      </c>
      <c r="P5" s="77" t="s">
        <v>3</v>
      </c>
      <c r="Q5" s="77"/>
      <c r="R5" s="77"/>
      <c r="S5" s="77" t="s">
        <v>4</v>
      </c>
      <c r="T5" s="77"/>
      <c r="U5" s="77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40</v>
      </c>
      <c r="C7" s="11">
        <v>693</v>
      </c>
      <c r="D7" s="11">
        <v>70</v>
      </c>
      <c r="E7" s="11">
        <v>70</v>
      </c>
      <c r="F7" s="11">
        <v>80</v>
      </c>
      <c r="G7" s="11">
        <v>103</v>
      </c>
      <c r="H7" s="11">
        <v>98</v>
      </c>
      <c r="I7" s="11">
        <v>283</v>
      </c>
      <c r="J7" s="15">
        <f>SUM(C7:I7)/40</f>
        <v>34.924999999999997</v>
      </c>
      <c r="K7" s="12">
        <v>18</v>
      </c>
      <c r="L7" s="13"/>
      <c r="M7" s="14"/>
      <c r="N7" s="7" t="s">
        <v>40</v>
      </c>
      <c r="O7" s="11"/>
      <c r="P7" s="11"/>
      <c r="Q7" s="11"/>
      <c r="R7" s="11"/>
      <c r="S7" s="11"/>
      <c r="T7" s="11"/>
      <c r="U7" s="11"/>
      <c r="V7" s="15">
        <f>SUM(O7:U7)/40</f>
        <v>0</v>
      </c>
      <c r="W7" s="12"/>
      <c r="Y7" s="36">
        <f>J7</f>
        <v>34.924999999999997</v>
      </c>
      <c r="Z7" s="37">
        <f>V7</f>
        <v>0</v>
      </c>
      <c r="AA7" s="38">
        <f>Y7-Z7</f>
        <v>34.924999999999997</v>
      </c>
    </row>
    <row r="8" spans="1:27" x14ac:dyDescent="0.35">
      <c r="A8" s="14"/>
      <c r="B8" s="7" t="s">
        <v>41</v>
      </c>
      <c r="C8" s="11"/>
      <c r="D8" s="11"/>
      <c r="E8" s="11"/>
      <c r="F8" s="11"/>
      <c r="G8" s="11"/>
      <c r="H8" s="11"/>
      <c r="I8" s="11"/>
      <c r="J8" s="15">
        <f t="shared" ref="J8:J20" si="0">SUM(C8:I8)/40</f>
        <v>0</v>
      </c>
      <c r="K8" s="12"/>
      <c r="L8" s="13"/>
      <c r="M8" s="14"/>
      <c r="N8" s="7" t="s">
        <v>41</v>
      </c>
      <c r="O8" s="11"/>
      <c r="P8" s="11"/>
      <c r="Q8" s="11"/>
      <c r="R8" s="11"/>
      <c r="S8" s="11"/>
      <c r="T8" s="11"/>
      <c r="U8" s="11"/>
      <c r="V8" s="15">
        <f t="shared" ref="V8:V16" si="1">SUM(O8:U8)/40</f>
        <v>0</v>
      </c>
      <c r="W8" s="12"/>
      <c r="Y8" s="36">
        <f t="shared" ref="Y8:Y20" si="2">J8</f>
        <v>0</v>
      </c>
      <c r="Z8" s="37">
        <f t="shared" ref="Z8:Z20" si="3">V8</f>
        <v>0</v>
      </c>
      <c r="AA8" s="38">
        <f t="shared" ref="AA8:AA20" si="4">Y8-Z8</f>
        <v>0</v>
      </c>
    </row>
    <row r="9" spans="1:27" x14ac:dyDescent="0.35">
      <c r="A9" s="14"/>
      <c r="B9" s="7" t="s">
        <v>42</v>
      </c>
      <c r="C9" s="11"/>
      <c r="D9" s="11"/>
      <c r="E9" s="11"/>
      <c r="F9" s="11"/>
      <c r="G9" s="11"/>
      <c r="H9" s="11"/>
      <c r="I9" s="11"/>
      <c r="J9" s="15">
        <f t="shared" si="0"/>
        <v>0</v>
      </c>
      <c r="K9" s="12"/>
      <c r="L9" s="13"/>
      <c r="M9" s="14"/>
      <c r="N9" s="7" t="s">
        <v>42</v>
      </c>
      <c r="O9" s="11"/>
      <c r="P9" s="11"/>
      <c r="Q9" s="11"/>
      <c r="R9" s="11"/>
      <c r="S9" s="11"/>
      <c r="T9" s="11"/>
      <c r="U9" s="11"/>
      <c r="V9" s="15">
        <f t="shared" si="1"/>
        <v>0</v>
      </c>
      <c r="W9" s="12"/>
      <c r="Y9" s="36">
        <f t="shared" si="2"/>
        <v>0</v>
      </c>
      <c r="Z9" s="37">
        <f t="shared" si="3"/>
        <v>0</v>
      </c>
      <c r="AA9" s="38">
        <f t="shared" si="4"/>
        <v>0</v>
      </c>
    </row>
    <row r="10" spans="1:27" x14ac:dyDescent="0.35">
      <c r="A10" s="16"/>
      <c r="B10" s="17" t="s">
        <v>22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6"/>
      <c r="N10" s="17" t="s">
        <v>22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39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37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37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/>
      <c r="Z12" s="37"/>
      <c r="AA12" s="38"/>
    </row>
    <row r="13" spans="1:27" x14ac:dyDescent="0.35">
      <c r="A13" s="16"/>
      <c r="B13" s="17" t="s">
        <v>16</v>
      </c>
      <c r="C13" s="11"/>
      <c r="D13" s="11"/>
      <c r="E13" s="11"/>
      <c r="F13" s="11"/>
      <c r="G13" s="11"/>
      <c r="H13" s="11"/>
      <c r="I13" s="11"/>
      <c r="J13" s="15">
        <f t="shared" si="0"/>
        <v>0</v>
      </c>
      <c r="K13" s="12"/>
      <c r="L13" s="13"/>
      <c r="M13" s="16"/>
      <c r="N13" s="17" t="s">
        <v>16</v>
      </c>
      <c r="O13" s="11"/>
      <c r="P13" s="11"/>
      <c r="Q13" s="11"/>
      <c r="R13" s="11"/>
      <c r="S13" s="11"/>
      <c r="T13" s="11"/>
      <c r="U13" s="11"/>
      <c r="V13" s="15">
        <f t="shared" si="1"/>
        <v>0</v>
      </c>
      <c r="W13" s="12"/>
      <c r="Y13" s="36"/>
      <c r="Z13" s="37"/>
      <c r="AA13" s="38"/>
    </row>
    <row r="14" spans="1:27" x14ac:dyDescent="0.35">
      <c r="A14" s="16"/>
      <c r="B14" s="17" t="s">
        <v>45</v>
      </c>
      <c r="C14" s="11"/>
      <c r="D14" s="11"/>
      <c r="E14" s="11"/>
      <c r="F14" s="11"/>
      <c r="G14" s="11"/>
      <c r="H14" s="11"/>
      <c r="I14" s="11"/>
      <c r="J14" s="15">
        <f t="shared" si="0"/>
        <v>0</v>
      </c>
      <c r="K14" s="12"/>
      <c r="L14" s="13"/>
      <c r="M14" s="16"/>
      <c r="N14" s="17" t="s">
        <v>45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46</v>
      </c>
      <c r="C15" s="11"/>
      <c r="D15" s="11"/>
      <c r="E15" s="11"/>
      <c r="F15" s="11"/>
      <c r="G15" s="11"/>
      <c r="H15" s="11"/>
      <c r="I15" s="11"/>
      <c r="J15" s="15">
        <f t="shared" si="0"/>
        <v>0</v>
      </c>
      <c r="K15" s="12"/>
      <c r="L15" s="13"/>
      <c r="M15" s="16"/>
      <c r="N15" s="17" t="s">
        <v>46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2"/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2"/>
      <c r="Y16" s="36"/>
      <c r="Z16" s="37"/>
      <c r="AA16" s="38"/>
    </row>
    <row r="17" spans="1:27" x14ac:dyDescent="0.35">
      <c r="A17" s="16"/>
      <c r="B17" s="17" t="s">
        <v>45</v>
      </c>
      <c r="C17" s="11"/>
      <c r="D17" s="11"/>
      <c r="E17" s="11"/>
      <c r="F17" s="11"/>
      <c r="G17" s="11"/>
      <c r="H17" s="11"/>
      <c r="I17" s="11"/>
      <c r="J17" s="15">
        <v>14</v>
      </c>
      <c r="K17" s="12"/>
      <c r="L17" s="13"/>
      <c r="M17" s="16"/>
      <c r="N17" s="17" t="s">
        <v>45</v>
      </c>
      <c r="O17" s="11"/>
      <c r="P17" s="11"/>
      <c r="Q17" s="11"/>
      <c r="R17" s="11"/>
      <c r="S17" s="11"/>
      <c r="T17" s="11"/>
      <c r="U17" s="11"/>
      <c r="V17" s="15"/>
      <c r="W17" s="12"/>
      <c r="Y17" s="36"/>
      <c r="Z17" s="37"/>
      <c r="AA17" s="38"/>
    </row>
    <row r="18" spans="1:27" x14ac:dyDescent="0.35">
      <c r="A18" s="16"/>
      <c r="B18" s="17" t="s">
        <v>46</v>
      </c>
      <c r="C18" s="11"/>
      <c r="D18" s="11"/>
      <c r="E18" s="11"/>
      <c r="F18" s="11"/>
      <c r="G18" s="11"/>
      <c r="H18" s="11"/>
      <c r="I18" s="11"/>
      <c r="J18" s="15">
        <v>8</v>
      </c>
      <c r="K18" s="12"/>
      <c r="L18" s="13"/>
      <c r="M18" s="16"/>
      <c r="N18" s="17" t="s">
        <v>46</v>
      </c>
      <c r="O18" s="11"/>
      <c r="P18" s="11"/>
      <c r="Q18" s="11"/>
      <c r="R18" s="11"/>
      <c r="S18" s="11"/>
      <c r="T18" s="11"/>
      <c r="U18" s="11"/>
      <c r="V18" s="15"/>
      <c r="W18" s="12"/>
      <c r="Y18" s="36"/>
      <c r="Z18" s="37"/>
      <c r="AA18" s="38"/>
    </row>
    <row r="19" spans="1:27" x14ac:dyDescent="0.35">
      <c r="A19" s="16"/>
      <c r="B19" s="17" t="s">
        <v>44</v>
      </c>
      <c r="C19" s="11"/>
      <c r="D19" s="11"/>
      <c r="E19" s="11"/>
      <c r="F19" s="11"/>
      <c r="G19" s="11"/>
      <c r="H19" s="11"/>
      <c r="I19" s="11"/>
      <c r="J19" s="15"/>
      <c r="K19" s="12"/>
      <c r="L19" s="13"/>
      <c r="M19" s="16"/>
      <c r="N19" s="17" t="s">
        <v>44</v>
      </c>
      <c r="O19" s="11"/>
      <c r="P19" s="11"/>
      <c r="Q19" s="11"/>
      <c r="R19" s="11"/>
      <c r="S19" s="11"/>
      <c r="T19" s="11"/>
      <c r="U19" s="11"/>
      <c r="V19" s="15"/>
      <c r="W19" s="12"/>
      <c r="Y19" s="36"/>
      <c r="Z19" s="37"/>
      <c r="AA19" s="38"/>
    </row>
    <row r="20" spans="1:27" x14ac:dyDescent="0.35">
      <c r="A20" s="16"/>
      <c r="B20" s="17"/>
      <c r="C20" s="11"/>
      <c r="D20" s="11"/>
      <c r="E20" s="11"/>
      <c r="F20" s="11"/>
      <c r="G20" s="11"/>
      <c r="H20" s="11"/>
      <c r="I20" s="11"/>
      <c r="J20" s="15">
        <f t="shared" si="0"/>
        <v>0</v>
      </c>
      <c r="K20" s="18"/>
      <c r="M20" s="16"/>
      <c r="N20" s="17"/>
      <c r="O20" s="11"/>
      <c r="P20" s="11"/>
      <c r="Q20" s="11"/>
      <c r="R20" s="11"/>
      <c r="S20" s="11"/>
      <c r="T20" s="11"/>
      <c r="U20" s="11"/>
      <c r="V20" s="15"/>
      <c r="W20" s="18"/>
      <c r="Y20" s="36">
        <f t="shared" si="2"/>
        <v>0</v>
      </c>
      <c r="Z20" s="37">
        <f t="shared" si="3"/>
        <v>0</v>
      </c>
      <c r="AA20" s="38">
        <f t="shared" si="4"/>
        <v>0</v>
      </c>
    </row>
    <row r="21" spans="1:27" x14ac:dyDescent="0.35">
      <c r="A21" s="1"/>
      <c r="B21" s="7"/>
      <c r="C21" s="25">
        <f t="shared" ref="C21:I21" si="5">SUM(C7:C20)</f>
        <v>693</v>
      </c>
      <c r="D21" s="25">
        <f t="shared" si="5"/>
        <v>70</v>
      </c>
      <c r="E21" s="25">
        <f t="shared" si="5"/>
        <v>70</v>
      </c>
      <c r="F21" s="25">
        <f t="shared" si="5"/>
        <v>80</v>
      </c>
      <c r="G21" s="25">
        <f t="shared" si="5"/>
        <v>103</v>
      </c>
      <c r="H21" s="25">
        <f t="shared" si="5"/>
        <v>98</v>
      </c>
      <c r="I21" s="25">
        <f t="shared" si="5"/>
        <v>283</v>
      </c>
      <c r="J21" s="26">
        <f>SUM(C21:I21)</f>
        <v>1397</v>
      </c>
      <c r="K21" s="28"/>
      <c r="M21" s="1"/>
      <c r="N21" s="7"/>
      <c r="O21" s="25">
        <f t="shared" ref="O21:U21" si="6">SUM(O7:O20)</f>
        <v>0</v>
      </c>
      <c r="P21" s="25">
        <f t="shared" si="6"/>
        <v>0</v>
      </c>
      <c r="Q21" s="25">
        <f t="shared" si="6"/>
        <v>0</v>
      </c>
      <c r="R21" s="25">
        <f t="shared" si="6"/>
        <v>0</v>
      </c>
      <c r="S21" s="25">
        <f t="shared" si="6"/>
        <v>0</v>
      </c>
      <c r="T21" s="25">
        <f t="shared" si="6"/>
        <v>0</v>
      </c>
      <c r="U21" s="25">
        <f t="shared" si="6"/>
        <v>0</v>
      </c>
      <c r="V21" s="26">
        <f>SUM(O21:U21)</f>
        <v>0</v>
      </c>
      <c r="W21" s="28"/>
      <c r="Y21" s="33">
        <f>SUM(Y7:Y20)</f>
        <v>34.924999999999997</v>
      </c>
      <c r="Z21" s="34">
        <f>SUM(Z7:Z20)</f>
        <v>0</v>
      </c>
      <c r="AA21" s="35">
        <f>SUM(AA7:AA20)</f>
        <v>34.924999999999997</v>
      </c>
    </row>
    <row r="22" spans="1:27" ht="15" thickBot="1" x14ac:dyDescent="0.4">
      <c r="A22" s="1"/>
      <c r="B22" s="20" t="s">
        <v>18</v>
      </c>
      <c r="C22" s="21">
        <f t="shared" ref="C22:I22" si="7">C21/40</f>
        <v>17.324999999999999</v>
      </c>
      <c r="D22" s="21">
        <f t="shared" si="7"/>
        <v>1.75</v>
      </c>
      <c r="E22" s="21">
        <f t="shared" si="7"/>
        <v>1.75</v>
      </c>
      <c r="F22" s="21">
        <f t="shared" si="7"/>
        <v>2</v>
      </c>
      <c r="G22" s="21">
        <f t="shared" si="7"/>
        <v>2.5750000000000002</v>
      </c>
      <c r="H22" s="21">
        <f t="shared" si="7"/>
        <v>2.4500000000000002</v>
      </c>
      <c r="I22" s="21">
        <f t="shared" si="7"/>
        <v>7.0750000000000002</v>
      </c>
      <c r="J22" s="22">
        <f>SUM(J7:J18)</f>
        <v>56.924999999999997</v>
      </c>
      <c r="K22" s="22">
        <f>SUM(K7:K19)</f>
        <v>18</v>
      </c>
      <c r="M22" s="1"/>
      <c r="N22" s="20" t="s">
        <v>18</v>
      </c>
      <c r="O22" s="21">
        <f t="shared" ref="O22:V22" si="8">O21/40</f>
        <v>0</v>
      </c>
      <c r="P22" s="21">
        <f t="shared" si="8"/>
        <v>0</v>
      </c>
      <c r="Q22" s="21">
        <f t="shared" si="8"/>
        <v>0</v>
      </c>
      <c r="R22" s="21">
        <f t="shared" si="8"/>
        <v>0</v>
      </c>
      <c r="S22" s="21">
        <f t="shared" si="8"/>
        <v>0</v>
      </c>
      <c r="T22" s="21">
        <f t="shared" si="8"/>
        <v>0</v>
      </c>
      <c r="U22" s="21">
        <f t="shared" si="8"/>
        <v>0</v>
      </c>
      <c r="V22" s="22">
        <f t="shared" si="8"/>
        <v>0</v>
      </c>
      <c r="W22" s="23"/>
      <c r="Y22" s="39">
        <f>Y21/40</f>
        <v>0.87312499999999993</v>
      </c>
      <c r="Z22" s="40">
        <f>Z21/40</f>
        <v>0</v>
      </c>
      <c r="AA22" s="41">
        <f>AA21/40</f>
        <v>0.87312499999999993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2026-09-05T04:59:25Z</dcterms:modified>
</cp:coreProperties>
</file>