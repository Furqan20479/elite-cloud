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91A7014-DF7E-4517-BB03-A0C9DE3A111B}" xr6:coauthVersionLast="47" xr6:coauthVersionMax="47" xr10:uidLastSave="{00000000-0000-0000-0000-000000000000}"/>
  <bookViews>
    <workbookView xWindow="-110" yWindow="-110" windowWidth="19420" windowHeight="10420" tabRatio="860" activeTab="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9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4" i="10"/>
  <c r="J15" i="10"/>
  <c r="J16" i="10"/>
  <c r="J12" i="11"/>
  <c r="J13" i="11"/>
  <c r="J14" i="11"/>
  <c r="J15" i="11"/>
  <c r="J16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U12" i="12" l="1"/>
  <c r="T12" i="12"/>
  <c r="S12" i="12"/>
  <c r="V12" i="12" s="1"/>
  <c r="V17" i="13"/>
  <c r="J17" i="15" l="1"/>
  <c r="J17" i="13" l="1"/>
  <c r="V17" i="12"/>
  <c r="V17" i="11"/>
  <c r="J17" i="12"/>
  <c r="V12" i="7"/>
  <c r="J17" i="11" l="1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J8" i="10"/>
  <c r="Y8" i="10" s="1"/>
  <c r="J8" i="11"/>
  <c r="Y8" i="11" s="1"/>
  <c r="J8" i="12"/>
  <c r="Y8" i="12" s="1"/>
  <c r="J8" i="13"/>
  <c r="Y8" i="13" s="1"/>
  <c r="J8" i="14"/>
  <c r="Y8" i="14" s="1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9" i="11" s="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<sst xmlns="http://schemas.openxmlformats.org/spreadsheetml/2006/main" count="1678" uniqueCount="50">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</sst>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R13" sqref="R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101</v>
      </c>
      <c r="Q18" s="25">
        <f t="shared" si="6"/>
        <v>86</v>
      </c>
      <c r="R18" s="25">
        <f t="shared" si="6"/>
        <v>43</v>
      </c>
      <c r="S18" s="25">
        <f t="shared" si="6"/>
        <v>320</v>
      </c>
      <c r="T18" s="25">
        <f t="shared" si="6"/>
        <v>177</v>
      </c>
      <c r="U18" s="25">
        <f t="shared" si="6"/>
        <v>221</v>
      </c>
      <c r="V18" s="26">
        <f>SUM(O18:U18)</f>
        <v>1599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2.5249999999999999</v>
      </c>
      <c r="Q19" s="21">
        <f t="shared" si="8"/>
        <v>2.15</v>
      </c>
      <c r="R19" s="21">
        <f t="shared" si="8"/>
        <v>1.075</v>
      </c>
      <c r="S19" s="21">
        <f t="shared" si="8"/>
        <v>8</v>
      </c>
      <c r="T19" s="21">
        <f t="shared" si="8"/>
        <v>4.4249999999999998</v>
      </c>
      <c r="U19" s="21">
        <f t="shared" si="8"/>
        <v>5.5250000000000004</v>
      </c>
      <c r="V19" s="22">
        <f t="shared" si="8"/>
        <v>39.975000000000001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abSelected="1" topLeftCell="A5" workbookViewId="0">
      <selection activeCell="N22" sqref="N2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58</v>
      </c>
      <c r="K8" s="12">
        <v>18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58</v>
      </c>
      <c r="Z8" s="37">
        <f>V8</f>
        <v>0</v>
      </c>
      <c r="AA8" s="38">
        <f>Y8-Z8</f>
        <v>58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6" si="0">SUM(C9:I9)/40</f>
        <v>10.8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10.8</v>
      </c>
      <c r="Z9" s="37">
        <f t="shared" ref="Z9:Z17" si="3">V9</f>
        <v>0</v>
      </c>
      <c r="AA9" s="38">
        <f t="shared" ref="AA9:AA17" si="4">Y9-Z9</f>
        <v>10.8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18.899999999999999</v>
      </c>
      <c r="Z10" s="37">
        <f t="shared" si="3"/>
        <v>0</v>
      </c>
      <c r="AA10" s="38">
        <f t="shared" si="4"/>
        <v>18.899999999999999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6.2249999999999996</v>
      </c>
      <c r="Z11" s="37">
        <f t="shared" si="3"/>
        <v>0</v>
      </c>
      <c r="AA11" s="38">
        <f t="shared" si="4"/>
        <v>6.2249999999999996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v>5</v>
      </c>
      <c r="K12" s="12">
        <v>6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</v>
      </c>
      <c r="Z12" s="37">
        <f t="shared" si="3"/>
        <v>0</v>
      </c>
      <c r="AA12" s="38">
        <f t="shared" si="4"/>
        <v>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320</v>
      </c>
      <c r="D18" s="25">
        <f t="shared" si="5"/>
        <v>114</v>
      </c>
      <c r="E18" s="25">
        <f t="shared" si="5"/>
        <v>54</v>
      </c>
      <c r="F18" s="25">
        <f t="shared" si="5"/>
        <v>96</v>
      </c>
      <c r="G18" s="25">
        <f t="shared" si="5"/>
        <v>264</v>
      </c>
      <c r="H18" s="25">
        <f t="shared" si="5"/>
        <v>280</v>
      </c>
      <c r="I18" s="25">
        <f t="shared" si="5"/>
        <v>309</v>
      </c>
      <c r="J18" s="26">
        <f>SUM(C18:I18)</f>
        <v>1437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98.924999999999983</v>
      </c>
      <c r="Z18" s="34">
        <f>SUM(Z8:Z17)</f>
        <v>0</v>
      </c>
      <c r="AA18" s="35">
        <f>SUM(AA8:AA17)</f>
        <v>98.924999999999983</v>
      </c>
    </row>
    <row r="19" spans="1:27" ht="15" thickBot="1" x14ac:dyDescent="0.4">
      <c r="A19" s="1"/>
      <c r="B19" s="20" t="s">
        <v>18</v>
      </c>
      <c r="C19" s="21">
        <f t="shared" ref="C19:J19" si="7">C18/40</f>
        <v>8</v>
      </c>
      <c r="D19" s="21">
        <f t="shared" si="7"/>
        <v>2.85</v>
      </c>
      <c r="E19" s="21">
        <f t="shared" si="7"/>
        <v>1.35</v>
      </c>
      <c r="F19" s="21">
        <f t="shared" si="7"/>
        <v>2.4</v>
      </c>
      <c r="G19" s="21">
        <f t="shared" si="7"/>
        <v>6.6</v>
      </c>
      <c r="H19" s="21">
        <f t="shared" si="7"/>
        <v>7</v>
      </c>
      <c r="I19" s="21">
        <f t="shared" si="7"/>
        <v>7.7249999999999996</v>
      </c>
      <c r="J19" s="22">
        <f>SUM(J8:J16)</f>
        <v>318.92499999999995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2.4731249999999996</v>
      </c>
      <c r="Z19" s="40">
        <f>Z18/40</f>
        <v>0</v>
      </c>
      <c r="AA19" s="41">
        <f>AA18/40</f>
        <v>2.4731249999999996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/>
      <c r="Y12" s="36">
        <f t="shared" si="2"/>
        <v>0</v>
      </c>
      <c r="Z12" s="37">
        <f t="shared" si="3"/>
        <v>78</v>
      </c>
      <c r="AA12" s="38">
        <f t="shared" si="4"/>
        <v>-78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>
        <v>10</v>
      </c>
      <c r="Q17" s="11">
        <v>20</v>
      </c>
      <c r="R17" s="11">
        <v>10</v>
      </c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210</v>
      </c>
      <c r="Q18" s="25">
        <f t="shared" si="6"/>
        <v>460</v>
      </c>
      <c r="R18" s="25">
        <f t="shared" si="6"/>
        <v>770</v>
      </c>
      <c r="S18" s="25">
        <f t="shared" si="6"/>
        <v>400</v>
      </c>
      <c r="T18" s="25">
        <f t="shared" si="6"/>
        <v>520</v>
      </c>
      <c r="U18" s="25">
        <f t="shared" si="6"/>
        <v>800</v>
      </c>
      <c r="V18" s="26">
        <f>SUM(O18:U18)</f>
        <v>3160</v>
      </c>
      <c r="W18" s="28"/>
      <c r="Y18" s="33">
        <f>SUM(Y8:Y17)</f>
        <v>0</v>
      </c>
      <c r="Z18" s="34">
        <f>SUM(Z8:Z17)</f>
        <v>78</v>
      </c>
      <c r="AA18" s="35">
        <f>SUM(AA8:AA17)</f>
        <v>-78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5.25</v>
      </c>
      <c r="Q19" s="21">
        <f t="shared" si="8"/>
        <v>11.5</v>
      </c>
      <c r="R19" s="21">
        <f t="shared" si="8"/>
        <v>19.25</v>
      </c>
      <c r="S19" s="21">
        <f t="shared" si="8"/>
        <v>10</v>
      </c>
      <c r="T19" s="21">
        <f t="shared" si="8"/>
        <v>13</v>
      </c>
      <c r="U19" s="21">
        <f t="shared" si="8"/>
        <v>20</v>
      </c>
      <c r="V19" s="22">
        <f t="shared" si="8"/>
        <v>79</v>
      </c>
      <c r="W19" s="23"/>
      <c r="Y19" s="39">
        <f>Y18/40</f>
        <v>0</v>
      </c>
      <c r="Z19" s="40">
        <f>Z18/40</f>
        <v>1.95</v>
      </c>
      <c r="AA19" s="41">
        <f>AA18/40</f>
        <v>-1.95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/>
      <c r="Y12" s="36">
        <f t="shared" si="2"/>
        <v>0</v>
      </c>
      <c r="Z12" s="37">
        <f t="shared" si="3"/>
        <v>20.975000000000001</v>
      </c>
      <c r="AA12" s="38">
        <f t="shared" si="4"/>
        <v>-20.975000000000001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32</v>
      </c>
      <c r="O17" s="11">
        <v>20</v>
      </c>
      <c r="P17" s="11">
        <v>0</v>
      </c>
      <c r="Q17" s="11">
        <v>0</v>
      </c>
      <c r="R17" s="11"/>
      <c r="S17" s="11">
        <v>10</v>
      </c>
      <c r="T17" s="11">
        <v>10</v>
      </c>
      <c r="U17" s="11">
        <v>20</v>
      </c>
      <c r="V17" s="15">
        <f t="shared" si="1"/>
        <v>1.5</v>
      </c>
      <c r="W17" s="12">
        <v>1</v>
      </c>
      <c r="Y17" s="36">
        <f t="shared" si="2"/>
        <v>0</v>
      </c>
      <c r="Z17" s="37">
        <f t="shared" si="3"/>
        <v>1.5</v>
      </c>
      <c r="AA17" s="38">
        <f t="shared" si="4"/>
        <v>-1.5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</v>
      </c>
      <c r="P18" s="25">
        <f t="shared" si="6"/>
        <v>79</v>
      </c>
      <c r="Q18" s="25">
        <f t="shared" si="6"/>
        <v>120</v>
      </c>
      <c r="R18" s="25">
        <f t="shared" si="6"/>
        <v>120</v>
      </c>
      <c r="S18" s="25">
        <f t="shared" si="6"/>
        <v>170</v>
      </c>
      <c r="T18" s="25">
        <f t="shared" si="6"/>
        <v>210</v>
      </c>
      <c r="U18" s="25">
        <f t="shared" si="6"/>
        <v>180</v>
      </c>
      <c r="V18" s="26">
        <f>SUM(O18:U18)</f>
        <v>899</v>
      </c>
      <c r="W18" s="28"/>
      <c r="Y18" s="33">
        <f>SUM(Y8:Y17)</f>
        <v>0</v>
      </c>
      <c r="Z18" s="34">
        <f>SUM(Z8:Z17)</f>
        <v>22.475000000000001</v>
      </c>
      <c r="AA18" s="35">
        <f>SUM(AA8:AA17)</f>
        <v>-22.475000000000001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0.5</v>
      </c>
      <c r="P19" s="21">
        <f t="shared" si="8"/>
        <v>1.9750000000000001</v>
      </c>
      <c r="Q19" s="21">
        <f t="shared" si="8"/>
        <v>3</v>
      </c>
      <c r="R19" s="21">
        <f t="shared" si="8"/>
        <v>3</v>
      </c>
      <c r="S19" s="21">
        <f t="shared" si="8"/>
        <v>4.25</v>
      </c>
      <c r="T19" s="21">
        <f t="shared" si="8"/>
        <v>5.25</v>
      </c>
      <c r="U19" s="21">
        <f t="shared" si="8"/>
        <v>4.5</v>
      </c>
      <c r="V19" s="22">
        <f t="shared" si="8"/>
        <v>22.475000000000001</v>
      </c>
      <c r="W19" s="23"/>
      <c r="Y19" s="39">
        <f>Y18/40</f>
        <v>0</v>
      </c>
      <c r="Z19" s="40">
        <f>Z18/40</f>
        <v>0.56187500000000001</v>
      </c>
      <c r="AA19" s="41">
        <f>AA18/40</f>
        <v>-0.56187500000000001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opLeftCell="A2"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/>
      <c r="Y12" s="36">
        <f t="shared" si="2"/>
        <v>0</v>
      </c>
      <c r="Z12" s="37">
        <f t="shared" si="3"/>
        <v>634.5</v>
      </c>
      <c r="AA12" s="38">
        <f t="shared" si="4"/>
        <v>-634.5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>
        <v>24</v>
      </c>
      <c r="P17" s="11">
        <v>16</v>
      </c>
      <c r="Q17" s="11">
        <v>16</v>
      </c>
      <c r="R17" s="11">
        <v>4</v>
      </c>
      <c r="S17" s="11">
        <v>4</v>
      </c>
      <c r="T17" s="11">
        <v>4</v>
      </c>
      <c r="U17" s="11">
        <v>4</v>
      </c>
      <c r="V17" s="15">
        <f t="shared" si="1"/>
        <v>1.8</v>
      </c>
      <c r="W17" s="12">
        <v>2</v>
      </c>
      <c r="Y17" s="36">
        <f t="shared" si="2"/>
        <v>0</v>
      </c>
      <c r="Z17" s="37">
        <f t="shared" si="3"/>
        <v>1.8</v>
      </c>
      <c r="AA17" s="38">
        <f t="shared" si="4"/>
        <v>-1.8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4064</v>
      </c>
      <c r="P18" s="25">
        <f t="shared" si="6"/>
        <v>2216</v>
      </c>
      <c r="Q18" s="25">
        <f t="shared" si="6"/>
        <v>1976</v>
      </c>
      <c r="R18" s="25">
        <f t="shared" si="6"/>
        <v>1284</v>
      </c>
      <c r="S18" s="25">
        <f t="shared" si="6"/>
        <v>5404</v>
      </c>
      <c r="T18" s="25">
        <f t="shared" si="6"/>
        <v>4224</v>
      </c>
      <c r="U18" s="25">
        <f t="shared" si="6"/>
        <v>6284</v>
      </c>
      <c r="V18" s="26">
        <f>SUM(O18:U18)</f>
        <v>25452</v>
      </c>
      <c r="W18" s="28"/>
      <c r="Y18" s="33">
        <f>SUM(Y8:Y17)</f>
        <v>0</v>
      </c>
      <c r="Z18" s="34">
        <f>SUM(Z8:Z17)</f>
        <v>636.29999999999995</v>
      </c>
      <c r="AA18" s="35">
        <f>SUM(AA8:AA17)</f>
        <v>-636.29999999999995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101.6</v>
      </c>
      <c r="P19" s="21">
        <f t="shared" si="8"/>
        <v>55.4</v>
      </c>
      <c r="Q19" s="21">
        <f t="shared" si="8"/>
        <v>49.4</v>
      </c>
      <c r="R19" s="21">
        <f t="shared" si="8"/>
        <v>32.1</v>
      </c>
      <c r="S19" s="21">
        <f t="shared" si="8"/>
        <v>135.1</v>
      </c>
      <c r="T19" s="21">
        <f t="shared" si="8"/>
        <v>105.6</v>
      </c>
      <c r="U19" s="21">
        <f t="shared" si="8"/>
        <v>157.1</v>
      </c>
      <c r="V19" s="22">
        <f t="shared" si="8"/>
        <v>636.29999999999995</v>
      </c>
      <c r="W19" s="23"/>
      <c r="Y19" s="39">
        <f>Y18/40</f>
        <v>0</v>
      </c>
      <c r="Z19" s="40">
        <f>Z18/40</f>
        <v>15.907499999999999</v>
      </c>
      <c r="AA19" s="41">
        <f>AA18/40</f>
        <v>-15.907499999999999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2026-09-08T11:57:48Z</dcterms:modified>
</cp:coreProperties>
</file>