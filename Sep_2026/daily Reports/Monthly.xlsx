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68DBDB8E-507F-4373-8C7C-EAA5F389CDFC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1" i="1"/>
  <c r="G10" i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<sst xmlns="http://schemas.openxmlformats.org/spreadsheetml/2006/main" count="23" uniqueCount="23">
  <si>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</si>
  <si>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</si>
  <si>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</si>
  <si>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</si>
  <si>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</si>
  <si>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</si>
  <si>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</si>
  <si>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</si>
  <si>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</si>
  <si>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</si>
  <si>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</si>
  <si>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</si>
  <si>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</si>
  <si>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</si>
  <si>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</si>
  <si>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</si>
  <si>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</si>
  <si>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</si>
  <si>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</si>
  <si>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</si>
  <si>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</si>
  <si>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Primary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</si>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</sst>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="70" zoomScaleNormal="70" workbookViewId="0">
      <pane xSplit="1" topLeftCell="B1" activePane="topRight" state="frozen"/>
      <selection pane="topRight" activeCell="R21" sqref="R21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9.453125" hidden="1" customWidth="1"/>
    <col min="22" max="22" width="8.26953125" hidden="1" customWidth="1"/>
    <col min="23" max="23" width="9.453125" hidden="1" customWidth="1"/>
    <col min="24" max="24" width="3.08984375" hidden="1" customWidth="1"/>
    <col min="25" max="28" width="9.453125" hidden="1" customWidth="1"/>
    <col min="29" max="29" width="8.6328125" hidden="1" customWidth="1"/>
    <col min="30" max="30" width="5.26953125" hidden="1" customWidth="1"/>
    <col min="31" max="31" width="2.90625" hidden="1" customWidth="1"/>
    <col min="32" max="32" width="7.54296875" hidden="1" customWidth="1"/>
    <col min="33" max="33" width="6.453125" hidden="1" customWidth="1"/>
    <col min="34" max="34" width="2.90625" hidden="1" customWidth="1"/>
    <col min="35" max="35" width="8.6328125" hidden="1" customWidth="1"/>
    <col min="36" max="36" width="6.453125" hidden="1" customWidth="1"/>
    <col min="37" max="37" width="8.6328125" hidden="1" customWidth="1"/>
    <col min="38" max="38" width="7.54296875" hidden="1" customWidth="1"/>
    <col min="39" max="39" width="9.453125" bestFit="1" customWidth="1"/>
  </cols>
  <sheetData>
    <row r="1" spans="1:40" ht="36.5" customHeight="1" x14ac:dyDescent="0.35">
      <c r="A1" s="8" t="s">
        <v>22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>
        <v>46276</v>
      </c>
      <c r="G2" s="14"/>
      <c r="H2" s="14" t="s">
        <v>21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>
        <v>6000</v>
      </c>
      <c r="G3" s="1"/>
      <c r="H3" s="1">
        <f>SUM(D3:G3)</f>
        <v>19895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>
        <v>301</v>
      </c>
      <c r="Q3" s="1">
        <v>695</v>
      </c>
      <c r="R3" s="1">
        <v>273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2">
        <f>SUM(I3:AL3)</f>
        <v>3687</v>
      </c>
      <c r="AN3" s="4">
        <f t="shared" ref="AN3:AN9" si="0">H3-AM3</f>
        <v>16208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>
        <v>4000</v>
      </c>
      <c r="G4" s="1"/>
      <c r="H4" s="1">
        <f t="shared" ref="H4:H9" si="1">SUM(D4:G4)</f>
        <v>15619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>
        <v>246</v>
      </c>
      <c r="Q4" s="1">
        <v>835</v>
      </c>
      <c r="R4" s="1">
        <v>267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3672</v>
      </c>
      <c r="AN4" s="4">
        <f t="shared" si="0"/>
        <v>11947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>
        <v>6000</v>
      </c>
      <c r="G5" s="1"/>
      <c r="H5" s="1">
        <f t="shared" si="1"/>
        <v>15200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>
        <v>243</v>
      </c>
      <c r="Q5" s="1">
        <v>1478</v>
      </c>
      <c r="R5" s="1">
        <v>383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2">
        <f t="shared" si="2"/>
        <v>4807</v>
      </c>
      <c r="AN5" s="4">
        <f t="shared" si="0"/>
        <v>10393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>
        <v>6000</v>
      </c>
      <c r="G6" s="1"/>
      <c r="H6" s="1">
        <f t="shared" si="1"/>
        <v>17460</v>
      </c>
      <c r="I6" s="1">
        <v>921</v>
      </c>
      <c r="J6" s="17"/>
      <c r="K6" s="1">
        <v>975</v>
      </c>
      <c r="L6" s="1">
        <v>512</v>
      </c>
      <c r="M6" s="1">
        <v>493</v>
      </c>
      <c r="N6" s="6"/>
      <c r="O6" s="1">
        <v>1104</v>
      </c>
      <c r="P6" s="1">
        <v>718</v>
      </c>
      <c r="Q6" s="1">
        <v>1828</v>
      </c>
      <c r="R6" s="1">
        <v>382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2">
        <f t="shared" si="2"/>
        <v>6933</v>
      </c>
      <c r="AN6" s="4">
        <f t="shared" si="0"/>
        <v>10527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>
        <v>4000</v>
      </c>
      <c r="G7" s="1"/>
      <c r="H7" s="1">
        <f t="shared" si="1"/>
        <v>17709</v>
      </c>
      <c r="I7" s="1">
        <v>876</v>
      </c>
      <c r="J7" s="17"/>
      <c r="K7" s="1">
        <v>892</v>
      </c>
      <c r="L7" s="1">
        <v>440</v>
      </c>
      <c r="M7" s="1">
        <v>381</v>
      </c>
      <c r="N7" s="6"/>
      <c r="O7" s="1">
        <v>1476</v>
      </c>
      <c r="P7" s="1">
        <v>457</v>
      </c>
      <c r="Q7" s="1">
        <v>2050</v>
      </c>
      <c r="R7" s="1">
        <v>323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2">
        <f t="shared" si="2"/>
        <v>6895</v>
      </c>
      <c r="AN7" s="4">
        <f t="shared" si="0"/>
        <v>10814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>
        <v>14000</v>
      </c>
      <c r="G8" s="1"/>
      <c r="H8" s="1">
        <f t="shared" si="1"/>
        <v>29180</v>
      </c>
      <c r="I8" s="1">
        <v>882</v>
      </c>
      <c r="J8" s="17"/>
      <c r="K8" s="1">
        <v>655</v>
      </c>
      <c r="L8" s="1">
        <v>117</v>
      </c>
      <c r="M8" s="1">
        <v>570</v>
      </c>
      <c r="N8" s="6"/>
      <c r="O8" s="1">
        <v>2189</v>
      </c>
      <c r="P8" s="1">
        <v>781</v>
      </c>
      <c r="Q8" s="1">
        <v>3306</v>
      </c>
      <c r="R8" s="1">
        <v>595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2">
        <f t="shared" si="2"/>
        <v>9095</v>
      </c>
      <c r="AN8" s="4">
        <f t="shared" si="0"/>
        <v>20085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>
        <v>651</v>
      </c>
      <c r="Q9" s="1">
        <v>324</v>
      </c>
      <c r="R9" s="1">
        <v>755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6443</v>
      </c>
      <c r="AN9" s="4">
        <f t="shared" si="0"/>
        <v>9201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40000</v>
      </c>
      <c r="G10" s="5">
        <f>SUM(G3:G9)</f>
        <v>0</v>
      </c>
      <c r="H10" s="5">
        <f>SUM(H3:H9)</f>
        <v>130707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2475</v>
      </c>
      <c r="N10" s="5">
        <f t="shared" si="3"/>
        <v>0</v>
      </c>
      <c r="O10" s="5">
        <f t="shared" si="3"/>
        <v>8442</v>
      </c>
      <c r="P10" s="5">
        <f t="shared" si="3"/>
        <v>3397</v>
      </c>
      <c r="Q10" s="5">
        <f t="shared" si="3"/>
        <v>10516</v>
      </c>
      <c r="R10" s="5">
        <f t="shared" si="3"/>
        <v>2978</v>
      </c>
      <c r="S10" s="5">
        <f t="shared" si="3"/>
        <v>0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41532</v>
      </c>
      <c r="AN10" s="5">
        <f t="shared" si="3"/>
        <v>89175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1000</v>
      </c>
      <c r="G11" s="5">
        <f>G10/40</f>
        <v>0</v>
      </c>
      <c r="H11" s="15">
        <f>H10/40</f>
        <v>3267.6750000000002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61.875</v>
      </c>
      <c r="N11" s="5">
        <f t="shared" si="4"/>
        <v>0</v>
      </c>
      <c r="O11" s="5">
        <f t="shared" si="4"/>
        <v>211.05</v>
      </c>
      <c r="P11" s="5">
        <f t="shared" si="4"/>
        <v>84.924999999999997</v>
      </c>
      <c r="Q11" s="5">
        <f t="shared" si="4"/>
        <v>262.89999999999998</v>
      </c>
      <c r="R11" s="5">
        <f t="shared" si="4"/>
        <v>74.45</v>
      </c>
      <c r="S11" s="5">
        <f t="shared" si="4"/>
        <v>0</v>
      </c>
      <c r="T11" s="5">
        <f t="shared" si="4"/>
        <v>0</v>
      </c>
      <c r="U11" s="5">
        <f t="shared" si="4"/>
        <v>0</v>
      </c>
      <c r="V11" s="5">
        <f t="shared" si="4"/>
        <v>0</v>
      </c>
      <c r="W11" s="5">
        <f t="shared" si="4"/>
        <v>0</v>
      </c>
      <c r="X11" s="5">
        <f t="shared" si="4"/>
        <v>0</v>
      </c>
      <c r="Y11" s="5">
        <f t="shared" si="4"/>
        <v>0</v>
      </c>
      <c r="Z11" s="5">
        <f t="shared" si="4"/>
        <v>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5">
        <f t="shared" si="4"/>
        <v>1038.3</v>
      </c>
      <c r="AN11" s="16">
        <f t="shared" si="4"/>
        <v>2229.375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/>
      <c r="B14" s="1"/>
      <c r="C14" s="1"/>
      <c r="D14" s="1"/>
    </row>
    <row r="15" spans="1:40" x14ac:dyDescent="0.35">
      <c r="A15" s="7"/>
      <c r="B15" s="1"/>
      <c r="C15" s="1"/>
      <c r="D15" s="1"/>
    </row>
    <row r="16" spans="1:40" x14ac:dyDescent="0.35">
      <c r="A16" s="7"/>
      <c r="B16" s="1"/>
      <c r="C16" s="1"/>
      <c r="D16" s="1"/>
    </row>
    <row r="17" spans="1:4" x14ac:dyDescent="0.35">
      <c r="A17" s="7"/>
      <c r="B17" s="1"/>
      <c r="C17" s="1"/>
      <c r="D17" s="1"/>
    </row>
    <row r="18" spans="1:4" x14ac:dyDescent="0.35">
      <c r="A18" s="7"/>
      <c r="B18" s="1"/>
      <c r="C18" s="1"/>
      <c r="D18" s="1"/>
    </row>
    <row r="19" spans="1:4" x14ac:dyDescent="0.35">
      <c r="A19" s="7"/>
      <c r="B19" s="1"/>
      <c r="C19" s="1"/>
      <c r="D19" s="1"/>
    </row>
    <row r="20" spans="1:4" x14ac:dyDescent="0.35">
      <c r="A20" s="7"/>
      <c r="B20" s="1"/>
      <c r="C20" s="1"/>
      <c r="D20" s="1"/>
    </row>
    <row r="21" spans="1:4" x14ac:dyDescent="0.35">
      <c r="A21" s="7"/>
      <c r="B21" s="1"/>
      <c r="C21" s="1"/>
      <c r="D21" s="1"/>
    </row>
    <row r="22" spans="1:4" x14ac:dyDescent="0.35">
      <c r="A22" s="7"/>
      <c r="B22" s="1"/>
      <c r="C22" s="1"/>
      <c r="D22" s="1"/>
    </row>
    <row r="23" spans="1:4" x14ac:dyDescent="0.35">
      <c r="A23" s="7"/>
      <c r="B23" s="1"/>
      <c r="C23" s="1"/>
      <c r="D23" s="1"/>
    </row>
    <row r="24" spans="1:4" x14ac:dyDescent="0.35">
      <c r="A24" s="7"/>
      <c r="B24" s="1"/>
      <c r="C24" s="1"/>
      <c r="D24" s="1"/>
    </row>
    <row r="25" spans="1:4" x14ac:dyDescent="0.35">
      <c r="A25" s="7"/>
      <c r="B25" s="1"/>
      <c r="C25" s="1"/>
      <c r="D25" s="1"/>
    </row>
    <row r="26" spans="1:4" x14ac:dyDescent="0.35">
      <c r="A26" s="7"/>
      <c r="B26" s="1"/>
      <c r="C26" s="1"/>
      <c r="D26" s="1"/>
    </row>
    <row r="27" spans="1:4" x14ac:dyDescent="0.35">
      <c r="A27" s="7"/>
      <c r="B27" s="1"/>
      <c r="C27" s="1"/>
      <c r="D27" s="1"/>
    </row>
    <row r="28" spans="1:4" x14ac:dyDescent="0.35">
      <c r="A28" s="7"/>
      <c r="B28" s="1"/>
      <c r="C28" s="1"/>
      <c r="D28" s="1"/>
    </row>
    <row r="29" spans="1:4" x14ac:dyDescent="0.35">
      <c r="A29" s="7"/>
      <c r="B29" s="1"/>
      <c r="C29" s="1"/>
      <c r="D29" s="1"/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0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2026-09-11T08:00:40Z</dcterms:modified>
</cp:coreProperties>
</file>