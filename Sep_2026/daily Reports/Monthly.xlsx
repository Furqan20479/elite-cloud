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99AF332-1288-416C-878F-4EBCE8FA4DE9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<sst xmlns="http://schemas.openxmlformats.org/spreadsheetml/2006/main" count="55" uniqueCount="35">
  <si>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</si>
  <si>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</si>
  <si>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</si>
  <si>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</si>
  <si>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</si>
  <si>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</si>
  <si>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</si>
  <si>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</si>
  <si>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</si>
  <si>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</si>
  <si>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</si>
  <si>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</si>
  <si>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</si>
  <si>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</si>
  <si>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</si>
  <si>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</si>
  <si>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</si>
  <si>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</si>
  <si>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</si>
  <si>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</si>
  <si>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</si>
  <si>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Delivered</t>
  </si>
  <si>
    <t>Primary</t>
  </si>
  <si>
    <t xml:space="preserve">Jalal Sons </t>
  </si>
  <si>
    <t>Sep</t>
  </si>
  <si>
    <t>Naimat Khana</t>
  </si>
  <si>
    <t>MS Traders (Risen)</t>
  </si>
  <si>
    <t>Laraib LMT</t>
  </si>
  <si>
    <t xml:space="preserve">Laraib Induction </t>
  </si>
  <si>
    <t>Swera Store</t>
  </si>
  <si>
    <t xml:space="preserve">Clinix Warehouse </t>
  </si>
  <si>
    <t xml:space="preserve">Prime Mart </t>
  </si>
  <si>
    <t>LGS</t>
  </si>
  <si>
    <t>Shahzad (asif Bro)</t>
  </si>
  <si>
    <t>Rainbow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</si>
</sst>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70" zoomScaleNormal="70" workbookViewId="0">
      <pane xSplit="1" topLeftCell="B1" activePane="topRight" state="frozen"/>
      <selection pane="topRight" activeCell="R20" sqref="R20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9.453125" hidden="1" customWidth="1"/>
    <col min="22" max="22" width="8.26953125" hidden="1" customWidth="1"/>
    <col min="23" max="23" width="9.453125" hidden="1" customWidth="1"/>
    <col min="24" max="24" width="3.0898437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24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/>
      <c r="G2" s="14"/>
      <c r="H2" s="14" t="s">
        <v>22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/>
      <c r="G3" s="1"/>
      <c r="H3" s="1">
        <f>SUM(D3:G3)</f>
        <v>13895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2719</v>
      </c>
      <c r="AN3" s="4">
        <f t="shared" ref="AN3:AN9" si="0">H3-AM3</f>
        <v>11176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/>
      <c r="G4" s="1"/>
      <c r="H4" s="1">
        <f t="shared" ref="H4:H9" si="1">SUM(D4:G4)</f>
        <v>11619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2570</v>
      </c>
      <c r="AN4" s="4">
        <f t="shared" si="0"/>
        <v>9049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/>
      <c r="G5" s="1"/>
      <c r="H5" s="1">
        <f t="shared" si="1"/>
        <v>9200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2946</v>
      </c>
      <c r="AN5" s="4">
        <f t="shared" si="0"/>
        <v>6254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/>
      <c r="G6" s="1"/>
      <c r="H6" s="1">
        <f t="shared" si="1"/>
        <v>11460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4723</v>
      </c>
      <c r="AN6" s="4">
        <f t="shared" si="0"/>
        <v>6737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/>
      <c r="G7" s="1"/>
      <c r="H7" s="1">
        <f t="shared" si="1"/>
        <v>13709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4522</v>
      </c>
      <c r="AN7" s="4">
        <f t="shared" si="0"/>
        <v>9187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/>
      <c r="G8" s="1"/>
      <c r="H8" s="1">
        <f t="shared" si="1"/>
        <v>15180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5194</v>
      </c>
      <c r="AN8" s="4">
        <f t="shared" si="0"/>
        <v>9986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5364</v>
      </c>
      <c r="AN9" s="4">
        <f t="shared" si="0"/>
        <v>10280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0</v>
      </c>
      <c r="G10" s="5">
        <f>SUM(G3:G9)</f>
        <v>0</v>
      </c>
      <c r="H10" s="5">
        <f>SUM(H3:H9)</f>
        <v>90707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28038</v>
      </c>
      <c r="AN10" s="5">
        <f t="shared" si="3"/>
        <v>62669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0</v>
      </c>
      <c r="G11" s="5">
        <f>G10/40</f>
        <v>0</v>
      </c>
      <c r="H11" s="15">
        <f>H10/40</f>
        <v>2267.6750000000002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0</v>
      </c>
      <c r="R11" s="5">
        <f t="shared" si="4"/>
        <v>0</v>
      </c>
      <c r="S11" s="5">
        <f t="shared" si="4"/>
        <v>0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700.95</v>
      </c>
      <c r="AN11" s="16">
        <f t="shared" si="4"/>
        <v>1566.7249999999999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>
        <v>46267</v>
      </c>
      <c r="B14" s="1" t="s">
        <v>25</v>
      </c>
      <c r="C14" s="1">
        <v>120</v>
      </c>
      <c r="D14" s="1" t="s">
        <v>21</v>
      </c>
    </row>
    <row r="15" spans="1:40" x14ac:dyDescent="0.35">
      <c r="A15" s="7">
        <v>46267</v>
      </c>
      <c r="B15" s="1" t="s">
        <v>26</v>
      </c>
      <c r="C15" s="1">
        <v>4</v>
      </c>
      <c r="D15" s="1" t="s">
        <v>21</v>
      </c>
    </row>
    <row r="16" spans="1:40" x14ac:dyDescent="0.35">
      <c r="A16" s="7">
        <v>46268</v>
      </c>
      <c r="B16" s="1" t="s">
        <v>27</v>
      </c>
      <c r="C16" s="1">
        <v>34</v>
      </c>
      <c r="D16" s="1" t="s">
        <v>21</v>
      </c>
    </row>
    <row r="17" spans="1:4" x14ac:dyDescent="0.35">
      <c r="A17" s="7">
        <v>46268</v>
      </c>
      <c r="B17" s="1" t="s">
        <v>28</v>
      </c>
      <c r="C17" s="1">
        <v>7</v>
      </c>
      <c r="D17" s="1" t="s">
        <v>21</v>
      </c>
    </row>
    <row r="18" spans="1:4" x14ac:dyDescent="0.35">
      <c r="A18" s="7">
        <v>46268</v>
      </c>
      <c r="B18" s="1" t="s">
        <v>29</v>
      </c>
      <c r="C18" s="1">
        <v>11</v>
      </c>
      <c r="D18" s="1" t="s">
        <v>21</v>
      </c>
    </row>
    <row r="19" spans="1:4" x14ac:dyDescent="0.35">
      <c r="A19" s="7">
        <v>46269</v>
      </c>
      <c r="B19" s="1" t="s">
        <v>30</v>
      </c>
      <c r="C19" s="1">
        <v>17</v>
      </c>
      <c r="D19" s="1" t="s">
        <v>21</v>
      </c>
    </row>
    <row r="20" spans="1:4" x14ac:dyDescent="0.35">
      <c r="A20" s="7">
        <v>46269</v>
      </c>
      <c r="B20" s="1" t="s">
        <v>23</v>
      </c>
      <c r="C20" s="1">
        <v>3</v>
      </c>
      <c r="D20" s="1" t="s">
        <v>21</v>
      </c>
    </row>
    <row r="21" spans="1:4" x14ac:dyDescent="0.35">
      <c r="A21" s="7">
        <v>46269</v>
      </c>
      <c r="B21" s="1" t="s">
        <v>23</v>
      </c>
      <c r="C21" s="1">
        <v>7</v>
      </c>
      <c r="D21" s="1" t="s">
        <v>21</v>
      </c>
    </row>
    <row r="22" spans="1:4" x14ac:dyDescent="0.35">
      <c r="A22" s="7">
        <v>46269</v>
      </c>
      <c r="B22" s="1" t="s">
        <v>31</v>
      </c>
      <c r="C22" s="1">
        <v>2</v>
      </c>
      <c r="D22" s="1" t="s">
        <v>21</v>
      </c>
    </row>
    <row r="23" spans="1:4" x14ac:dyDescent="0.35">
      <c r="A23" s="7">
        <v>46270</v>
      </c>
      <c r="B23" s="1" t="s">
        <v>32</v>
      </c>
      <c r="C23" s="1">
        <v>3</v>
      </c>
      <c r="D23" s="1" t="s">
        <v>21</v>
      </c>
    </row>
    <row r="24" spans="1:4" x14ac:dyDescent="0.35">
      <c r="A24" s="7">
        <v>46272</v>
      </c>
      <c r="B24" s="1" t="s">
        <v>33</v>
      </c>
      <c r="C24" s="1">
        <v>9.625</v>
      </c>
      <c r="D24" s="1" t="s">
        <v>21</v>
      </c>
    </row>
    <row r="25" spans="1:4" x14ac:dyDescent="0.35">
      <c r="A25" s="7">
        <v>46272</v>
      </c>
      <c r="B25" s="1" t="s">
        <v>34</v>
      </c>
      <c r="C25" s="1">
        <v>4</v>
      </c>
      <c r="D25" s="1" t="s">
        <v>21</v>
      </c>
    </row>
    <row r="26" spans="1:4" x14ac:dyDescent="0.35">
      <c r="A26" s="7">
        <v>46272</v>
      </c>
      <c r="B26" s="1" t="s">
        <v>34</v>
      </c>
      <c r="C26" s="1">
        <v>18</v>
      </c>
      <c r="D26" s="1" t="s">
        <v>21</v>
      </c>
    </row>
    <row r="27" spans="1:4" x14ac:dyDescent="0.35">
      <c r="A27" s="7">
        <v>46272</v>
      </c>
      <c r="B27" s="1" t="s">
        <v>34</v>
      </c>
      <c r="C27" s="1">
        <v>19</v>
      </c>
      <c r="D27" s="1" t="s">
        <v>21</v>
      </c>
    </row>
    <row r="28" spans="1:4" x14ac:dyDescent="0.35">
      <c r="A28" s="7">
        <v>46272</v>
      </c>
      <c r="B28" s="1" t="s">
        <v>34</v>
      </c>
      <c r="C28" s="1">
        <v>8</v>
      </c>
      <c r="D28" s="1" t="s">
        <v>21</v>
      </c>
    </row>
    <row r="29" spans="1:4" x14ac:dyDescent="0.35">
      <c r="A29" s="7">
        <v>46272</v>
      </c>
      <c r="B29" s="1" t="s">
        <v>34</v>
      </c>
      <c r="C29" s="1">
        <v>22</v>
      </c>
      <c r="D29" s="1" t="s">
        <v>21</v>
      </c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288.625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2026-09-09T07:09:39Z</dcterms:modified>
</cp:coreProperties>
</file>