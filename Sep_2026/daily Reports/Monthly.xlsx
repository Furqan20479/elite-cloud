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2ED80155-2192-4F1A-891E-30F3663DAC53}" xr6:coauthVersionLast="47" xr6:coauthVersionMax="47" xr10:uidLastSave="{00000000-0000-0000-0000-000000000000}"/>
  <bookViews>
    <workbookView xWindow="-110" yWindow="-110" windowWidth="19420" windowHeight="10420" xr2:uid="{3E645682-E893-4F6E-94AA-185947CE6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3" i="1"/>
  <c r="G10" i="1"/>
  <c r="G11" i="1" s="1"/>
  <c r="AA10" i="1" l="1"/>
  <c r="AA11" i="1" s="1"/>
  <c r="AB10" i="1"/>
  <c r="AB11" i="1" s="1"/>
  <c r="AC10" i="1"/>
  <c r="AC11" i="1" s="1"/>
  <c r="AD10" i="1"/>
  <c r="AD11" i="1" s="1"/>
  <c r="AE10" i="1"/>
  <c r="AE11" i="1" s="1"/>
  <c r="AF10" i="1"/>
  <c r="AF11" i="1" s="1"/>
  <c r="AG10" i="1"/>
  <c r="AG11" i="1" s="1"/>
  <c r="AH10" i="1"/>
  <c r="AH11" i="1" s="1"/>
  <c r="AI10" i="1"/>
  <c r="AI11" i="1" s="1"/>
  <c r="AJ10" i="1"/>
  <c r="AJ11" i="1" s="1"/>
  <c r="AK10" i="1"/>
  <c r="AK11" i="1" s="1"/>
  <c r="AL10" i="1"/>
  <c r="AL11" i="1" s="1"/>
  <c r="F10" i="1" l="1"/>
  <c r="F11" i="1" s="1"/>
  <c r="E10" i="1"/>
  <c r="E11" i="1" s="1"/>
  <c r="H10" i="1" l="1"/>
  <c r="H11" i="1" s="1"/>
  <c r="C76" i="1"/>
  <c r="AM4" i="1"/>
  <c r="AN4" i="1" s="1"/>
  <c r="AM5" i="1"/>
  <c r="AN5" i="1" s="1"/>
  <c r="AM6" i="1"/>
  <c r="AN6" i="1" s="1"/>
  <c r="AM7" i="1"/>
  <c r="AN7" i="1" s="1"/>
  <c r="AM8" i="1"/>
  <c r="AN8" i="1" s="1"/>
  <c r="AM9" i="1"/>
  <c r="AN9" i="1" s="1"/>
  <c r="AM3" i="1"/>
  <c r="I10" i="1"/>
  <c r="I11" i="1" s="1"/>
  <c r="J10" i="1"/>
  <c r="J11" i="1" s="1"/>
  <c r="K10" i="1"/>
  <c r="K11" i="1" s="1"/>
  <c r="L10" i="1"/>
  <c r="L11" i="1" s="1"/>
  <c r="M10" i="1"/>
  <c r="M11" i="1" s="1"/>
  <c r="N10" i="1"/>
  <c r="N11" i="1" s="1"/>
  <c r="O10" i="1"/>
  <c r="O11" i="1" s="1"/>
  <c r="P10" i="1"/>
  <c r="P11" i="1" s="1"/>
  <c r="Q10" i="1"/>
  <c r="Q11" i="1" s="1"/>
  <c r="R10" i="1"/>
  <c r="R11" i="1" s="1"/>
  <c r="S10" i="1"/>
  <c r="S11" i="1" s="1"/>
  <c r="T10" i="1"/>
  <c r="T11" i="1" s="1"/>
  <c r="U10" i="1"/>
  <c r="U11" i="1" s="1"/>
  <c r="V10" i="1"/>
  <c r="V11" i="1" s="1"/>
  <c r="W10" i="1"/>
  <c r="W11" i="1" s="1"/>
  <c r="X10" i="1"/>
  <c r="X11" i="1" s="1"/>
  <c r="Y10" i="1"/>
  <c r="Y11" i="1" s="1"/>
  <c r="Z10" i="1"/>
  <c r="Z11" i="1" s="1"/>
  <c r="D10" i="1"/>
  <c r="D11" i="1" s="1"/>
  <c r="AN3" i="1" l="1"/>
  <c r="AN10" i="1" s="1"/>
  <c r="AN11" i="1" s="1"/>
  <c r="AM10" i="1"/>
  <c r="AM11" i="1" s="1"/>
</calcChain>
</file>

<file path=xl/sharedStrings.xml><?xml version="1.0" encoding="utf-8"?>
<sst xmlns="http://schemas.openxmlformats.org/spreadsheetml/2006/main" count="23" uniqueCount="23">
  <si>
    <t xml:space="preserve">Opening </t>
  </si>
  <si>
    <t>PRODUCT</t>
  </si>
  <si>
    <t>GM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</si>
  <si>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</si>
  <si>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</si>
  <si>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</si>
  <si>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</si>
  <si>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</si>
  <si>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</si>
  <si>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</si>
  <si>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Pc's</t>
  </si>
  <si>
    <t>Ctn's</t>
  </si>
  <si>
    <t>Secondary</t>
  </si>
  <si>
    <t>In Hand</t>
  </si>
  <si>
    <t xml:space="preserve">Monthly Sale &amp; Inventry </t>
  </si>
  <si>
    <t xml:space="preserve">Dated </t>
  </si>
  <si>
    <t>LMT's</t>
  </si>
  <si>
    <t xml:space="preserve">Shops </t>
  </si>
  <si>
    <t>Ctns</t>
  </si>
  <si>
    <t xml:space="preserve">Status </t>
  </si>
  <si>
    <t xml:space="preserve">Total </t>
  </si>
  <si>
    <t>Primary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</si>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</sst>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16" fontId="0" fillId="0" borderId="1" xfId="0" applyNumberFormat="1" applyBorder="1"/>
    <xf numFmtId="16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6" borderId="1" xfId="0" applyFill="1" applyBorder="1"/>
    <xf numFmtId="0" fontId="0" fillId="0" borderId="3" xfId="0" applyBorder="1"/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3771-1E8D-4C4A-A561-EB9042DCC7D5}">
  <dimension ref="A1:AN76"/>
  <sheetViews>
    <sheetView tabSelected="1" zoomScaleNormal="100" workbookViewId="0">
      <pane xSplit="1" topLeftCell="B1" activePane="topRight" state="frozen"/>
      <selection pane="topRight" activeCell="O15" sqref="O15"/>
    </sheetView>
  </sheetViews>
  <sheetFormatPr defaultRowHeight="14.5" x14ac:dyDescent="0.35"/>
  <cols>
    <col min="1" max="1" width="6.6328125" customWidth="1"/>
    <col min="2" max="2" width="23.81640625" bestFit="1" customWidth="1"/>
    <col min="3" max="3" width="5.26953125" bestFit="1" customWidth="1"/>
    <col min="4" max="4" width="8.7265625" customWidth="1"/>
    <col min="5" max="5" width="7" bestFit="1" customWidth="1"/>
    <col min="6" max="8" width="8.7265625" customWidth="1"/>
    <col min="9" max="9" width="7.36328125" bestFit="1" customWidth="1"/>
    <col min="10" max="10" width="2.6328125" customWidth="1"/>
    <col min="11" max="11" width="5.81640625" bestFit="1" customWidth="1"/>
    <col min="12" max="12" width="6.26953125" bestFit="1" customWidth="1"/>
    <col min="13" max="13" width="7.36328125" bestFit="1" customWidth="1"/>
    <col min="14" max="14" width="2.453125" customWidth="1"/>
    <col min="15" max="15" width="6.90625" customWidth="1"/>
    <col min="16" max="16" width="9.453125" customWidth="1"/>
    <col min="17" max="17" width="7.1796875" customWidth="1"/>
    <col min="18" max="20" width="9.453125" customWidth="1"/>
    <col min="21" max="21" width="2.90625" customWidth="1"/>
    <col min="22" max="22" width="8.26953125" customWidth="1"/>
    <col min="23" max="23" width="9.453125" customWidth="1"/>
    <col min="24" max="24" width="7.81640625" customWidth="1"/>
    <col min="25" max="27" width="9.453125" customWidth="1"/>
    <col min="28" max="28" width="3.08984375" customWidth="1"/>
    <col min="29" max="29" width="8.6328125" customWidth="1"/>
    <col min="30" max="30" width="7" customWidth="1"/>
    <col min="31" max="31" width="6.1796875" customWidth="1"/>
    <col min="32" max="32" width="7.54296875" customWidth="1"/>
    <col min="33" max="33" width="6.453125" customWidth="1"/>
    <col min="34" max="34" width="7.453125" customWidth="1"/>
    <col min="35" max="35" width="8.6328125" customWidth="1"/>
    <col min="36" max="36" width="6.453125" customWidth="1"/>
    <col min="37" max="37" width="8.6328125" customWidth="1"/>
    <col min="38" max="38" width="7.54296875" customWidth="1"/>
    <col min="39" max="39" width="9.453125" bestFit="1" customWidth="1"/>
  </cols>
  <sheetData>
    <row r="1" spans="1:40" ht="36.5" customHeight="1" x14ac:dyDescent="0.35">
      <c r="A1" s="8" t="s">
        <v>22</v>
      </c>
      <c r="B1" s="19" t="s">
        <v>14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 ht="22.5" customHeight="1" x14ac:dyDescent="0.35">
      <c r="B2" s="3" t="s">
        <v>1</v>
      </c>
      <c r="C2" s="2" t="s">
        <v>2</v>
      </c>
      <c r="D2" s="3" t="s">
        <v>0</v>
      </c>
      <c r="E2" s="14">
        <v>46270</v>
      </c>
      <c r="F2" s="14">
        <v>46276</v>
      </c>
      <c r="G2" s="14">
        <v>46288</v>
      </c>
      <c r="H2" s="14" t="s">
        <v>21</v>
      </c>
      <c r="I2" s="9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9">
        <v>7</v>
      </c>
      <c r="P2" s="9">
        <v>8</v>
      </c>
      <c r="Q2" s="9">
        <v>9</v>
      </c>
      <c r="R2" s="9">
        <v>10</v>
      </c>
      <c r="S2" s="9">
        <v>11</v>
      </c>
      <c r="T2" s="9">
        <v>12</v>
      </c>
      <c r="U2" s="9">
        <v>13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19</v>
      </c>
      <c r="AB2" s="9">
        <v>20</v>
      </c>
      <c r="AC2" s="9">
        <v>21</v>
      </c>
      <c r="AD2" s="9">
        <v>22</v>
      </c>
      <c r="AE2" s="9">
        <v>23</v>
      </c>
      <c r="AF2" s="9">
        <v>24</v>
      </c>
      <c r="AG2" s="9">
        <v>25</v>
      </c>
      <c r="AH2" s="9">
        <v>26</v>
      </c>
      <c r="AI2" s="9">
        <v>27</v>
      </c>
      <c r="AJ2" s="9">
        <v>28</v>
      </c>
      <c r="AK2" s="9">
        <v>29</v>
      </c>
      <c r="AL2" s="9">
        <v>30</v>
      </c>
      <c r="AM2" s="10" t="s">
        <v>12</v>
      </c>
      <c r="AN2" s="11" t="s">
        <v>13</v>
      </c>
    </row>
    <row r="3" spans="1:40" x14ac:dyDescent="0.35">
      <c r="B3" s="1" t="s">
        <v>3</v>
      </c>
      <c r="C3" s="2">
        <v>70</v>
      </c>
      <c r="D3" s="1">
        <v>7895</v>
      </c>
      <c r="E3" s="1">
        <v>6000</v>
      </c>
      <c r="F3" s="1">
        <v>6000</v>
      </c>
      <c r="G3" s="1">
        <v>4000</v>
      </c>
      <c r="H3" s="1">
        <f>SUM(D3:G3)</f>
        <v>23895</v>
      </c>
      <c r="I3" s="1">
        <v>967</v>
      </c>
      <c r="J3" s="17"/>
      <c r="K3" s="1">
        <v>438</v>
      </c>
      <c r="L3" s="1">
        <v>355</v>
      </c>
      <c r="M3" s="1">
        <v>220</v>
      </c>
      <c r="N3" s="6"/>
      <c r="O3" s="1">
        <v>438</v>
      </c>
      <c r="P3" s="1">
        <v>301</v>
      </c>
      <c r="Q3" s="1">
        <v>695</v>
      </c>
      <c r="R3" s="1">
        <v>273</v>
      </c>
      <c r="S3" s="1">
        <v>314</v>
      </c>
      <c r="T3" s="1">
        <v>437</v>
      </c>
      <c r="U3" s="6"/>
      <c r="V3" s="1">
        <v>179</v>
      </c>
      <c r="W3" s="1">
        <v>864</v>
      </c>
      <c r="X3" s="1">
        <v>182</v>
      </c>
      <c r="Y3" s="1">
        <v>1374</v>
      </c>
      <c r="Z3" s="1">
        <v>275</v>
      </c>
      <c r="AA3" s="1">
        <v>215</v>
      </c>
      <c r="AB3" s="6"/>
      <c r="AC3" s="1">
        <v>72</v>
      </c>
      <c r="AD3" s="1">
        <v>1721</v>
      </c>
      <c r="AE3" s="1"/>
      <c r="AF3" s="1"/>
      <c r="AG3" s="1"/>
      <c r="AH3" s="1"/>
      <c r="AI3" s="1"/>
      <c r="AJ3" s="1"/>
      <c r="AK3" s="1"/>
      <c r="AL3" s="1"/>
      <c r="AM3" s="2">
        <f>SUM(I3:AL3)</f>
        <v>9320</v>
      </c>
      <c r="AN3" s="4">
        <f t="shared" ref="AN3:AN9" si="0">H3-AM3</f>
        <v>14575</v>
      </c>
    </row>
    <row r="4" spans="1:40" x14ac:dyDescent="0.35">
      <c r="B4" s="1" t="s">
        <v>4</v>
      </c>
      <c r="C4" s="2">
        <v>70</v>
      </c>
      <c r="D4" s="1">
        <v>5619</v>
      </c>
      <c r="E4" s="1">
        <v>6000</v>
      </c>
      <c r="F4" s="1">
        <v>4000</v>
      </c>
      <c r="G4" s="1">
        <v>8000</v>
      </c>
      <c r="H4" s="1">
        <f t="shared" ref="H4:H9" si="1">SUM(D4:G4)</f>
        <v>23619</v>
      </c>
      <c r="I4" s="1">
        <v>888</v>
      </c>
      <c r="J4" s="17"/>
      <c r="K4" s="1">
        <v>431</v>
      </c>
      <c r="L4" s="1">
        <v>321</v>
      </c>
      <c r="M4" s="1">
        <v>135</v>
      </c>
      <c r="N4" s="6"/>
      <c r="O4" s="1">
        <v>549</v>
      </c>
      <c r="P4" s="1">
        <v>246</v>
      </c>
      <c r="Q4" s="1">
        <v>835</v>
      </c>
      <c r="R4" s="1">
        <v>267</v>
      </c>
      <c r="S4" s="1">
        <v>423</v>
      </c>
      <c r="T4" s="1">
        <v>251</v>
      </c>
      <c r="U4" s="6"/>
      <c r="V4" s="1">
        <v>217</v>
      </c>
      <c r="W4" s="1">
        <v>669</v>
      </c>
      <c r="X4" s="1">
        <v>126</v>
      </c>
      <c r="Y4" s="1">
        <v>1452</v>
      </c>
      <c r="Z4" s="1">
        <v>328</v>
      </c>
      <c r="AA4" s="1">
        <v>370</v>
      </c>
      <c r="AB4" s="6"/>
      <c r="AC4" s="1">
        <v>75</v>
      </c>
      <c r="AD4" s="1">
        <v>1665</v>
      </c>
      <c r="AE4" s="1"/>
      <c r="AF4" s="1"/>
      <c r="AG4" s="1"/>
      <c r="AH4" s="1"/>
      <c r="AI4" s="1"/>
      <c r="AJ4" s="1"/>
      <c r="AK4" s="1"/>
      <c r="AL4" s="1"/>
      <c r="AM4" s="2">
        <f t="shared" ref="AM4:AM9" si="2">SUM(I4:AL4)</f>
        <v>9248</v>
      </c>
      <c r="AN4" s="4">
        <f t="shared" si="0"/>
        <v>14371</v>
      </c>
    </row>
    <row r="5" spans="1:40" x14ac:dyDescent="0.35">
      <c r="B5" s="1" t="s">
        <v>5</v>
      </c>
      <c r="C5" s="2">
        <v>70</v>
      </c>
      <c r="D5" s="1">
        <v>3200</v>
      </c>
      <c r="E5" s="1">
        <v>6000</v>
      </c>
      <c r="F5" s="1">
        <v>6000</v>
      </c>
      <c r="G5" s="1">
        <v>10000</v>
      </c>
      <c r="H5" s="1">
        <f t="shared" si="1"/>
        <v>25200</v>
      </c>
      <c r="I5" s="1">
        <v>1073</v>
      </c>
      <c r="J5" s="17"/>
      <c r="K5" s="1">
        <v>495</v>
      </c>
      <c r="L5" s="1">
        <v>377</v>
      </c>
      <c r="M5" s="1">
        <v>240</v>
      </c>
      <c r="N5" s="6"/>
      <c r="O5" s="1">
        <v>518</v>
      </c>
      <c r="P5" s="1">
        <v>243</v>
      </c>
      <c r="Q5" s="1">
        <v>1478</v>
      </c>
      <c r="R5" s="1">
        <v>383</v>
      </c>
      <c r="S5" s="1">
        <v>784</v>
      </c>
      <c r="T5" s="1">
        <v>221</v>
      </c>
      <c r="U5" s="6"/>
      <c r="V5" s="1">
        <v>169</v>
      </c>
      <c r="W5" s="1">
        <v>734</v>
      </c>
      <c r="X5" s="1">
        <v>80</v>
      </c>
      <c r="Y5" s="1">
        <v>2616</v>
      </c>
      <c r="Z5" s="1">
        <v>425</v>
      </c>
      <c r="AA5" s="1">
        <v>699</v>
      </c>
      <c r="AB5" s="6"/>
      <c r="AC5" s="1">
        <v>133</v>
      </c>
      <c r="AD5" s="1">
        <v>2274</v>
      </c>
      <c r="AE5" s="1"/>
      <c r="AF5" s="1"/>
      <c r="AG5" s="1"/>
      <c r="AH5" s="1"/>
      <c r="AI5" s="1"/>
      <c r="AJ5" s="1"/>
      <c r="AK5" s="1"/>
      <c r="AL5" s="1"/>
      <c r="AM5" s="2">
        <f t="shared" si="2"/>
        <v>12942</v>
      </c>
      <c r="AN5" s="4">
        <f t="shared" si="0"/>
        <v>12258</v>
      </c>
    </row>
    <row r="6" spans="1:40" x14ac:dyDescent="0.35">
      <c r="B6" s="1" t="s">
        <v>6</v>
      </c>
      <c r="C6" s="2">
        <v>120</v>
      </c>
      <c r="D6" s="1">
        <v>5460</v>
      </c>
      <c r="E6" s="1">
        <v>6000</v>
      </c>
      <c r="F6" s="1">
        <v>6000</v>
      </c>
      <c r="G6" s="1">
        <v>10000</v>
      </c>
      <c r="H6" s="1">
        <f t="shared" si="1"/>
        <v>27460</v>
      </c>
      <c r="I6" s="1">
        <v>921</v>
      </c>
      <c r="J6" s="17"/>
      <c r="K6" s="1">
        <v>975</v>
      </c>
      <c r="L6" s="1">
        <v>512</v>
      </c>
      <c r="M6" s="1">
        <v>493</v>
      </c>
      <c r="N6" s="6"/>
      <c r="O6" s="1">
        <v>1104</v>
      </c>
      <c r="P6" s="1">
        <v>718</v>
      </c>
      <c r="Q6" s="1">
        <v>1828</v>
      </c>
      <c r="R6" s="1">
        <v>382</v>
      </c>
      <c r="S6" s="1">
        <v>703</v>
      </c>
      <c r="T6" s="1">
        <v>1166</v>
      </c>
      <c r="U6" s="6"/>
      <c r="V6" s="1">
        <v>340</v>
      </c>
      <c r="W6" s="1">
        <v>676</v>
      </c>
      <c r="X6" s="1">
        <v>292</v>
      </c>
      <c r="Y6" s="1">
        <v>2702</v>
      </c>
      <c r="Z6" s="1">
        <v>726</v>
      </c>
      <c r="AA6" s="1">
        <v>623</v>
      </c>
      <c r="AB6" s="6"/>
      <c r="AC6" s="1">
        <v>254</v>
      </c>
      <c r="AD6" s="1">
        <v>2070</v>
      </c>
      <c r="AE6" s="1"/>
      <c r="AF6" s="1"/>
      <c r="AG6" s="1"/>
      <c r="AH6" s="1"/>
      <c r="AI6" s="1"/>
      <c r="AJ6" s="1"/>
      <c r="AK6" s="1"/>
      <c r="AL6" s="1"/>
      <c r="AM6" s="2">
        <f t="shared" si="2"/>
        <v>16485</v>
      </c>
      <c r="AN6" s="4">
        <f t="shared" si="0"/>
        <v>10975</v>
      </c>
    </row>
    <row r="7" spans="1:40" x14ac:dyDescent="0.35">
      <c r="B7" s="1" t="s">
        <v>7</v>
      </c>
      <c r="C7" s="2">
        <v>120</v>
      </c>
      <c r="D7" s="1">
        <v>7709</v>
      </c>
      <c r="E7" s="1">
        <v>6000</v>
      </c>
      <c r="F7" s="1">
        <v>4000</v>
      </c>
      <c r="G7" s="1">
        <v>6000</v>
      </c>
      <c r="H7" s="1">
        <f t="shared" si="1"/>
        <v>23709</v>
      </c>
      <c r="I7" s="1">
        <v>876</v>
      </c>
      <c r="J7" s="17"/>
      <c r="K7" s="1">
        <v>892</v>
      </c>
      <c r="L7" s="1">
        <v>440</v>
      </c>
      <c r="M7" s="1">
        <v>381</v>
      </c>
      <c r="N7" s="6"/>
      <c r="O7" s="1">
        <v>1476</v>
      </c>
      <c r="P7" s="1">
        <v>457</v>
      </c>
      <c r="Q7" s="1">
        <v>2050</v>
      </c>
      <c r="R7" s="1">
        <v>323</v>
      </c>
      <c r="S7" s="1">
        <v>714</v>
      </c>
      <c r="T7" s="1">
        <v>768</v>
      </c>
      <c r="U7" s="6"/>
      <c r="V7" s="1">
        <v>285</v>
      </c>
      <c r="W7" s="1">
        <v>765</v>
      </c>
      <c r="X7" s="1">
        <v>266</v>
      </c>
      <c r="Y7" s="1">
        <v>1487</v>
      </c>
      <c r="Z7" s="1">
        <v>549</v>
      </c>
      <c r="AA7" s="1">
        <v>612</v>
      </c>
      <c r="AB7" s="6"/>
      <c r="AC7" s="1">
        <v>198</v>
      </c>
      <c r="AD7" s="1">
        <v>1895</v>
      </c>
      <c r="AE7" s="1"/>
      <c r="AF7" s="1"/>
      <c r="AG7" s="1"/>
      <c r="AH7" s="1"/>
      <c r="AI7" s="1"/>
      <c r="AJ7" s="1"/>
      <c r="AK7" s="1"/>
      <c r="AL7" s="1"/>
      <c r="AM7" s="2">
        <f t="shared" si="2"/>
        <v>14434</v>
      </c>
      <c r="AN7" s="4">
        <f t="shared" si="0"/>
        <v>9275</v>
      </c>
    </row>
    <row r="8" spans="1:40" x14ac:dyDescent="0.35">
      <c r="B8" s="1" t="s">
        <v>8</v>
      </c>
      <c r="C8" s="2">
        <v>120</v>
      </c>
      <c r="D8" s="1">
        <v>3180</v>
      </c>
      <c r="E8" s="1">
        <v>12000</v>
      </c>
      <c r="F8" s="1">
        <v>14000</v>
      </c>
      <c r="G8" s="1">
        <v>8000</v>
      </c>
      <c r="H8" s="1">
        <f t="shared" si="1"/>
        <v>37180</v>
      </c>
      <c r="I8" s="1">
        <v>882</v>
      </c>
      <c r="J8" s="17"/>
      <c r="K8" s="1">
        <v>655</v>
      </c>
      <c r="L8" s="1">
        <v>117</v>
      </c>
      <c r="M8" s="1">
        <v>570</v>
      </c>
      <c r="N8" s="6"/>
      <c r="O8" s="1">
        <v>2189</v>
      </c>
      <c r="P8" s="1">
        <v>781</v>
      </c>
      <c r="Q8" s="1">
        <v>3306</v>
      </c>
      <c r="R8" s="1">
        <v>595</v>
      </c>
      <c r="S8" s="1">
        <v>1517</v>
      </c>
      <c r="T8" s="1">
        <v>1134</v>
      </c>
      <c r="U8" s="6"/>
      <c r="V8" s="1">
        <v>291</v>
      </c>
      <c r="W8" s="1">
        <v>646</v>
      </c>
      <c r="X8" s="1">
        <v>328</v>
      </c>
      <c r="Y8" s="1">
        <v>2988</v>
      </c>
      <c r="Z8" s="1">
        <v>515</v>
      </c>
      <c r="AA8" s="1">
        <v>1469</v>
      </c>
      <c r="AB8" s="6"/>
      <c r="AC8" s="1">
        <v>244</v>
      </c>
      <c r="AD8" s="1">
        <v>2934</v>
      </c>
      <c r="AE8" s="1"/>
      <c r="AF8" s="1"/>
      <c r="AG8" s="1"/>
      <c r="AH8" s="1"/>
      <c r="AI8" s="1"/>
      <c r="AJ8" s="1"/>
      <c r="AK8" s="1"/>
      <c r="AL8" s="1"/>
      <c r="AM8" s="2">
        <f t="shared" si="2"/>
        <v>21161</v>
      </c>
      <c r="AN8" s="4">
        <f t="shared" si="0"/>
        <v>16019</v>
      </c>
    </row>
    <row r="9" spans="1:40" x14ac:dyDescent="0.35">
      <c r="B9" s="1" t="s">
        <v>9</v>
      </c>
      <c r="C9" s="2">
        <v>60</v>
      </c>
      <c r="D9" s="1">
        <v>15644</v>
      </c>
      <c r="E9" s="1"/>
      <c r="F9" s="1"/>
      <c r="G9" s="1"/>
      <c r="H9" s="1">
        <f t="shared" si="1"/>
        <v>15644</v>
      </c>
      <c r="I9" s="1">
        <v>320</v>
      </c>
      <c r="J9" s="17"/>
      <c r="K9" s="1">
        <v>1283</v>
      </c>
      <c r="L9" s="1">
        <v>506</v>
      </c>
      <c r="M9" s="1">
        <v>436</v>
      </c>
      <c r="N9" s="6"/>
      <c r="O9" s="1">
        <v>2168</v>
      </c>
      <c r="P9" s="1">
        <v>651</v>
      </c>
      <c r="Q9" s="1">
        <v>324</v>
      </c>
      <c r="R9" s="1">
        <v>755</v>
      </c>
      <c r="S9" s="1">
        <v>232</v>
      </c>
      <c r="T9" s="1">
        <v>392</v>
      </c>
      <c r="U9" s="6"/>
      <c r="V9" s="1">
        <v>206</v>
      </c>
      <c r="W9" s="1">
        <v>737</v>
      </c>
      <c r="X9" s="1">
        <v>541</v>
      </c>
      <c r="Y9" s="1">
        <v>469</v>
      </c>
      <c r="Z9" s="1">
        <v>40</v>
      </c>
      <c r="AA9" s="1"/>
      <c r="AB9" s="6"/>
      <c r="AC9" s="1"/>
      <c r="AD9" s="1"/>
      <c r="AE9" s="1"/>
      <c r="AF9" s="1"/>
      <c r="AG9" s="1"/>
      <c r="AH9" s="1"/>
      <c r="AI9" s="1"/>
      <c r="AJ9" s="1"/>
      <c r="AK9" s="1"/>
      <c r="AL9" s="1"/>
      <c r="AM9" s="2">
        <f t="shared" si="2"/>
        <v>9060</v>
      </c>
      <c r="AN9" s="4">
        <f t="shared" si="0"/>
        <v>6584</v>
      </c>
    </row>
    <row r="10" spans="1:40" ht="18" customHeight="1" x14ac:dyDescent="0.35">
      <c r="B10" s="1" t="s">
        <v>10</v>
      </c>
      <c r="C10" s="1"/>
      <c r="D10" s="5">
        <f>SUM(D3:D9)</f>
        <v>48707</v>
      </c>
      <c r="E10" s="5">
        <f>SUM(E3:E9)</f>
        <v>42000</v>
      </c>
      <c r="F10" s="5">
        <f>SUM(F3:F9)</f>
        <v>40000</v>
      </c>
      <c r="G10" s="5">
        <f>SUM(G3:G9)</f>
        <v>46000</v>
      </c>
      <c r="H10" s="5">
        <f>SUM(H3:H9)</f>
        <v>176707</v>
      </c>
      <c r="I10" s="5">
        <f t="shared" ref="I10:AN10" si="3">SUM(I3:I9)</f>
        <v>5927</v>
      </c>
      <c r="J10" s="5">
        <f t="shared" si="3"/>
        <v>0</v>
      </c>
      <c r="K10" s="5">
        <f t="shared" si="3"/>
        <v>5169</v>
      </c>
      <c r="L10" s="5">
        <f t="shared" si="3"/>
        <v>2628</v>
      </c>
      <c r="M10" s="5">
        <f t="shared" si="3"/>
        <v>2475</v>
      </c>
      <c r="N10" s="5">
        <f t="shared" si="3"/>
        <v>0</v>
      </c>
      <c r="O10" s="5">
        <f t="shared" si="3"/>
        <v>8442</v>
      </c>
      <c r="P10" s="5">
        <f t="shared" si="3"/>
        <v>3397</v>
      </c>
      <c r="Q10" s="5">
        <f t="shared" si="3"/>
        <v>10516</v>
      </c>
      <c r="R10" s="5">
        <f t="shared" si="3"/>
        <v>2978</v>
      </c>
      <c r="S10" s="5">
        <f t="shared" si="3"/>
        <v>4687</v>
      </c>
      <c r="T10" s="5">
        <f t="shared" si="3"/>
        <v>4369</v>
      </c>
      <c r="U10" s="5">
        <f t="shared" si="3"/>
        <v>0</v>
      </c>
      <c r="V10" s="5">
        <f t="shared" si="3"/>
        <v>1687</v>
      </c>
      <c r="W10" s="5">
        <f t="shared" si="3"/>
        <v>5091</v>
      </c>
      <c r="X10" s="5">
        <f t="shared" si="3"/>
        <v>1815</v>
      </c>
      <c r="Y10" s="5">
        <f t="shared" si="3"/>
        <v>13088</v>
      </c>
      <c r="Z10" s="5">
        <f t="shared" si="3"/>
        <v>2858</v>
      </c>
      <c r="AA10" s="5">
        <f t="shared" si="3"/>
        <v>3988</v>
      </c>
      <c r="AB10" s="5">
        <f t="shared" si="3"/>
        <v>0</v>
      </c>
      <c r="AC10" s="5">
        <f t="shared" si="3"/>
        <v>976</v>
      </c>
      <c r="AD10" s="5">
        <f t="shared" si="3"/>
        <v>12559</v>
      </c>
      <c r="AE10" s="5">
        <f t="shared" si="3"/>
        <v>0</v>
      </c>
      <c r="AF10" s="5">
        <f t="shared" si="3"/>
        <v>0</v>
      </c>
      <c r="AG10" s="5">
        <f t="shared" si="3"/>
        <v>0</v>
      </c>
      <c r="AH10" s="5">
        <f t="shared" si="3"/>
        <v>0</v>
      </c>
      <c r="AI10" s="5">
        <f t="shared" si="3"/>
        <v>0</v>
      </c>
      <c r="AJ10" s="5">
        <f t="shared" si="3"/>
        <v>0</v>
      </c>
      <c r="AK10" s="5">
        <f t="shared" si="3"/>
        <v>0</v>
      </c>
      <c r="AL10" s="5">
        <f t="shared" si="3"/>
        <v>0</v>
      </c>
      <c r="AM10" s="5">
        <f t="shared" si="3"/>
        <v>92650</v>
      </c>
      <c r="AN10" s="5">
        <f t="shared" si="3"/>
        <v>84057</v>
      </c>
    </row>
    <row r="11" spans="1:40" ht="19" customHeight="1" x14ac:dyDescent="0.35">
      <c r="B11" s="1" t="s">
        <v>11</v>
      </c>
      <c r="C11" s="1"/>
      <c r="D11" s="5">
        <f>D10/40</f>
        <v>1217.675</v>
      </c>
      <c r="E11" s="5">
        <f>E10/40</f>
        <v>1050</v>
      </c>
      <c r="F11" s="5">
        <f>F10/40</f>
        <v>1000</v>
      </c>
      <c r="G11" s="5">
        <f>G10/40</f>
        <v>1150</v>
      </c>
      <c r="H11" s="15">
        <f>H10/40</f>
        <v>4417.6750000000002</v>
      </c>
      <c r="I11" s="5">
        <f t="shared" ref="I11:AN11" si="4">I10/40</f>
        <v>148.17500000000001</v>
      </c>
      <c r="J11" s="5">
        <f t="shared" si="4"/>
        <v>0</v>
      </c>
      <c r="K11" s="5">
        <f t="shared" si="4"/>
        <v>129.22499999999999</v>
      </c>
      <c r="L11" s="5">
        <f t="shared" si="4"/>
        <v>65.7</v>
      </c>
      <c r="M11" s="5">
        <f t="shared" si="4"/>
        <v>61.875</v>
      </c>
      <c r="N11" s="5">
        <f t="shared" si="4"/>
        <v>0</v>
      </c>
      <c r="O11" s="5">
        <f t="shared" si="4"/>
        <v>211.05</v>
      </c>
      <c r="P11" s="5">
        <f t="shared" si="4"/>
        <v>84.924999999999997</v>
      </c>
      <c r="Q11" s="5">
        <f t="shared" si="4"/>
        <v>262.89999999999998</v>
      </c>
      <c r="R11" s="5">
        <f t="shared" si="4"/>
        <v>74.45</v>
      </c>
      <c r="S11" s="5">
        <f t="shared" si="4"/>
        <v>117.175</v>
      </c>
      <c r="T11" s="5">
        <f t="shared" si="4"/>
        <v>109.22499999999999</v>
      </c>
      <c r="U11" s="5">
        <f t="shared" si="4"/>
        <v>0</v>
      </c>
      <c r="V11" s="5">
        <f t="shared" si="4"/>
        <v>42.174999999999997</v>
      </c>
      <c r="W11" s="5">
        <f t="shared" si="4"/>
        <v>127.27500000000001</v>
      </c>
      <c r="X11" s="5">
        <f t="shared" si="4"/>
        <v>45.375</v>
      </c>
      <c r="Y11" s="5">
        <f t="shared" si="4"/>
        <v>327.2</v>
      </c>
      <c r="Z11" s="5">
        <f t="shared" si="4"/>
        <v>71.45</v>
      </c>
      <c r="AA11" s="5">
        <f t="shared" si="4"/>
        <v>99.7</v>
      </c>
      <c r="AB11" s="5">
        <f t="shared" si="4"/>
        <v>0</v>
      </c>
      <c r="AC11" s="5">
        <f t="shared" si="4"/>
        <v>24.4</v>
      </c>
      <c r="AD11" s="5">
        <f t="shared" si="4"/>
        <v>313.97500000000002</v>
      </c>
      <c r="AE11" s="5">
        <f t="shared" si="4"/>
        <v>0</v>
      </c>
      <c r="AF11" s="5">
        <f t="shared" si="4"/>
        <v>0</v>
      </c>
      <c r="AG11" s="5">
        <f t="shared" si="4"/>
        <v>0</v>
      </c>
      <c r="AH11" s="5">
        <f t="shared" si="4"/>
        <v>0</v>
      </c>
      <c r="AI11" s="5">
        <f t="shared" si="4"/>
        <v>0</v>
      </c>
      <c r="AJ11" s="5">
        <f t="shared" si="4"/>
        <v>0</v>
      </c>
      <c r="AK11" s="5">
        <f t="shared" si="4"/>
        <v>0</v>
      </c>
      <c r="AL11" s="5">
        <f t="shared" si="4"/>
        <v>0</v>
      </c>
      <c r="AM11" s="15">
        <f t="shared" si="4"/>
        <v>2316.25</v>
      </c>
      <c r="AN11" s="16">
        <f t="shared" si="4"/>
        <v>2101.4250000000002</v>
      </c>
    </row>
    <row r="12" spans="1:40" x14ac:dyDescent="0.35">
      <c r="A12" s="20" t="s">
        <v>16</v>
      </c>
      <c r="B12" s="20"/>
      <c r="C12" s="20"/>
      <c r="D12" s="20"/>
      <c r="E12" s="12"/>
      <c r="F12" s="12"/>
      <c r="G12" s="12"/>
      <c r="H12" s="12"/>
      <c r="M12" s="18"/>
    </row>
    <row r="13" spans="1:40" x14ac:dyDescent="0.35">
      <c r="A13" s="2" t="s">
        <v>15</v>
      </c>
      <c r="B13" s="2" t="s">
        <v>17</v>
      </c>
      <c r="C13" s="2" t="s">
        <v>18</v>
      </c>
      <c r="D13" s="2" t="s">
        <v>19</v>
      </c>
      <c r="E13" s="13"/>
      <c r="F13" s="13"/>
      <c r="G13" s="13"/>
      <c r="H13" s="13"/>
    </row>
    <row r="14" spans="1:40" x14ac:dyDescent="0.35">
      <c r="A14" s="7"/>
      <c r="B14" s="1"/>
      <c r="C14" s="1"/>
      <c r="D14" s="1"/>
    </row>
    <row r="15" spans="1:40" x14ac:dyDescent="0.35">
      <c r="A15" s="7"/>
      <c r="B15" s="1"/>
      <c r="C15" s="1"/>
      <c r="D15" s="1"/>
    </row>
    <row r="16" spans="1:40" x14ac:dyDescent="0.35">
      <c r="A16" s="7"/>
      <c r="B16" s="1"/>
      <c r="C16" s="1"/>
      <c r="D16" s="1"/>
    </row>
    <row r="17" spans="1:4" x14ac:dyDescent="0.35">
      <c r="A17" s="7"/>
      <c r="B17" s="1"/>
      <c r="C17" s="1"/>
      <c r="D17" s="1"/>
    </row>
    <row r="18" spans="1:4" x14ac:dyDescent="0.35">
      <c r="A18" s="7"/>
      <c r="B18" s="1"/>
      <c r="C18" s="1"/>
      <c r="D18" s="1"/>
    </row>
    <row r="19" spans="1:4" x14ac:dyDescent="0.35">
      <c r="A19" s="7"/>
      <c r="B19" s="1"/>
      <c r="C19" s="1"/>
      <c r="D19" s="1"/>
    </row>
    <row r="20" spans="1:4" x14ac:dyDescent="0.35">
      <c r="A20" s="7"/>
      <c r="B20" s="1"/>
      <c r="C20" s="1"/>
      <c r="D20" s="1"/>
    </row>
    <row r="21" spans="1:4" x14ac:dyDescent="0.35">
      <c r="A21" s="7"/>
      <c r="B21" s="1"/>
      <c r="C21" s="1"/>
      <c r="D21" s="1"/>
    </row>
    <row r="22" spans="1:4" x14ac:dyDescent="0.35">
      <c r="A22" s="7"/>
      <c r="B22" s="1"/>
      <c r="C22" s="1"/>
      <c r="D22" s="1"/>
    </row>
    <row r="23" spans="1:4" x14ac:dyDescent="0.35">
      <c r="A23" s="7"/>
      <c r="B23" s="1"/>
      <c r="C23" s="1"/>
      <c r="D23" s="1"/>
    </row>
    <row r="24" spans="1:4" x14ac:dyDescent="0.35">
      <c r="A24" s="7"/>
      <c r="B24" s="1"/>
      <c r="C24" s="1"/>
      <c r="D24" s="1"/>
    </row>
    <row r="25" spans="1:4" x14ac:dyDescent="0.35">
      <c r="A25" s="7"/>
      <c r="B25" s="1"/>
      <c r="C25" s="1"/>
      <c r="D25" s="1"/>
    </row>
    <row r="26" spans="1:4" x14ac:dyDescent="0.35">
      <c r="A26" s="7"/>
      <c r="B26" s="1"/>
      <c r="C26" s="1"/>
      <c r="D26" s="1"/>
    </row>
    <row r="27" spans="1:4" x14ac:dyDescent="0.35">
      <c r="A27" s="7"/>
      <c r="B27" s="1"/>
      <c r="C27" s="1"/>
      <c r="D27" s="1"/>
    </row>
    <row r="28" spans="1:4" x14ac:dyDescent="0.35">
      <c r="A28" s="7"/>
      <c r="B28" s="1"/>
      <c r="C28" s="1"/>
      <c r="D28" s="1"/>
    </row>
    <row r="29" spans="1:4" x14ac:dyDescent="0.35">
      <c r="A29" s="7"/>
      <c r="B29" s="1"/>
      <c r="C29" s="1"/>
      <c r="D29" s="1"/>
    </row>
    <row r="30" spans="1:4" x14ac:dyDescent="0.35">
      <c r="A30" s="7"/>
      <c r="B30" s="1"/>
      <c r="C30" s="1"/>
      <c r="D30" s="1"/>
    </row>
    <row r="31" spans="1:4" x14ac:dyDescent="0.35">
      <c r="A31" s="7"/>
      <c r="B31" s="1"/>
      <c r="C31" s="1"/>
      <c r="D31" s="1"/>
    </row>
    <row r="32" spans="1:4" x14ac:dyDescent="0.35">
      <c r="A32" s="7"/>
      <c r="B32" s="1"/>
      <c r="C32" s="1"/>
      <c r="D32" s="1"/>
    </row>
    <row r="33" spans="1:4" x14ac:dyDescent="0.35">
      <c r="A33" s="7"/>
      <c r="B33" s="1"/>
      <c r="C33" s="1"/>
      <c r="D33" s="1"/>
    </row>
    <row r="34" spans="1:4" x14ac:dyDescent="0.35">
      <c r="A34" s="7"/>
      <c r="B34" s="1"/>
      <c r="C34" s="1"/>
      <c r="D34" s="1"/>
    </row>
    <row r="35" spans="1:4" x14ac:dyDescent="0.35">
      <c r="A35" s="7"/>
      <c r="B35" s="1"/>
      <c r="C35" s="1"/>
      <c r="D35" s="1"/>
    </row>
    <row r="36" spans="1:4" x14ac:dyDescent="0.35">
      <c r="A36" s="7"/>
      <c r="B36" s="1"/>
      <c r="C36" s="1"/>
      <c r="D36" s="1"/>
    </row>
    <row r="37" spans="1:4" x14ac:dyDescent="0.35">
      <c r="A37" s="7"/>
      <c r="B37" s="1"/>
      <c r="C37" s="1"/>
      <c r="D37" s="1"/>
    </row>
    <row r="38" spans="1:4" x14ac:dyDescent="0.35">
      <c r="A38" s="7"/>
      <c r="B38" s="1"/>
      <c r="C38" s="1"/>
      <c r="D38" s="1"/>
    </row>
    <row r="39" spans="1:4" x14ac:dyDescent="0.35">
      <c r="A39" s="7"/>
      <c r="B39" s="1"/>
      <c r="C39" s="1"/>
      <c r="D39" s="1"/>
    </row>
    <row r="40" spans="1:4" x14ac:dyDescent="0.35">
      <c r="A40" s="7"/>
      <c r="B40" s="1"/>
      <c r="C40" s="1"/>
      <c r="D40" s="1"/>
    </row>
    <row r="41" spans="1:4" x14ac:dyDescent="0.35">
      <c r="A41" s="7"/>
      <c r="B41" s="1"/>
      <c r="C41" s="1"/>
      <c r="D41" s="1"/>
    </row>
    <row r="42" spans="1:4" x14ac:dyDescent="0.35">
      <c r="A42" s="7"/>
      <c r="B42" s="1"/>
      <c r="C42" s="1"/>
      <c r="D42" s="1"/>
    </row>
    <row r="43" spans="1:4" x14ac:dyDescent="0.35">
      <c r="A43" s="7"/>
      <c r="B43" s="1"/>
      <c r="C43" s="1"/>
      <c r="D43" s="1"/>
    </row>
    <row r="44" spans="1:4" x14ac:dyDescent="0.35">
      <c r="A44" s="7"/>
      <c r="B44" s="1"/>
      <c r="C44" s="1"/>
      <c r="D44" s="1"/>
    </row>
    <row r="45" spans="1:4" x14ac:dyDescent="0.35">
      <c r="A45" s="7"/>
      <c r="B45" s="1"/>
      <c r="C45" s="1"/>
      <c r="D45" s="1"/>
    </row>
    <row r="46" spans="1:4" x14ac:dyDescent="0.35">
      <c r="A46" s="7"/>
      <c r="B46" s="1"/>
      <c r="C46" s="1"/>
      <c r="D46" s="1"/>
    </row>
    <row r="47" spans="1:4" x14ac:dyDescent="0.35">
      <c r="A47" s="7"/>
      <c r="B47" s="1"/>
      <c r="C47" s="1"/>
      <c r="D47" s="1"/>
    </row>
    <row r="48" spans="1:4" x14ac:dyDescent="0.35">
      <c r="A48" s="7"/>
      <c r="B48" s="1"/>
      <c r="C48" s="1"/>
      <c r="D48" s="1"/>
    </row>
    <row r="49" spans="1:4" x14ac:dyDescent="0.35">
      <c r="A49" s="7"/>
      <c r="B49" s="1"/>
      <c r="C49" s="1"/>
      <c r="D49" s="1"/>
    </row>
    <row r="50" spans="1:4" x14ac:dyDescent="0.35">
      <c r="A50" s="7"/>
      <c r="B50" s="1"/>
      <c r="C50" s="1"/>
      <c r="D50" s="1"/>
    </row>
    <row r="51" spans="1:4" x14ac:dyDescent="0.35">
      <c r="A51" s="7"/>
      <c r="B51" s="1"/>
      <c r="C51" s="1"/>
      <c r="D51" s="1"/>
    </row>
    <row r="52" spans="1:4" x14ac:dyDescent="0.35">
      <c r="A52" s="7"/>
      <c r="B52" s="1"/>
      <c r="C52" s="1"/>
      <c r="D52" s="1"/>
    </row>
    <row r="53" spans="1:4" x14ac:dyDescent="0.35">
      <c r="A53" s="7"/>
      <c r="B53" s="1"/>
      <c r="C53" s="1"/>
      <c r="D53" s="1"/>
    </row>
    <row r="54" spans="1:4" x14ac:dyDescent="0.35">
      <c r="A54" s="7"/>
      <c r="B54" s="1"/>
      <c r="C54" s="1"/>
      <c r="D54" s="1"/>
    </row>
    <row r="55" spans="1:4" x14ac:dyDescent="0.35">
      <c r="A55" s="7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 t="s">
        <v>20</v>
      </c>
      <c r="B76" s="1"/>
      <c r="C76" s="4">
        <f>SUM(C14:C75)</f>
        <v>0</v>
      </c>
      <c r="D76" s="1"/>
    </row>
  </sheetData>
  <mergeCells count="2">
    <mergeCell ref="B1:AN1"/>
    <mergeCell ref="A12:D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2026-08-01T05:49:07Z</dcterms:created>
  <dcterms:modified xsi:type="dcterms:W3CDTF">2026-09-28T06:20:22Z</dcterms:modified>
</cp:coreProperties>
</file>