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3DBEC42-FFC9-45FF-819C-DE84EB21B2E5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E4" i="21" l="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O13" i="21" s="1"/>
  <c r="C13" i="21"/>
  <c r="E13" i="21"/>
  <c r="Q13" i="21" s="1"/>
  <c r="P13" i="21" s="1"/>
  <c r="L13" i="21" s="1"/>
  <c r="C14" i="21"/>
  <c r="E14" i="21"/>
  <c r="Q14" i="21" s="1"/>
  <c r="F14" i="21"/>
  <c r="O14" i="21" s="1"/>
  <c r="C15" i="21"/>
  <c r="E15" i="21"/>
  <c r="Q15" i="21" s="1"/>
  <c r="F15" i="21"/>
  <c r="O15" i="21" s="1"/>
  <c r="C16" i="21"/>
  <c r="E16" i="21"/>
  <c r="Q16" i="21" s="1"/>
  <c r="F16" i="21"/>
  <c r="O16" i="21" s="1"/>
  <c r="C17" i="21"/>
  <c r="E17" i="21"/>
  <c r="Q17" i="21" s="1"/>
  <c r="F17" i="21"/>
  <c r="O17" i="21" s="1"/>
  <c r="C18" i="21"/>
  <c r="E18" i="21"/>
  <c r="Q18" i="21" s="1"/>
  <c r="F18" i="21"/>
  <c r="O18" i="21" s="1"/>
  <c r="C19" i="21"/>
  <c r="D19" i="21"/>
  <c r="E19" i="21"/>
  <c r="Q19" i="21" s="1"/>
  <c r="F19" i="21"/>
  <c r="O19" i="21" s="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P14" i="21" l="1"/>
  <c r="L14" i="21" s="1"/>
  <c r="P18" i="21"/>
  <c r="L18" i="21" s="1"/>
  <c r="P15" i="21"/>
  <c r="L15" i="21" s="1"/>
  <c r="P17" i="21"/>
  <c r="L17" i="21" s="1"/>
  <c r="P19" i="21"/>
  <c r="L19" i="21" s="1"/>
  <c r="P16" i="21"/>
  <c r="L16" i="21" s="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E22" i="21"/>
  <c r="G22" i="21"/>
  <c r="G20" i="25" l="1"/>
  <c r="E20" i="25"/>
  <c r="L9" i="21"/>
  <c r="L10" i="21"/>
</calcChain>
</file>

<file path=xl/sharedStrings.xml><?xml version="1.0" encoding="utf-8"?>
<sst xmlns="http://schemas.openxmlformats.org/spreadsheetml/2006/main" count="126" uniqueCount="63">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</sst>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0625E35B-E2F3-42BB-AA30-67A70FD20E51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"/>
  <sheetViews>
    <sheetView tabSelected="1" topLeftCell="B1" zoomScale="70" zoomScaleNormal="70" workbookViewId="0">
      <selection activeCell="O5" sqref="O5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1150</v>
      </c>
    </row>
    <row r="3" spans="1:17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2347003.35</v>
      </c>
    </row>
    <row r="4" spans="1:17" ht="28.5" x14ac:dyDescent="0.5">
      <c r="B4" s="152"/>
      <c r="C4" s="168" t="s">
        <v>1</v>
      </c>
      <c r="D4" s="169"/>
      <c r="E4" s="158">
        <f ca="1">TODAY()</f>
        <v>46283</v>
      </c>
      <c r="F4" s="159"/>
      <c r="G4" s="160"/>
      <c r="H4" s="161"/>
      <c r="J4" s="123" t="s">
        <v>54</v>
      </c>
      <c r="L4" s="125">
        <f>SUM(L13:L19)</f>
        <v>547627.11864406778</v>
      </c>
    </row>
    <row r="5" spans="1:17" ht="28.5" x14ac:dyDescent="0.5">
      <c r="B5" s="152"/>
      <c r="C5" s="168" t="s">
        <v>24</v>
      </c>
      <c r="D5" s="169"/>
      <c r="E5" s="158">
        <f ca="1">+E4+1</f>
        <v>46284</v>
      </c>
      <c r="F5" s="159"/>
      <c r="G5" s="160"/>
      <c r="H5" s="161"/>
      <c r="J5" s="123" t="s">
        <v>4</v>
      </c>
      <c r="L5" s="125">
        <f>L4+L3</f>
        <v>2894630.4686440676</v>
      </c>
    </row>
    <row r="6" spans="1:17" ht="29" thickBot="1" x14ac:dyDescent="0.55000000000000004">
      <c r="B6" s="153"/>
      <c r="C6" s="170" t="s">
        <v>2</v>
      </c>
      <c r="D6" s="171"/>
      <c r="E6" s="162" t="s">
        <v>61</v>
      </c>
      <c r="F6" s="163"/>
      <c r="G6" s="164"/>
      <c r="H6" s="165"/>
      <c r="J6" s="123" t="s">
        <v>55</v>
      </c>
      <c r="L6" s="126">
        <f>L5*0.1%</f>
        <v>2894.6304686440676</v>
      </c>
    </row>
    <row r="7" spans="1:17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2897525.0991127118</v>
      </c>
      <c r="N8" s="115"/>
    </row>
    <row r="9" spans="1:17" ht="23.5" x14ac:dyDescent="0.5">
      <c r="G9" s="1"/>
      <c r="H9" s="1"/>
      <c r="I9" s="1"/>
      <c r="J9" s="129">
        <v>0.6</v>
      </c>
      <c r="K9" s="1"/>
      <c r="L9" s="130">
        <f>L8*J9</f>
        <v>1738515.059467627</v>
      </c>
      <c r="N9" s="115"/>
    </row>
    <row r="10" spans="1:17" ht="23.5" x14ac:dyDescent="0.5">
      <c r="G10" s="1"/>
      <c r="H10" s="1"/>
      <c r="I10" s="1"/>
      <c r="J10" s="129">
        <v>0.4</v>
      </c>
      <c r="K10" s="1"/>
      <c r="L10" s="130">
        <f>L8*J10</f>
        <v>1159010.0396450849</v>
      </c>
      <c r="N10" s="115"/>
    </row>
    <row r="11" spans="1:17" ht="57" customHeight="1" thickBot="1" x14ac:dyDescent="0.55000000000000004">
      <c r="H11" s="1"/>
      <c r="J11" s="7"/>
      <c r="L11" s="4"/>
    </row>
    <row r="12" spans="1:17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7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100</v>
      </c>
      <c r="I13" s="81"/>
      <c r="J13" s="82">
        <f t="shared" ref="J13:J21" si="0">(H13*G13)</f>
        <v>169978.5</v>
      </c>
      <c r="K13" s="91"/>
      <c r="L13" s="88">
        <f>+P13</f>
        <v>39661.016949152523</v>
      </c>
      <c r="N13" s="127"/>
      <c r="O13" s="128">
        <f>+F13-F13/1.18</f>
        <v>9.9152542372881314</v>
      </c>
      <c r="P13">
        <f>+O13*Q13</f>
        <v>39661.016949152523</v>
      </c>
      <c r="Q13">
        <f>+E13*H13</f>
        <v>4000</v>
      </c>
    </row>
    <row r="14" spans="1:17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200</v>
      </c>
      <c r="I14" s="83"/>
      <c r="J14" s="16">
        <f t="shared" si="0"/>
        <v>339957</v>
      </c>
      <c r="K14" s="92"/>
      <c r="L14" s="89">
        <f>+P14</f>
        <v>79322.033898305046</v>
      </c>
      <c r="N14" s="127"/>
      <c r="O14" s="128">
        <f t="shared" ref="O14:O19" si="1">+F14-F14/1.18</f>
        <v>9.9152542372881314</v>
      </c>
      <c r="P14">
        <f>+O14*Q14</f>
        <v>79322.033898305046</v>
      </c>
      <c r="Q14">
        <f t="shared" ref="Q14:Q18" si="2">+E14*H14</f>
        <v>8000</v>
      </c>
    </row>
    <row r="15" spans="1:17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>
        <v>250</v>
      </c>
      <c r="I15" s="83"/>
      <c r="J15" s="16">
        <f t="shared" si="0"/>
        <v>424946.24999999994</v>
      </c>
      <c r="K15" s="92"/>
      <c r="L15" s="89">
        <f>+P15</f>
        <v>99152.542372881318</v>
      </c>
      <c r="N15" s="127"/>
      <c r="O15" s="128">
        <f t="shared" si="1"/>
        <v>9.9152542372881314</v>
      </c>
      <c r="P15">
        <f>+O15*Q15</f>
        <v>99152.542372881318</v>
      </c>
      <c r="Q15">
        <f t="shared" si="2"/>
        <v>10000</v>
      </c>
    </row>
    <row r="16" spans="1:17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250</v>
      </c>
      <c r="I16" s="83"/>
      <c r="J16" s="16">
        <f t="shared" si="0"/>
        <v>588384</v>
      </c>
      <c r="K16" s="92"/>
      <c r="L16" s="89">
        <f t="shared" ref="L16:L19" si="3">+P16</f>
        <v>137288.13559322036</v>
      </c>
      <c r="N16" s="127"/>
      <c r="O16" s="128">
        <f t="shared" si="1"/>
        <v>13.728813559322035</v>
      </c>
      <c r="P16">
        <f>+O16*Q16</f>
        <v>137288.13559322036</v>
      </c>
      <c r="Q16">
        <f t="shared" si="2"/>
        <v>10000</v>
      </c>
    </row>
    <row r="17" spans="1:17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150</v>
      </c>
      <c r="I17" s="83"/>
      <c r="J17" s="16">
        <f t="shared" si="0"/>
        <v>353030.40000000002</v>
      </c>
      <c r="K17" s="92"/>
      <c r="L17" s="89">
        <f t="shared" si="3"/>
        <v>82372.881355932201</v>
      </c>
      <c r="N17" s="127"/>
      <c r="O17" s="128">
        <f t="shared" si="1"/>
        <v>13.728813559322035</v>
      </c>
      <c r="P17">
        <f>+O17*Q17</f>
        <v>82372.881355932201</v>
      </c>
      <c r="Q17">
        <f t="shared" si="2"/>
        <v>6000</v>
      </c>
    </row>
    <row r="18" spans="1:17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200</v>
      </c>
      <c r="I18" s="83"/>
      <c r="J18" s="16">
        <f t="shared" si="0"/>
        <v>470707.20000000001</v>
      </c>
      <c r="K18" s="92"/>
      <c r="L18" s="89">
        <f t="shared" si="3"/>
        <v>109830.50847457627</v>
      </c>
      <c r="N18" s="127"/>
      <c r="O18" s="128">
        <f t="shared" si="1"/>
        <v>13.728813559322035</v>
      </c>
      <c r="P18">
        <f t="shared" ref="P18" si="4">+O18*Q18</f>
        <v>109830.50847457627</v>
      </c>
      <c r="Q18">
        <f t="shared" si="2"/>
        <v>8000</v>
      </c>
    </row>
    <row r="19" spans="1:17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3"/>
        <v>0</v>
      </c>
      <c r="N19" s="127"/>
      <c r="O19" s="128">
        <f t="shared" si="1"/>
        <v>7.6271186440677923</v>
      </c>
      <c r="P19">
        <f>+O19*Q19</f>
        <v>0</v>
      </c>
      <c r="Q19">
        <f>+E19*H19</f>
        <v>0</v>
      </c>
    </row>
    <row r="20" spans="1:17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7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7" ht="21.5" thickBot="1" x14ac:dyDescent="0.55000000000000004">
      <c r="A22" s="114"/>
      <c r="B22" s="112"/>
      <c r="C22" s="14"/>
      <c r="D22" s="14"/>
      <c r="E22" s="84" t="str">
        <f>IFERROR(VLOOKUP(B22,'SKU Details'!A:F,3,0),"")</f>
        <v/>
      </c>
      <c r="F22" s="84"/>
      <c r="G22" s="15" t="str">
        <f>IFERROR(VLOOKUP(B22,'SKU Details'!A:F,4,0),"")</f>
        <v/>
      </c>
      <c r="H22" s="18"/>
      <c r="I22" s="85"/>
      <c r="J22" s="13"/>
      <c r="K22" s="95"/>
      <c r="L22" s="90"/>
    </row>
    <row r="23" spans="1:17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G22: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5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62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2026-09-18T11:21:26Z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