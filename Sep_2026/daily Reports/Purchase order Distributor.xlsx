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786\Desktop\Elite-Git\Sep_2026\Daily Reports\"/>
    </mc:Choice>
  </mc:AlternateContent>
  <xr:revisionPtr revIDLastSave="0" documentId="13_ncr:1_{262F256E-6A13-4626-8C9A-258263C19D6A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SKU Details" sheetId="16" state="hidden" r:id="rId1"/>
    <sheet name="PO" sheetId="21" r:id="rId2"/>
    <sheet name="PO " sheetId="25" r:id="rId3"/>
  </sheets>
  <definedNames>
    <definedName name="_xlnm._FilterDatabase" localSheetId="1" hidden="1">PO!$B$12:$H$22</definedName>
    <definedName name="_xlnm._FilterDatabase" localSheetId="0" hidden="1">'SKU Details'!$A$2:$J$145</definedName>
    <definedName name="Z_C0439D6B_0A53_400D_9380_18C16C3AB4D8_.wvu.FilterData" localSheetId="0" hidden="1">'SKU Details'!$A$2:$J$145</definedName>
  </definedNames>
  <calcPr calcId="191029"/>
  <customWorkbookViews>
    <customWorkbookView name="Farhan Zainul Abedin - Personal View" guid="{C0439D6B-0A53-400D-9380-18C16C3AB4D8}" mergeInterval="0" personalView="1" maximized="1" windowWidth="1916" windowHeight="803" activeSheetId="18"/>
  </customWorkbookViews>
</workbook>
</file>

<file path=xl/calcChain.xml><?xml version="1.0" encoding="utf-8"?>
<calcChain xmlns="http://schemas.openxmlformats.org/spreadsheetml/2006/main">
  <c r="E4" i="21" l="1"/>
  <c r="F19" i="25"/>
  <c r="E19" i="25"/>
  <c r="D19" i="25"/>
  <c r="C19" i="25"/>
  <c r="F18" i="25"/>
  <c r="E18" i="25"/>
  <c r="D18" i="25"/>
  <c r="C18" i="25"/>
  <c r="F17" i="25"/>
  <c r="O17" i="25" s="1"/>
  <c r="E17" i="25"/>
  <c r="Q17" i="25" s="1"/>
  <c r="D17" i="25"/>
  <c r="C17" i="25"/>
  <c r="F16" i="25"/>
  <c r="O16" i="25" s="1"/>
  <c r="E16" i="25"/>
  <c r="Q16" i="25" s="1"/>
  <c r="D16" i="25"/>
  <c r="C16" i="25"/>
  <c r="F15" i="25"/>
  <c r="O15" i="25" s="1"/>
  <c r="E15" i="25"/>
  <c r="Q15" i="25" s="1"/>
  <c r="D15" i="25"/>
  <c r="C15" i="25"/>
  <c r="F14" i="25"/>
  <c r="O14" i="25" s="1"/>
  <c r="E14" i="25"/>
  <c r="Q14" i="25" s="1"/>
  <c r="D14" i="25"/>
  <c r="C14" i="25"/>
  <c r="F13" i="25"/>
  <c r="O13" i="25" s="1"/>
  <c r="E13" i="25"/>
  <c r="Q13" i="25" s="1"/>
  <c r="D13" i="25"/>
  <c r="C13" i="25"/>
  <c r="F12" i="25"/>
  <c r="O12" i="25" s="1"/>
  <c r="E12" i="25"/>
  <c r="Q12" i="25" s="1"/>
  <c r="D12" i="25"/>
  <c r="C12" i="25"/>
  <c r="F11" i="25"/>
  <c r="O11" i="25" s="1"/>
  <c r="E11" i="25"/>
  <c r="Q11" i="25" s="1"/>
  <c r="D11" i="25"/>
  <c r="C11" i="25"/>
  <c r="L2" i="25"/>
  <c r="N13" i="16"/>
  <c r="N14" i="16" s="1"/>
  <c r="P13" i="25" l="1"/>
  <c r="L13" i="25" s="1"/>
  <c r="P17" i="25"/>
  <c r="L17" i="25" s="1"/>
  <c r="P14" i="25"/>
  <c r="L14" i="25" s="1"/>
  <c r="P16" i="25"/>
  <c r="L16" i="25" s="1"/>
  <c r="P11" i="25"/>
  <c r="L11" i="25" s="1"/>
  <c r="P12" i="25"/>
  <c r="L12" i="25" s="1"/>
  <c r="P15" i="25"/>
  <c r="L15" i="25" s="1"/>
  <c r="D13" i="21"/>
  <c r="D14" i="21"/>
  <c r="D15" i="21"/>
  <c r="D16" i="21"/>
  <c r="D17" i="21"/>
  <c r="D18" i="21"/>
  <c r="L4" i="25" l="1"/>
  <c r="K13" i="16" l="1"/>
  <c r="K6" i="16"/>
  <c r="M14" i="16"/>
  <c r="K14" i="16" s="1"/>
  <c r="M13" i="16"/>
  <c r="M12" i="16"/>
  <c r="K12" i="16" s="1"/>
  <c r="M11" i="16"/>
  <c r="K11" i="16" s="1"/>
  <c r="M10" i="16"/>
  <c r="K10" i="16" s="1"/>
  <c r="M9" i="16"/>
  <c r="K9" i="16" s="1"/>
  <c r="M8" i="16"/>
  <c r="M7" i="16"/>
  <c r="K7" i="16" s="1"/>
  <c r="M6" i="16"/>
  <c r="F13" i="21" l="1"/>
  <c r="O13" i="21" s="1"/>
  <c r="C13" i="21"/>
  <c r="E13" i="21"/>
  <c r="Q13" i="21" s="1"/>
  <c r="P13" i="21" s="1"/>
  <c r="L13" i="21" s="1"/>
  <c r="C14" i="21"/>
  <c r="E14" i="21"/>
  <c r="Q14" i="21" s="1"/>
  <c r="F14" i="21"/>
  <c r="O14" i="21" s="1"/>
  <c r="C15" i="21"/>
  <c r="E15" i="21"/>
  <c r="Q15" i="21" s="1"/>
  <c r="F15" i="21"/>
  <c r="O15" i="21" s="1"/>
  <c r="C16" i="21"/>
  <c r="E16" i="21"/>
  <c r="Q16" i="21" s="1"/>
  <c r="F16" i="21"/>
  <c r="O16" i="21" s="1"/>
  <c r="C17" i="21"/>
  <c r="E17" i="21"/>
  <c r="Q17" i="21" s="1"/>
  <c r="F17" i="21"/>
  <c r="O17" i="21" s="1"/>
  <c r="C18" i="21"/>
  <c r="E18" i="21"/>
  <c r="Q18" i="21" s="1"/>
  <c r="F18" i="21"/>
  <c r="O18" i="21" s="1"/>
  <c r="C19" i="21"/>
  <c r="D19" i="21"/>
  <c r="E19" i="21"/>
  <c r="Q19" i="21" s="1"/>
  <c r="F19" i="21"/>
  <c r="O19" i="21" s="1"/>
  <c r="C20" i="21"/>
  <c r="D20" i="21"/>
  <c r="E20" i="21"/>
  <c r="F20" i="21"/>
  <c r="C21" i="21"/>
  <c r="D21" i="21"/>
  <c r="E21" i="21"/>
  <c r="F21" i="21"/>
  <c r="AA14" i="16"/>
  <c r="L19" i="25" s="1"/>
  <c r="AA13" i="16"/>
  <c r="L18" i="25" s="1"/>
  <c r="S14" i="16"/>
  <c r="Q14" i="16"/>
  <c r="J14" i="16"/>
  <c r="H14" i="16"/>
  <c r="S13" i="16"/>
  <c r="Q13" i="16"/>
  <c r="O13" i="16"/>
  <c r="J13" i="16"/>
  <c r="H13" i="16"/>
  <c r="K8" i="16"/>
  <c r="P14" i="21" l="1"/>
  <c r="L14" i="21" s="1"/>
  <c r="P18" i="21"/>
  <c r="L18" i="21" s="1"/>
  <c r="P15" i="21"/>
  <c r="L15" i="21" s="1"/>
  <c r="P17" i="21"/>
  <c r="L17" i="21" s="1"/>
  <c r="P19" i="21"/>
  <c r="L19" i="21" s="1"/>
  <c r="P16" i="21"/>
  <c r="L16" i="21" s="1"/>
  <c r="U13" i="16"/>
  <c r="W13" i="16" s="1"/>
  <c r="Y13" i="16" s="1"/>
  <c r="O14" i="16"/>
  <c r="U14" i="16" s="1"/>
  <c r="W14" i="16" s="1"/>
  <c r="Y14" i="16" s="1"/>
  <c r="L4" i="21" l="1"/>
  <c r="T14" i="16"/>
  <c r="T13" i="16"/>
  <c r="G18" i="25" s="1"/>
  <c r="J18" i="25" s="1"/>
  <c r="V14" i="16"/>
  <c r="X14" i="16" s="1"/>
  <c r="G21" i="21" l="1"/>
  <c r="J21" i="21" s="1"/>
  <c r="G19" i="25"/>
  <c r="J19" i="25" s="1"/>
  <c r="G20" i="21"/>
  <c r="J20" i="21" s="1"/>
  <c r="V13" i="16"/>
  <c r="X13" i="16" s="1"/>
  <c r="E5" i="21"/>
  <c r="L2" i="21" l="1"/>
  <c r="AA12" i="16" l="1"/>
  <c r="AA11" i="16"/>
  <c r="AA10" i="16"/>
  <c r="AA9" i="16"/>
  <c r="AA8" i="16"/>
  <c r="AA7" i="16"/>
  <c r="AA6" i="16"/>
  <c r="J12" i="16" l="1"/>
  <c r="H12" i="16"/>
  <c r="J11" i="16"/>
  <c r="H11" i="16"/>
  <c r="J10" i="16"/>
  <c r="H10" i="16"/>
  <c r="J9" i="16"/>
  <c r="H9" i="16"/>
  <c r="J8" i="16"/>
  <c r="H8" i="16"/>
  <c r="N7" i="16"/>
  <c r="N8" i="16" s="1"/>
  <c r="J7" i="16"/>
  <c r="H7" i="16"/>
  <c r="A7" i="16"/>
  <c r="J6" i="16"/>
  <c r="H6" i="16"/>
  <c r="S6" i="16" l="1"/>
  <c r="A8" i="16"/>
  <c r="A9" i="16" s="1"/>
  <c r="N9" i="16"/>
  <c r="O6" i="16" l="1"/>
  <c r="O9" i="16"/>
  <c r="Q6" i="16"/>
  <c r="O8" i="16"/>
  <c r="A10" i="16"/>
  <c r="N10" i="16"/>
  <c r="U6" i="16" l="1"/>
  <c r="W6" i="16" s="1"/>
  <c r="Y6" i="16" s="1"/>
  <c r="Q8" i="16"/>
  <c r="S8" i="16"/>
  <c r="S7" i="16"/>
  <c r="O7" i="16"/>
  <c r="Q7" i="16"/>
  <c r="A11" i="16"/>
  <c r="Q9" i="16"/>
  <c r="S9" i="16"/>
  <c r="N11" i="16"/>
  <c r="O10" i="16"/>
  <c r="U8" i="16" l="1"/>
  <c r="W8" i="16" s="1"/>
  <c r="Y8" i="16" s="1"/>
  <c r="T6" i="16"/>
  <c r="G11" i="25" s="1"/>
  <c r="J11" i="25" s="1"/>
  <c r="U7" i="16"/>
  <c r="W7" i="16" s="1"/>
  <c r="U9" i="16"/>
  <c r="A12" i="16"/>
  <c r="Q10" i="16"/>
  <c r="S10" i="16"/>
  <c r="O11" i="16"/>
  <c r="V6" i="16" l="1"/>
  <c r="G13" i="21"/>
  <c r="J13" i="21" s="1"/>
  <c r="T8" i="16"/>
  <c r="G13" i="25" s="1"/>
  <c r="J13" i="25" s="1"/>
  <c r="X6" i="16"/>
  <c r="W9" i="16"/>
  <c r="Y9" i="16" s="1"/>
  <c r="T9" i="16"/>
  <c r="G14" i="25" s="1"/>
  <c r="J14" i="25" s="1"/>
  <c r="Y7" i="16"/>
  <c r="T7" i="16"/>
  <c r="U10" i="16"/>
  <c r="A13" i="16"/>
  <c r="S11" i="16"/>
  <c r="Q11" i="16"/>
  <c r="O12" i="16"/>
  <c r="G14" i="21" l="1"/>
  <c r="J14" i="21" s="1"/>
  <c r="G12" i="25"/>
  <c r="J12" i="25" s="1"/>
  <c r="V8" i="16"/>
  <c r="X8" i="16" s="1"/>
  <c r="G15" i="21"/>
  <c r="J15" i="21" s="1"/>
  <c r="V9" i="16"/>
  <c r="X9" i="16" s="1"/>
  <c r="G16" i="21"/>
  <c r="J16" i="21" s="1"/>
  <c r="V7" i="16"/>
  <c r="X7" i="16" s="1"/>
  <c r="W10" i="16"/>
  <c r="Y10" i="16" s="1"/>
  <c r="U11" i="16"/>
  <c r="T10" i="16"/>
  <c r="A14" i="16"/>
  <c r="Q12" i="16"/>
  <c r="S12" i="16"/>
  <c r="G17" i="21" l="1"/>
  <c r="J17" i="21" s="1"/>
  <c r="G15" i="25"/>
  <c r="J15" i="25" s="1"/>
  <c r="V10" i="16"/>
  <c r="X10" i="16" s="1"/>
  <c r="T11" i="16"/>
  <c r="G16" i="25" s="1"/>
  <c r="J16" i="25" s="1"/>
  <c r="W11" i="16"/>
  <c r="Y11" i="16" s="1"/>
  <c r="U12" i="16"/>
  <c r="A15" i="16"/>
  <c r="V11" i="16" l="1"/>
  <c r="G18" i="21"/>
  <c r="J18" i="21" s="1"/>
  <c r="X11" i="16"/>
  <c r="T12" i="16"/>
  <c r="G17" i="25" s="1"/>
  <c r="J17" i="25" s="1"/>
  <c r="L3" i="25" s="1"/>
  <c r="L5" i="25" s="1"/>
  <c r="L6" i="25" s="1"/>
  <c r="L8" i="25" s="1"/>
  <c r="W12" i="16"/>
  <c r="Y12" i="16" s="1"/>
  <c r="A16" i="16"/>
  <c r="V12" i="16" l="1"/>
  <c r="X12" i="16" s="1"/>
  <c r="G19" i="21"/>
  <c r="J19" i="21" s="1"/>
  <c r="A17" i="16"/>
  <c r="L20" i="21"/>
  <c r="L21" i="21" l="1"/>
  <c r="A18" i="16"/>
  <c r="A19" i="16" l="1"/>
  <c r="A20" i="16" l="1"/>
  <c r="A22" i="16" l="1"/>
  <c r="A23" i="16" l="1"/>
  <c r="A24" i="16" l="1"/>
  <c r="A25" i="16" l="1"/>
  <c r="A26" i="16" l="1"/>
  <c r="A27" i="16" l="1"/>
  <c r="A28" i="16" l="1"/>
  <c r="A29" i="16" l="1"/>
  <c r="A30" i="16" l="1"/>
  <c r="A31" i="16" l="1"/>
  <c r="A32" i="16" l="1"/>
  <c r="A33" i="16" l="1"/>
  <c r="A34" i="16" l="1"/>
  <c r="A36" i="16" l="1"/>
  <c r="A37" i="16" l="1"/>
  <c r="A38" i="16" l="1"/>
  <c r="A39" i="16" l="1"/>
  <c r="A40" i="16" l="1"/>
  <c r="A41" i="16" l="1"/>
  <c r="A42" i="16" l="1"/>
  <c r="A43" i="16" l="1"/>
  <c r="A44" i="16" l="1"/>
  <c r="A45" i="16" l="1"/>
  <c r="A47" i="16" l="1"/>
  <c r="A48" i="16" l="1"/>
  <c r="A50" i="16" l="1"/>
  <c r="A51" i="16" l="1"/>
  <c r="A52" i="16" l="1"/>
  <c r="A54" i="16" l="1"/>
  <c r="A55" i="16" l="1"/>
  <c r="A56" i="16" l="1"/>
  <c r="A57" i="16" l="1"/>
  <c r="A58" i="16" l="1"/>
  <c r="A60" i="16" l="1"/>
  <c r="A61" i="16" l="1"/>
  <c r="A62" i="16" l="1"/>
  <c r="A63" i="16" l="1"/>
  <c r="A64" i="16" l="1"/>
  <c r="A65" i="16" l="1"/>
  <c r="A66" i="16" l="1"/>
  <c r="L3" i="21" l="1"/>
  <c r="L5" i="21" s="1"/>
  <c r="A68" i="16"/>
  <c r="A69" i="16" l="1"/>
  <c r="L6" i="21" l="1"/>
  <c r="L8" i="21" s="1"/>
  <c r="A70" i="16"/>
  <c r="E22" i="21"/>
  <c r="G22" i="21"/>
  <c r="G20" i="25" l="1"/>
  <c r="E20" i="25"/>
  <c r="L9" i="21"/>
  <c r="L10" i="21"/>
</calcChain>
</file>

<file path=xl/sharedStrings.xml><?xml version="1.0" encoding="utf-8"?>
<sst xmlns="http://schemas.openxmlformats.org/spreadsheetml/2006/main" count="126" uniqueCount="63">
  <si>
    <t>SKU Description</t>
  </si>
  <si>
    <t>Order Date</t>
  </si>
  <si>
    <t>Order No #</t>
  </si>
  <si>
    <t>GM</t>
  </si>
  <si>
    <t>Deposit Amount</t>
  </si>
  <si>
    <t>Net Amount</t>
  </si>
  <si>
    <t>Total CTN</t>
  </si>
  <si>
    <t>S#</t>
  </si>
  <si>
    <t>SKUs Description</t>
  </si>
  <si>
    <t>Unit</t>
  </si>
  <si>
    <t xml:space="preserve">Retail Price </t>
  </si>
  <si>
    <t>TP Incl.</t>
  </si>
  <si>
    <t>TP Excl.</t>
  </si>
  <si>
    <t>Dist Margin</t>
  </si>
  <si>
    <t>Trade Offre</t>
  </si>
  <si>
    <t>Ex-Fac</t>
  </si>
  <si>
    <t>S.Tax</t>
  </si>
  <si>
    <t>Dist. Price</t>
  </si>
  <si>
    <t>Gm</t>
  </si>
  <si>
    <t>CTN</t>
  </si>
  <si>
    <t>Ctn</t>
  </si>
  <si>
    <t xml:space="preserve">Pk </t>
  </si>
  <si>
    <t>Pk</t>
  </si>
  <si>
    <t>Amount</t>
  </si>
  <si>
    <t>Order Delivery Date</t>
  </si>
  <si>
    <t>Distributor Name</t>
  </si>
  <si>
    <t xml:space="preserve">                         Order Format                      </t>
  </si>
  <si>
    <t>Retail Price/Unit</t>
  </si>
  <si>
    <t>Order Quantity (Cartons)</t>
  </si>
  <si>
    <t>Code</t>
  </si>
  <si>
    <t>Bar</t>
  </si>
  <si>
    <t>BMS Code</t>
  </si>
  <si>
    <t>Ledger Balance</t>
  </si>
  <si>
    <t>Balance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</si>
  <si>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</si>
  <si>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</si>
  <si>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</si>
  <si>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</si>
  <si>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</si>
  <si>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</si>
  <si>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</si>
  <si>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Stale</t>
  </si>
  <si>
    <t>SKU</t>
  </si>
  <si>
    <t>CCN</t>
  </si>
  <si>
    <t>VTN</t>
  </si>
  <si>
    <t>BCN</t>
  </si>
  <si>
    <t>CCNJ</t>
  </si>
  <si>
    <t>VTNJ</t>
  </si>
  <si>
    <t>BCNJ</t>
  </si>
  <si>
    <t>Lemon Tarka (ECO)</t>
  </si>
  <si>
    <t>CCE</t>
  </si>
  <si>
    <t>VTE</t>
  </si>
  <si>
    <t>BCE</t>
  </si>
  <si>
    <t>Meat Masala (ECO)</t>
  </si>
  <si>
    <t>GST 18%</t>
  </si>
  <si>
    <t>Adv.Tax</t>
  </si>
  <si>
    <t>Weight/ctn</t>
  </si>
  <si>
    <t>Packs/   Ctn</t>
  </si>
  <si>
    <t>Price/        CTN</t>
  </si>
  <si>
    <t>GST %</t>
  </si>
  <si>
    <t>Elite Marketing Lahore</t>
  </si>
  <si>
    <t>4th</t>
  </si>
  <si>
    <t>Ayyan Gujrat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</si>
</sst>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###,000"/>
    <numFmt numFmtId="166" formatCode="dd\-mmm\-yyyy"/>
    <numFmt numFmtId="167" formatCode="0.0%"/>
    <numFmt numFmtId="168" formatCode="0.0"/>
    <numFmt numFmtId="169" formatCode="0.0000000000000"/>
    <numFmt numFmtId="170" formatCode="0.0000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6"/>
      <name val="Calibri"/>
      <family val="2"/>
      <charset val="162"/>
      <scheme val="minor"/>
    </font>
    <font>
      <sz val="16"/>
      <name val="Calibri"/>
      <family val="2"/>
      <charset val="162"/>
      <scheme val="minor"/>
    </font>
    <font>
      <b/>
      <sz val="22"/>
      <color theme="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sz val="22"/>
      <color rgb="FFFF0000"/>
      <name val="Calibri"/>
      <family val="2"/>
      <charset val="162"/>
      <scheme val="minor"/>
    </font>
    <font>
      <b/>
      <sz val="8"/>
      <color rgb="FF1F497D"/>
      <name val="Verdana"/>
      <family val="2"/>
      <charset val="162"/>
    </font>
    <font>
      <sz val="8"/>
      <color rgb="FF1F497D"/>
      <name val="Verdana"/>
      <family val="2"/>
      <charset val="162"/>
    </font>
    <font>
      <sz val="8"/>
      <color rgb="FF000000"/>
      <name val="Verdana"/>
      <family val="2"/>
      <charset val="162"/>
    </font>
    <font>
      <b/>
      <sz val="8"/>
      <color rgb="FF00CC00"/>
      <name val="Verdana"/>
      <family val="2"/>
      <charset val="162"/>
    </font>
    <font>
      <b/>
      <sz val="8"/>
      <color rgb="FF33CC33"/>
      <name val="Verdana"/>
      <family val="2"/>
      <charset val="162"/>
    </font>
    <font>
      <b/>
      <sz val="8"/>
      <color rgb="FFFF9900"/>
      <name val="Verdana"/>
      <family val="2"/>
      <charset val="162"/>
    </font>
    <font>
      <b/>
      <sz val="8"/>
      <color rgb="FFFF0000"/>
      <name val="Verdana"/>
      <family val="2"/>
      <charset val="162"/>
    </font>
    <font>
      <sz val="8"/>
      <color rgb="FF000000"/>
      <name val="Arial"/>
      <family val="2"/>
      <charset val="162"/>
    </font>
    <font>
      <i/>
      <sz val="8"/>
      <color rgb="FF000000"/>
      <name val="Verdana"/>
      <family val="2"/>
      <charset val="162"/>
    </font>
    <font>
      <b/>
      <i/>
      <sz val="8"/>
      <color rgb="FF000000"/>
      <name val="Verdana"/>
      <family val="2"/>
      <charset val="162"/>
    </font>
    <font>
      <b/>
      <i/>
      <sz val="8"/>
      <color rgb="FF1F497D"/>
      <name val="Verdana"/>
      <family val="2"/>
      <charset val="162"/>
    </font>
    <font>
      <i/>
      <sz val="8"/>
      <color rgb="FF1F497D"/>
      <name val="Verdana"/>
      <family val="2"/>
      <charset val="162"/>
    </font>
    <font>
      <b/>
      <sz val="16"/>
      <color rgb="FFFF0000"/>
      <name val="Calibri"/>
      <family val="2"/>
      <charset val="162"/>
      <scheme val="minor"/>
    </font>
    <font>
      <b/>
      <sz val="18"/>
      <name val="Calibri"/>
      <family val="2"/>
      <charset val="162"/>
      <scheme val="minor"/>
    </font>
    <font>
      <b/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36"/>
      <name val="Calibri"/>
      <family val="2"/>
      <charset val="162"/>
      <scheme val="minor"/>
    </font>
    <font>
      <b/>
      <sz val="1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5">
    <xf numFmtId="0" fontId="0" fillId="0" borderId="0"/>
    <xf numFmtId="0" fontId="10" fillId="0" borderId="0"/>
    <xf numFmtId="0" fontId="8" fillId="0" borderId="0"/>
    <xf numFmtId="43" fontId="7" fillId="0" borderId="0" applyFont="0" applyFill="0" applyBorder="0" applyAlignment="0" applyProtection="0"/>
    <xf numFmtId="0" fontId="9" fillId="0" borderId="0"/>
    <xf numFmtId="0" fontId="7" fillId="0" borderId="0"/>
    <xf numFmtId="0" fontId="6" fillId="0" borderId="0"/>
    <xf numFmtId="43" fontId="6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/>
    <xf numFmtId="43" fontId="12" fillId="0" borderId="0" applyFont="0" applyFill="0" applyBorder="0" applyAlignment="0" applyProtection="0"/>
    <xf numFmtId="0" fontId="13" fillId="0" borderId="0" applyNumberFormat="0" applyFon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 applyNumberFormat="0" applyFont="0" applyBorder="0" applyAlignment="0" applyProtection="0"/>
    <xf numFmtId="0" fontId="20" fillId="4" borderId="18" applyNumberFormat="0" applyAlignment="0" applyProtection="0">
      <alignment horizontal="left" vertical="center" indent="1"/>
    </xf>
    <xf numFmtId="165" fontId="21" fillId="0" borderId="19" applyNumberFormat="0" applyProtection="0">
      <alignment horizontal="right" vertical="center"/>
    </xf>
    <xf numFmtId="165" fontId="20" fillId="0" borderId="20" applyNumberFormat="0" applyProtection="0">
      <alignment horizontal="right" vertical="center"/>
    </xf>
    <xf numFmtId="0" fontId="22" fillId="5" borderId="20" applyNumberFormat="0" applyAlignment="0" applyProtection="0">
      <alignment horizontal="left" vertical="center" indent="1"/>
    </xf>
    <xf numFmtId="0" fontId="22" fillId="6" borderId="20" applyNumberFormat="0" applyAlignment="0" applyProtection="0">
      <alignment horizontal="left" vertical="center" indent="1"/>
    </xf>
    <xf numFmtId="165" fontId="21" fillId="7" borderId="19" applyNumberFormat="0" applyBorder="0" applyProtection="0">
      <alignment horizontal="right" vertical="center"/>
    </xf>
    <xf numFmtId="0" fontId="22" fillId="5" borderId="20" applyNumberFormat="0" applyAlignment="0" applyProtection="0">
      <alignment horizontal="left" vertical="center" indent="1"/>
    </xf>
    <xf numFmtId="165" fontId="20" fillId="6" borderId="20" applyNumberFormat="0" applyProtection="0">
      <alignment horizontal="right" vertical="center"/>
    </xf>
    <xf numFmtId="165" fontId="20" fillId="7" borderId="20" applyNumberFormat="0" applyBorder="0" applyProtection="0">
      <alignment horizontal="right" vertical="center"/>
    </xf>
    <xf numFmtId="165" fontId="23" fillId="8" borderId="21" applyNumberFormat="0" applyBorder="0" applyAlignment="0" applyProtection="0">
      <alignment horizontal="right" vertical="center" indent="1"/>
    </xf>
    <xf numFmtId="165" fontId="24" fillId="9" borderId="21" applyNumberFormat="0" applyBorder="0" applyAlignment="0" applyProtection="0">
      <alignment horizontal="right" vertical="center" indent="1"/>
    </xf>
    <xf numFmtId="165" fontId="24" fillId="10" borderId="21" applyNumberFormat="0" applyBorder="0" applyAlignment="0" applyProtection="0">
      <alignment horizontal="right" vertical="center" indent="1"/>
    </xf>
    <xf numFmtId="165" fontId="25" fillId="11" borderId="21" applyNumberFormat="0" applyBorder="0" applyAlignment="0" applyProtection="0">
      <alignment horizontal="right" vertical="center" indent="1"/>
    </xf>
    <xf numFmtId="165" fontId="25" fillId="12" borderId="21" applyNumberFormat="0" applyBorder="0" applyAlignment="0" applyProtection="0">
      <alignment horizontal="right" vertical="center" indent="1"/>
    </xf>
    <xf numFmtId="165" fontId="25" fillId="13" borderId="21" applyNumberFormat="0" applyBorder="0" applyAlignment="0" applyProtection="0">
      <alignment horizontal="right" vertical="center" indent="1"/>
    </xf>
    <xf numFmtId="165" fontId="26" fillId="14" borderId="21" applyNumberFormat="0" applyBorder="0" applyAlignment="0" applyProtection="0">
      <alignment horizontal="right" vertical="center" indent="1"/>
    </xf>
    <xf numFmtId="165" fontId="26" fillId="15" borderId="21" applyNumberFormat="0" applyBorder="0" applyAlignment="0" applyProtection="0">
      <alignment horizontal="right" vertical="center" indent="1"/>
    </xf>
    <xf numFmtId="165" fontId="26" fillId="16" borderId="21" applyNumberFormat="0" applyBorder="0" applyAlignment="0" applyProtection="0">
      <alignment horizontal="right" vertical="center" indent="1"/>
    </xf>
    <xf numFmtId="0" fontId="27" fillId="0" borderId="18" applyNumberFormat="0" applyFont="0" applyFill="0" applyAlignment="0" applyProtection="0"/>
    <xf numFmtId="165" fontId="21" fillId="17" borderId="18" applyNumberFormat="0" applyAlignment="0" applyProtection="0">
      <alignment horizontal="left" vertical="center" indent="1"/>
    </xf>
    <xf numFmtId="0" fontId="20" fillId="4" borderId="20" applyNumberFormat="0" applyAlignment="0" applyProtection="0">
      <alignment horizontal="left" vertical="center" indent="1"/>
    </xf>
    <xf numFmtId="0" fontId="22" fillId="18" borderId="18" applyNumberFormat="0" applyAlignment="0" applyProtection="0">
      <alignment horizontal="left" vertical="center" indent="1"/>
    </xf>
    <xf numFmtId="0" fontId="22" fillId="19" borderId="18" applyNumberFormat="0" applyAlignment="0" applyProtection="0">
      <alignment horizontal="left" vertical="center" indent="1"/>
    </xf>
    <xf numFmtId="0" fontId="22" fillId="20" borderId="18" applyNumberFormat="0" applyAlignment="0" applyProtection="0">
      <alignment horizontal="left" vertical="center" indent="1"/>
    </xf>
    <xf numFmtId="0" fontId="22" fillId="7" borderId="18" applyNumberFormat="0" applyAlignment="0" applyProtection="0">
      <alignment horizontal="left" vertical="center" indent="1"/>
    </xf>
    <xf numFmtId="0" fontId="22" fillId="6" borderId="20" applyNumberFormat="0" applyAlignment="0" applyProtection="0">
      <alignment horizontal="left" vertical="center" indent="1"/>
    </xf>
    <xf numFmtId="0" fontId="28" fillId="0" borderId="22" applyNumberFormat="0" applyFill="0" applyBorder="0" applyAlignment="0" applyProtection="0"/>
    <xf numFmtId="0" fontId="29" fillId="0" borderId="22" applyNumberFormat="0" applyBorder="0" applyAlignment="0" applyProtection="0"/>
    <xf numFmtId="0" fontId="28" fillId="5" borderId="20" applyNumberFormat="0" applyAlignment="0" applyProtection="0">
      <alignment horizontal="left" vertical="center" indent="1"/>
    </xf>
    <xf numFmtId="0" fontId="28" fillId="5" borderId="20" applyNumberFormat="0" applyAlignment="0" applyProtection="0">
      <alignment horizontal="left" vertical="center" indent="1"/>
    </xf>
    <xf numFmtId="0" fontId="28" fillId="6" borderId="20" applyNumberFormat="0" applyAlignment="0" applyProtection="0">
      <alignment horizontal="left" vertical="center" indent="1"/>
    </xf>
    <xf numFmtId="165" fontId="30" fillId="6" borderId="20" applyNumberFormat="0" applyProtection="0">
      <alignment horizontal="right" vertical="center"/>
    </xf>
    <xf numFmtId="165" fontId="31" fillId="7" borderId="19" applyNumberFormat="0" applyBorder="0" applyProtection="0">
      <alignment horizontal="right" vertical="center"/>
    </xf>
    <xf numFmtId="165" fontId="30" fillId="7" borderId="20" applyNumberFormat="0" applyBorder="0" applyProtection="0">
      <alignment horizontal="right" vertical="center"/>
    </xf>
    <xf numFmtId="165" fontId="21" fillId="0" borderId="19" applyNumberFormat="0" applyFill="0" applyBorder="0" applyAlignment="0" applyProtection="0">
      <alignment horizontal="right" vertical="center"/>
    </xf>
    <xf numFmtId="165" fontId="21" fillId="0" borderId="19" applyNumberFormat="0" applyFill="0" applyBorder="0" applyAlignment="0" applyProtection="0">
      <alignment horizontal="right"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6" fillId="0" borderId="0" applyFont="0" applyFill="0" applyBorder="0" applyAlignment="0" applyProtection="0"/>
    <xf numFmtId="43" fontId="40" fillId="0" borderId="0" applyFont="0" applyFill="0" applyBorder="0" applyAlignment="0" applyProtection="0"/>
  </cellStyleXfs>
  <cellXfs count="172">
    <xf numFmtId="0" fontId="0" fillId="0" borderId="0" xfId="0"/>
    <xf numFmtId="0" fontId="15" fillId="0" borderId="0" xfId="1" applyFont="1"/>
    <xf numFmtId="0" fontId="15" fillId="0" borderId="0" xfId="0" applyFont="1"/>
    <xf numFmtId="3" fontId="14" fillId="2" borderId="0" xfId="4" applyNumberFormat="1" applyFont="1" applyFill="1" applyAlignment="1">
      <alignment horizontal="center" vertical="center"/>
    </xf>
    <xf numFmtId="2" fontId="15" fillId="0" borderId="0" xfId="0" applyNumberFormat="1" applyFont="1"/>
    <xf numFmtId="0" fontId="15" fillId="0" borderId="0" xfId="4" applyFont="1"/>
    <xf numFmtId="2" fontId="15" fillId="0" borderId="0" xfId="4" applyNumberFormat="1" applyFont="1" applyAlignment="1">
      <alignment horizontal="center"/>
    </xf>
    <xf numFmtId="1" fontId="15" fillId="0" borderId="0" xfId="0" applyNumberFormat="1" applyFont="1"/>
    <xf numFmtId="1" fontId="15" fillId="0" borderId="0" xfId="0" applyNumberFormat="1" applyFont="1" applyAlignment="1">
      <alignment horizontal="center"/>
    </xf>
    <xf numFmtId="0" fontId="14" fillId="2" borderId="17" xfId="0" applyFont="1" applyFill="1" applyBorder="1"/>
    <xf numFmtId="0" fontId="14" fillId="2" borderId="14" xfId="0" applyFont="1" applyFill="1" applyBorder="1"/>
    <xf numFmtId="0" fontId="14" fillId="2" borderId="1" xfId="4" applyFont="1" applyFill="1" applyBorder="1" applyAlignment="1">
      <alignment horizontal="left"/>
    </xf>
    <xf numFmtId="0" fontId="14" fillId="2" borderId="26" xfId="4" applyFont="1" applyFill="1" applyBorder="1" applyAlignment="1">
      <alignment horizontal="center"/>
    </xf>
    <xf numFmtId="2" fontId="34" fillId="2" borderId="28" xfId="4" applyNumberFormat="1" applyFont="1" applyFill="1" applyBorder="1" applyAlignment="1">
      <alignment horizontal="center"/>
    </xf>
    <xf numFmtId="0" fontId="14" fillId="2" borderId="5" xfId="4" applyFont="1" applyFill="1" applyBorder="1" applyAlignment="1">
      <alignment horizontal="left"/>
    </xf>
    <xf numFmtId="0" fontId="14" fillId="2" borderId="5" xfId="0" applyFont="1" applyFill="1" applyBorder="1" applyAlignment="1">
      <alignment horizontal="center"/>
    </xf>
    <xf numFmtId="164" fontId="34" fillId="2" borderId="27" xfId="17" applyNumberFormat="1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 vertical="center"/>
    </xf>
    <xf numFmtId="1" fontId="32" fillId="2" borderId="6" xfId="17" applyNumberFormat="1" applyFont="1" applyFill="1" applyBorder="1" applyAlignment="1" applyProtection="1">
      <alignment horizontal="center"/>
      <protection locked="0"/>
    </xf>
    <xf numFmtId="1" fontId="15" fillId="0" borderId="0" xfId="4" applyNumberFormat="1" applyFont="1" applyAlignment="1">
      <alignment horizontal="center"/>
    </xf>
    <xf numFmtId="1" fontId="15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0" applyNumberFormat="1"/>
    <xf numFmtId="0" fontId="37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vertical="center" wrapText="1"/>
    </xf>
    <xf numFmtId="0" fontId="38" fillId="2" borderId="29" xfId="0" applyFont="1" applyFill="1" applyBorder="1" applyAlignment="1">
      <alignment horizontal="center" vertical="center" wrapText="1"/>
    </xf>
    <xf numFmtId="2" fontId="38" fillId="2" borderId="29" xfId="0" applyNumberFormat="1" applyFont="1" applyFill="1" applyBorder="1" applyAlignment="1">
      <alignment horizontal="center" vertical="center" wrapText="1"/>
    </xf>
    <xf numFmtId="43" fontId="38" fillId="2" borderId="29" xfId="17" applyFont="1" applyFill="1" applyBorder="1" applyAlignment="1">
      <alignment horizontal="center" vertical="center" wrapText="1"/>
    </xf>
    <xf numFmtId="9" fontId="38" fillId="2" borderId="1" xfId="113" applyFont="1" applyFill="1" applyBorder="1" applyAlignment="1">
      <alignment horizontal="center" vertical="center" wrapText="1"/>
    </xf>
    <xf numFmtId="43" fontId="38" fillId="2" borderId="1" xfId="17" applyFont="1" applyFill="1" applyBorder="1" applyAlignment="1">
      <alignment vertical="center" wrapText="1"/>
    </xf>
    <xf numFmtId="43" fontId="38" fillId="2" borderId="29" xfId="17" applyFont="1" applyFill="1" applyBorder="1" applyAlignment="1">
      <alignment vertical="center" wrapText="1"/>
    </xf>
    <xf numFmtId="167" fontId="38" fillId="2" borderId="1" xfId="113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left" vertical="center"/>
    </xf>
    <xf numFmtId="1" fontId="0" fillId="2" borderId="1" xfId="17" applyNumberFormat="1" applyFont="1" applyFill="1" applyBorder="1" applyAlignment="1">
      <alignment horizontal="center" vertical="center"/>
    </xf>
    <xf numFmtId="1" fontId="39" fillId="2" borderId="1" xfId="0" applyNumberFormat="1" applyFont="1" applyFill="1" applyBorder="1" applyAlignment="1">
      <alignment horizontal="center" vertical="center"/>
    </xf>
    <xf numFmtId="1" fontId="39" fillId="2" borderId="1" xfId="114" applyNumberFormat="1" applyFont="1" applyFill="1" applyBorder="1" applyAlignment="1">
      <alignment horizontal="center" vertical="center"/>
    </xf>
    <xf numFmtId="2" fontId="39" fillId="2" borderId="1" xfId="114" applyNumberFormat="1" applyFont="1" applyFill="1" applyBorder="1" applyAlignment="1">
      <alignment horizontal="center" vertical="center"/>
    </xf>
    <xf numFmtId="9" fontId="39" fillId="2" borderId="1" xfId="113" applyFont="1" applyFill="1" applyBorder="1" applyAlignment="1">
      <alignment horizontal="center" vertical="center"/>
    </xf>
    <xf numFmtId="168" fontId="39" fillId="2" borderId="1" xfId="114" applyNumberFormat="1" applyFont="1" applyFill="1" applyBorder="1" applyAlignment="1">
      <alignment horizontal="center" vertical="center"/>
    </xf>
    <xf numFmtId="167" fontId="39" fillId="2" borderId="1" xfId="113" applyNumberFormat="1" applyFont="1" applyFill="1" applyBorder="1" applyAlignment="1">
      <alignment horizontal="center" vertical="center"/>
    </xf>
    <xf numFmtId="169" fontId="0" fillId="0" borderId="0" xfId="0" applyNumberFormat="1"/>
    <xf numFmtId="0" fontId="39" fillId="2" borderId="0" xfId="0" applyFont="1" applyFill="1" applyAlignment="1">
      <alignment horizontal="left" vertical="center"/>
    </xf>
    <xf numFmtId="0" fontId="39" fillId="2" borderId="0" xfId="0" applyFont="1" applyFill="1" applyAlignment="1">
      <alignment horizontal="center" vertical="center"/>
    </xf>
    <xf numFmtId="1" fontId="0" fillId="2" borderId="0" xfId="17" applyNumberFormat="1" applyFont="1" applyFill="1" applyBorder="1" applyAlignment="1">
      <alignment horizontal="center"/>
    </xf>
    <xf numFmtId="1" fontId="39" fillId="2" borderId="0" xfId="0" applyNumberFormat="1" applyFont="1" applyFill="1" applyAlignment="1">
      <alignment horizontal="center" vertical="center"/>
    </xf>
    <xf numFmtId="1" fontId="39" fillId="2" borderId="0" xfId="114" applyNumberFormat="1" applyFont="1" applyFill="1" applyBorder="1" applyAlignment="1">
      <alignment horizontal="center" vertical="center"/>
    </xf>
    <xf numFmtId="2" fontId="39" fillId="2" borderId="0" xfId="114" applyNumberFormat="1" applyFont="1" applyFill="1" applyBorder="1" applyAlignment="1">
      <alignment horizontal="center" vertical="center"/>
    </xf>
    <xf numFmtId="9" fontId="39" fillId="2" borderId="0" xfId="113" applyFont="1" applyFill="1" applyBorder="1" applyAlignment="1">
      <alignment horizontal="center" vertical="center"/>
    </xf>
    <xf numFmtId="168" fontId="39" fillId="2" borderId="0" xfId="114" applyNumberFormat="1" applyFont="1" applyFill="1" applyBorder="1" applyAlignment="1">
      <alignment horizontal="center" vertical="center"/>
    </xf>
    <xf numFmtId="167" fontId="39" fillId="2" borderId="0" xfId="113" applyNumberFormat="1" applyFont="1" applyFill="1" applyBorder="1" applyAlignment="1">
      <alignment horizontal="center" vertical="center"/>
    </xf>
    <xf numFmtId="1" fontId="0" fillId="2" borderId="1" xfId="17" applyNumberFormat="1" applyFont="1" applyFill="1" applyBorder="1" applyAlignment="1">
      <alignment horizontal="center"/>
    </xf>
    <xf numFmtId="1" fontId="39" fillId="2" borderId="1" xfId="17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113" applyFont="1" applyBorder="1" applyAlignment="1">
      <alignment horizontal="center"/>
    </xf>
    <xf numFmtId="168" fontId="0" fillId="0" borderId="0" xfId="0" applyNumberFormat="1" applyAlignment="1">
      <alignment horizontal="center"/>
    </xf>
    <xf numFmtId="167" fontId="0" fillId="0" borderId="0" xfId="113" applyNumberFormat="1" applyFont="1" applyBorder="1" applyAlignment="1">
      <alignment horizontal="center"/>
    </xf>
    <xf numFmtId="0" fontId="39" fillId="22" borderId="1" xfId="0" applyFont="1" applyFill="1" applyBorder="1" applyAlignment="1">
      <alignment horizontal="center" vertical="center"/>
    </xf>
    <xf numFmtId="0" fontId="35" fillId="22" borderId="1" xfId="0" applyFont="1" applyFill="1" applyBorder="1" applyAlignment="1">
      <alignment vertical="center"/>
    </xf>
    <xf numFmtId="0" fontId="35" fillId="22" borderId="1" xfId="0" applyFont="1" applyFill="1" applyBorder="1" applyAlignment="1">
      <alignment horizontal="center" vertical="center"/>
    </xf>
    <xf numFmtId="1" fontId="39" fillId="22" borderId="1" xfId="0" applyNumberFormat="1" applyFont="1" applyFill="1" applyBorder="1" applyAlignment="1">
      <alignment horizontal="center" vertical="center"/>
    </xf>
    <xf numFmtId="1" fontId="39" fillId="22" borderId="1" xfId="114" applyNumberFormat="1" applyFont="1" applyFill="1" applyBorder="1" applyAlignment="1">
      <alignment horizontal="center" vertical="center"/>
    </xf>
    <xf numFmtId="2" fontId="39" fillId="22" borderId="1" xfId="114" applyNumberFormat="1" applyFont="1" applyFill="1" applyBorder="1" applyAlignment="1">
      <alignment horizontal="center" vertical="center"/>
    </xf>
    <xf numFmtId="9" fontId="39" fillId="22" borderId="1" xfId="113" applyFont="1" applyFill="1" applyBorder="1" applyAlignment="1">
      <alignment horizontal="center" vertical="center"/>
    </xf>
    <xf numFmtId="168" fontId="39" fillId="22" borderId="1" xfId="114" applyNumberFormat="1" applyFont="1" applyFill="1" applyBorder="1" applyAlignment="1">
      <alignment horizontal="center" vertical="center"/>
    </xf>
    <xf numFmtId="167" fontId="39" fillId="22" borderId="1" xfId="113" applyNumberFormat="1" applyFont="1" applyFill="1" applyBorder="1" applyAlignment="1">
      <alignment horizontal="center" vertical="center"/>
    </xf>
    <xf numFmtId="0" fontId="0" fillId="22" borderId="0" xfId="0" applyFill="1"/>
    <xf numFmtId="0" fontId="39" fillId="22" borderId="1" xfId="0" applyFont="1" applyFill="1" applyBorder="1" applyAlignment="1">
      <alignment horizontal="left" vertical="center"/>
    </xf>
    <xf numFmtId="0" fontId="17" fillId="2" borderId="12" xfId="4" applyFont="1" applyFill="1" applyBorder="1" applyAlignment="1">
      <alignment horizontal="center" vertical="center"/>
    </xf>
    <xf numFmtId="0" fontId="17" fillId="2" borderId="9" xfId="4" applyFont="1" applyFill="1" applyBorder="1" applyAlignment="1">
      <alignment horizontal="left" vertical="center"/>
    </xf>
    <xf numFmtId="0" fontId="17" fillId="21" borderId="9" xfId="4" applyFont="1" applyFill="1" applyBorder="1" applyAlignment="1">
      <alignment horizontal="center" vertical="center"/>
    </xf>
    <xf numFmtId="0" fontId="17" fillId="21" borderId="9" xfId="4" applyFont="1" applyFill="1" applyBorder="1" applyAlignment="1">
      <alignment horizontal="center" vertical="center" wrapText="1"/>
    </xf>
    <xf numFmtId="164" fontId="17" fillId="21" borderId="13" xfId="17" applyNumberFormat="1" applyFont="1" applyFill="1" applyBorder="1" applyAlignment="1" applyProtection="1">
      <alignment horizontal="center" vertical="center" wrapText="1"/>
    </xf>
    <xf numFmtId="0" fontId="15" fillId="0" borderId="33" xfId="0" applyFont="1" applyBorder="1"/>
    <xf numFmtId="1" fontId="17" fillId="21" borderId="34" xfId="4" applyNumberFormat="1" applyFont="1" applyFill="1" applyBorder="1" applyAlignment="1">
      <alignment horizontal="center" vertical="center"/>
    </xf>
    <xf numFmtId="0" fontId="14" fillId="2" borderId="35" xfId="4" applyFont="1" applyFill="1" applyBorder="1" applyAlignment="1">
      <alignment horizontal="left"/>
    </xf>
    <xf numFmtId="0" fontId="14" fillId="2" borderId="35" xfId="4" applyFont="1" applyFill="1" applyBorder="1" applyAlignment="1">
      <alignment horizontal="center"/>
    </xf>
    <xf numFmtId="0" fontId="14" fillId="2" borderId="33" xfId="0" applyFont="1" applyFill="1" applyBorder="1"/>
    <xf numFmtId="164" fontId="34" fillId="2" borderId="37" xfId="17" applyNumberFormat="1" applyFont="1" applyFill="1" applyBorder="1" applyAlignment="1">
      <alignment horizontal="center"/>
    </xf>
    <xf numFmtId="0" fontId="14" fillId="2" borderId="0" xfId="0" applyFont="1" applyFill="1"/>
    <xf numFmtId="0" fontId="14" fillId="2" borderId="38" xfId="4" applyFont="1" applyFill="1" applyBorder="1" applyAlignment="1">
      <alignment horizontal="center"/>
    </xf>
    <xf numFmtId="0" fontId="14" fillId="2" borderId="39" xfId="0" applyFont="1" applyFill="1" applyBorder="1"/>
    <xf numFmtId="0" fontId="0" fillId="2" borderId="0" xfId="0" applyFill="1"/>
    <xf numFmtId="2" fontId="17" fillId="21" borderId="40" xfId="4" applyNumberFormat="1" applyFont="1" applyFill="1" applyBorder="1" applyAlignment="1">
      <alignment horizontal="center" vertical="center"/>
    </xf>
    <xf numFmtId="2" fontId="14" fillId="2" borderId="41" xfId="0" applyNumberFormat="1" applyFont="1" applyFill="1" applyBorder="1" applyAlignment="1">
      <alignment horizontal="center"/>
    </xf>
    <xf numFmtId="2" fontId="14" fillId="2" borderId="42" xfId="0" applyNumberFormat="1" applyFont="1" applyFill="1" applyBorder="1" applyAlignment="1">
      <alignment horizontal="center"/>
    </xf>
    <xf numFmtId="2" fontId="34" fillId="2" borderId="43" xfId="4" applyNumberFormat="1" applyFont="1" applyFill="1" applyBorder="1" applyAlignment="1">
      <alignment horizontal="center"/>
    </xf>
    <xf numFmtId="0" fontId="15" fillId="0" borderId="34" xfId="0" applyFont="1" applyBorder="1"/>
    <xf numFmtId="0" fontId="15" fillId="0" borderId="44" xfId="0" applyFont="1" applyBorder="1"/>
    <xf numFmtId="0" fontId="15" fillId="0" borderId="45" xfId="0" applyFont="1" applyBorder="1"/>
    <xf numFmtId="0" fontId="15" fillId="0" borderId="27" xfId="0" applyFont="1" applyBorder="1"/>
    <xf numFmtId="0" fontId="15" fillId="0" borderId="46" xfId="0" applyFont="1" applyBorder="1"/>
    <xf numFmtId="0" fontId="0" fillId="2" borderId="1" xfId="0" applyFill="1" applyBorder="1"/>
    <xf numFmtId="1" fontId="14" fillId="2" borderId="3" xfId="17" applyNumberFormat="1" applyFont="1" applyFill="1" applyBorder="1" applyAlignment="1" applyProtection="1">
      <alignment horizontal="center"/>
      <protection locked="0"/>
    </xf>
    <xf numFmtId="1" fontId="0" fillId="2" borderId="1" xfId="12" applyNumberFormat="1" applyFont="1" applyFill="1" applyBorder="1" applyAlignment="1">
      <alignment horizontal="center" vertical="center"/>
    </xf>
    <xf numFmtId="1" fontId="0" fillId="2" borderId="1" xfId="12" applyNumberFormat="1" applyFont="1" applyFill="1" applyBorder="1" applyAlignment="1">
      <alignment horizontal="center"/>
    </xf>
    <xf numFmtId="1" fontId="39" fillId="2" borderId="1" xfId="12" applyNumberFormat="1" applyFont="1" applyFill="1" applyBorder="1" applyAlignment="1">
      <alignment horizontal="center" vertical="center"/>
    </xf>
    <xf numFmtId="170" fontId="39" fillId="2" borderId="1" xfId="114" applyNumberFormat="1" applyFont="1" applyFill="1" applyBorder="1" applyAlignment="1">
      <alignment horizontal="center" vertical="center"/>
    </xf>
    <xf numFmtId="2" fontId="14" fillId="2" borderId="26" xfId="4" applyNumberFormat="1" applyFont="1" applyFill="1" applyBorder="1" applyAlignment="1">
      <alignment horizontal="center"/>
    </xf>
    <xf numFmtId="1" fontId="14" fillId="2" borderId="36" xfId="17" applyNumberFormat="1" applyFont="1" applyFill="1" applyBorder="1" applyAlignment="1" applyProtection="1">
      <alignment horizontal="center"/>
      <protection locked="0"/>
    </xf>
    <xf numFmtId="1" fontId="0" fillId="0" borderId="0" xfId="0" applyNumberFormat="1"/>
    <xf numFmtId="2" fontId="14" fillId="2" borderId="35" xfId="4" applyNumberFormat="1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 vertical="center"/>
    </xf>
    <xf numFmtId="0" fontId="42" fillId="0" borderId="0" xfId="0" applyFont="1"/>
    <xf numFmtId="0" fontId="38" fillId="2" borderId="5" xfId="0" applyFont="1" applyFill="1" applyBorder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38" fillId="22" borderId="1" xfId="0" applyFont="1" applyFill="1" applyBorder="1" applyAlignment="1">
      <alignment horizontal="center" vertical="center"/>
    </xf>
    <xf numFmtId="0" fontId="14" fillId="2" borderId="41" xfId="0" applyFont="1" applyFill="1" applyBorder="1" applyAlignment="1">
      <alignment horizontal="center"/>
    </xf>
    <xf numFmtId="0" fontId="14" fillId="2" borderId="31" xfId="0" applyFont="1" applyFill="1" applyBorder="1" applyAlignment="1">
      <alignment horizontal="center"/>
    </xf>
    <xf numFmtId="0" fontId="14" fillId="2" borderId="37" xfId="0" applyFont="1" applyFill="1" applyBorder="1" applyAlignment="1">
      <alignment horizontal="center"/>
    </xf>
    <xf numFmtId="0" fontId="14" fillId="2" borderId="27" xfId="0" applyFont="1" applyFill="1" applyBorder="1" applyAlignment="1">
      <alignment horizontal="center"/>
    </xf>
    <xf numFmtId="164" fontId="15" fillId="0" borderId="0" xfId="1" applyNumberFormat="1" applyFont="1"/>
    <xf numFmtId="0" fontId="15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1" fontId="38" fillId="2" borderId="1" xfId="0" applyNumberFormat="1" applyFont="1" applyFill="1" applyBorder="1" applyAlignment="1">
      <alignment horizontal="center" vertical="center"/>
    </xf>
    <xf numFmtId="1" fontId="42" fillId="0" borderId="0" xfId="0" applyNumberFormat="1" applyFont="1"/>
    <xf numFmtId="0" fontId="38" fillId="2" borderId="35" xfId="0" applyFont="1" applyFill="1" applyBorder="1" applyAlignment="1">
      <alignment vertical="center"/>
    </xf>
    <xf numFmtId="10" fontId="39" fillId="2" borderId="1" xfId="113" applyNumberFormat="1" applyFont="1" applyFill="1" applyBorder="1" applyAlignment="1">
      <alignment horizontal="center" vertical="center"/>
    </xf>
    <xf numFmtId="1" fontId="33" fillId="3" borderId="37" xfId="0" applyNumberFormat="1" applyFont="1" applyFill="1" applyBorder="1" applyAlignment="1">
      <alignment horizontal="center" vertical="center"/>
    </xf>
    <xf numFmtId="1" fontId="33" fillId="3" borderId="27" xfId="0" applyNumberFormat="1" applyFont="1" applyFill="1" applyBorder="1" applyAlignment="1">
      <alignment horizontal="center" vertical="center"/>
    </xf>
    <xf numFmtId="164" fontId="33" fillId="3" borderId="37" xfId="17" applyNumberFormat="1" applyFont="1" applyFill="1" applyBorder="1" applyAlignment="1">
      <alignment horizontal="center" vertical="center"/>
    </xf>
    <xf numFmtId="164" fontId="33" fillId="3" borderId="27" xfId="17" applyNumberFormat="1" applyFont="1" applyFill="1" applyBorder="1" applyAlignment="1">
      <alignment horizontal="center" vertical="center"/>
    </xf>
    <xf numFmtId="43" fontId="33" fillId="3" borderId="27" xfId="17" applyFont="1" applyFill="1" applyBorder="1" applyAlignment="1">
      <alignment horizontal="center" vertical="center"/>
    </xf>
    <xf numFmtId="0" fontId="42" fillId="0" borderId="0" xfId="0" applyFont="1" applyAlignment="1">
      <alignment horizontal="center"/>
    </xf>
    <xf numFmtId="168" fontId="42" fillId="0" borderId="0" xfId="0" applyNumberFormat="1" applyFont="1" applyAlignment="1">
      <alignment horizontal="center"/>
    </xf>
    <xf numFmtId="9" fontId="33" fillId="3" borderId="1" xfId="113" applyFont="1" applyFill="1" applyBorder="1" applyAlignment="1">
      <alignment horizontal="center" vertical="center"/>
    </xf>
    <xf numFmtId="164" fontId="33" fillId="3" borderId="1" xfId="17" applyNumberFormat="1" applyFont="1" applyFill="1" applyBorder="1" applyAlignment="1">
      <alignment horizontal="center" vertical="center"/>
    </xf>
    <xf numFmtId="1" fontId="14" fillId="2" borderId="42" xfId="0" applyNumberFormat="1" applyFont="1" applyFill="1" applyBorder="1" applyAlignment="1">
      <alignment horizontal="center"/>
    </xf>
    <xf numFmtId="0" fontId="37" fillId="2" borderId="17" xfId="0" applyFont="1" applyFill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38" fillId="2" borderId="29" xfId="0" applyFont="1" applyFill="1" applyBorder="1" applyAlignment="1">
      <alignment horizontal="center" vertical="center"/>
    </xf>
    <xf numFmtId="0" fontId="38" fillId="2" borderId="32" xfId="0" applyFont="1" applyFill="1" applyBorder="1" applyAlignment="1">
      <alignment horizontal="center" vertical="center"/>
    </xf>
    <xf numFmtId="0" fontId="38" fillId="2" borderId="29" xfId="0" applyFont="1" applyFill="1" applyBorder="1" applyAlignment="1">
      <alignment horizontal="left" vertical="center"/>
    </xf>
    <xf numFmtId="0" fontId="38" fillId="2" borderId="32" xfId="0" applyFont="1" applyFill="1" applyBorder="1" applyAlignment="1">
      <alignment horizontal="left" vertical="center"/>
    </xf>
    <xf numFmtId="0" fontId="38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43" fontId="38" fillId="2" borderId="30" xfId="17" applyFont="1" applyFill="1" applyBorder="1" applyAlignment="1">
      <alignment horizontal="center" vertical="center" wrapText="1"/>
    </xf>
    <xf numFmtId="43" fontId="38" fillId="2" borderId="31" xfId="17" applyFont="1" applyFill="1" applyBorder="1" applyAlignment="1">
      <alignment horizontal="center" vertical="center" wrapText="1"/>
    </xf>
    <xf numFmtId="10" fontId="38" fillId="2" borderId="1" xfId="17" applyNumberFormat="1" applyFont="1" applyFill="1" applyBorder="1" applyAlignment="1">
      <alignment horizontal="center" vertical="center" wrapText="1"/>
    </xf>
    <xf numFmtId="43" fontId="38" fillId="2" borderId="1" xfId="17" applyFont="1" applyFill="1" applyBorder="1" applyAlignment="1">
      <alignment horizontal="center" vertical="center"/>
    </xf>
    <xf numFmtId="43" fontId="38" fillId="2" borderId="30" xfId="17" applyFont="1" applyFill="1" applyBorder="1" applyAlignment="1">
      <alignment horizontal="center" vertical="center"/>
    </xf>
    <xf numFmtId="43" fontId="38" fillId="2" borderId="31" xfId="17" applyFont="1" applyFill="1" applyBorder="1" applyAlignment="1">
      <alignment horizontal="center" vertical="center"/>
    </xf>
    <xf numFmtId="0" fontId="38" fillId="2" borderId="9" xfId="0" applyFont="1" applyFill="1" applyBorder="1" applyAlignment="1">
      <alignment horizontal="center" vertical="center"/>
    </xf>
    <xf numFmtId="0" fontId="38" fillId="2" borderId="38" xfId="0" applyFont="1" applyFill="1" applyBorder="1" applyAlignment="1">
      <alignment horizontal="center" vertical="center"/>
    </xf>
    <xf numFmtId="3" fontId="41" fillId="0" borderId="8" xfId="4" applyNumberFormat="1" applyFont="1" applyBorder="1" applyAlignment="1">
      <alignment horizontal="center" vertical="center"/>
    </xf>
    <xf numFmtId="3" fontId="41" fillId="0" borderId="7" xfId="4" applyNumberFormat="1" applyFont="1" applyBorder="1" applyAlignment="1">
      <alignment horizontal="center" vertical="center"/>
    </xf>
    <xf numFmtId="3" fontId="41" fillId="0" borderId="16" xfId="4" applyNumberFormat="1" applyFont="1" applyBorder="1" applyAlignment="1">
      <alignment horizontal="center" vertical="center"/>
    </xf>
    <xf numFmtId="3" fontId="16" fillId="2" borderId="10" xfId="4" applyNumberFormat="1" applyFont="1" applyFill="1" applyBorder="1" applyAlignment="1">
      <alignment horizontal="center" vertical="center" textRotation="45"/>
    </xf>
    <xf numFmtId="3" fontId="16" fillId="2" borderId="11" xfId="4" applyNumberFormat="1" applyFont="1" applyFill="1" applyBorder="1" applyAlignment="1">
      <alignment horizontal="center" vertical="center" textRotation="45"/>
    </xf>
    <xf numFmtId="3" fontId="16" fillId="2" borderId="15" xfId="4" applyNumberFormat="1" applyFont="1" applyFill="1" applyBorder="1" applyAlignment="1">
      <alignment horizontal="center" vertical="center" textRotation="45"/>
    </xf>
    <xf numFmtId="0" fontId="19" fillId="2" borderId="12" xfId="4" applyFont="1" applyFill="1" applyBorder="1" applyAlignment="1" applyProtection="1">
      <alignment horizontal="center" vertical="center"/>
      <protection locked="0"/>
    </xf>
    <xf numFmtId="0" fontId="19" fillId="2" borderId="47" xfId="4" applyFont="1" applyFill="1" applyBorder="1" applyAlignment="1" applyProtection="1">
      <alignment horizontal="center" vertical="center"/>
      <protection locked="0"/>
    </xf>
    <xf numFmtId="0" fontId="19" fillId="2" borderId="9" xfId="4" applyFont="1" applyFill="1" applyBorder="1" applyAlignment="1" applyProtection="1">
      <alignment horizontal="center" vertical="center"/>
      <protection locked="0"/>
    </xf>
    <xf numFmtId="0" fontId="19" fillId="2" borderId="13" xfId="4" applyFont="1" applyFill="1" applyBorder="1" applyAlignment="1" applyProtection="1">
      <alignment horizontal="center" vertical="center"/>
      <protection locked="0"/>
    </xf>
    <xf numFmtId="166" fontId="19" fillId="2" borderId="2" xfId="4" applyNumberFormat="1" applyFont="1" applyFill="1" applyBorder="1" applyAlignment="1" applyProtection="1">
      <alignment horizontal="center" vertical="center"/>
      <protection locked="0"/>
    </xf>
    <xf numFmtId="166" fontId="19" fillId="2" borderId="31" xfId="4" applyNumberFormat="1" applyFont="1" applyFill="1" applyBorder="1" applyAlignment="1" applyProtection="1">
      <alignment horizontal="center" vertical="center"/>
      <protection locked="0"/>
    </xf>
    <xf numFmtId="166" fontId="19" fillId="2" borderId="1" xfId="4" applyNumberFormat="1" applyFont="1" applyFill="1" applyBorder="1" applyAlignment="1" applyProtection="1">
      <alignment horizontal="center" vertical="center"/>
      <protection locked="0"/>
    </xf>
    <xf numFmtId="166" fontId="19" fillId="2" borderId="3" xfId="4" applyNumberFormat="1" applyFont="1" applyFill="1" applyBorder="1" applyAlignment="1" applyProtection="1">
      <alignment horizontal="center" vertical="center"/>
      <protection locked="0"/>
    </xf>
    <xf numFmtId="0" fontId="19" fillId="2" borderId="4" xfId="4" quotePrefix="1" applyFont="1" applyFill="1" applyBorder="1" applyAlignment="1" applyProtection="1">
      <alignment horizontal="center" vertical="center"/>
      <protection locked="0"/>
    </xf>
    <xf numFmtId="0" fontId="19" fillId="2" borderId="48" xfId="4" quotePrefix="1" applyFont="1" applyFill="1" applyBorder="1" applyAlignment="1" applyProtection="1">
      <alignment horizontal="center" vertical="center"/>
      <protection locked="0"/>
    </xf>
    <xf numFmtId="0" fontId="19" fillId="2" borderId="5" xfId="4" applyFont="1" applyFill="1" applyBorder="1" applyAlignment="1" applyProtection="1">
      <alignment horizontal="center" vertical="center"/>
      <protection locked="0"/>
    </xf>
    <xf numFmtId="0" fontId="19" fillId="2" borderId="6" xfId="4" applyFont="1" applyFill="1" applyBorder="1" applyAlignment="1" applyProtection="1">
      <alignment horizontal="center" vertical="center"/>
      <protection locked="0"/>
    </xf>
    <xf numFmtId="3" fontId="18" fillId="3" borderId="24" xfId="4" applyNumberFormat="1" applyFont="1" applyFill="1" applyBorder="1" applyAlignment="1">
      <alignment horizontal="center" vertical="center"/>
    </xf>
    <xf numFmtId="3" fontId="18" fillId="3" borderId="49" xfId="4" applyNumberFormat="1" applyFont="1" applyFill="1" applyBorder="1" applyAlignment="1">
      <alignment horizontal="center" vertical="center"/>
    </xf>
    <xf numFmtId="3" fontId="18" fillId="3" borderId="23" xfId="4" applyNumberFormat="1" applyFont="1" applyFill="1" applyBorder="1" applyAlignment="1">
      <alignment horizontal="center" vertical="center"/>
    </xf>
    <xf numFmtId="3" fontId="18" fillId="3" borderId="50" xfId="4" applyNumberFormat="1" applyFont="1" applyFill="1" applyBorder="1" applyAlignment="1">
      <alignment horizontal="center" vertical="center"/>
    </xf>
    <xf numFmtId="3" fontId="18" fillId="3" borderId="25" xfId="4" applyNumberFormat="1" applyFont="1" applyFill="1" applyBorder="1" applyAlignment="1">
      <alignment horizontal="center" vertical="center"/>
    </xf>
    <xf numFmtId="3" fontId="18" fillId="3" borderId="43" xfId="4" applyNumberFormat="1" applyFont="1" applyFill="1" applyBorder="1" applyAlignment="1">
      <alignment horizontal="center" vertical="center"/>
    </xf>
  </cellXfs>
  <cellStyles count="115">
    <cellStyle name="Comma" xfId="17" builtinId="3"/>
    <cellStyle name="Comma 2" xfId="3" xr:uid="{00000000-0005-0000-0000-000001000000}"/>
    <cellStyle name="Comma 2 10" xfId="114" xr:uid="{00000000-0005-0000-0000-000002000000}"/>
    <cellStyle name="Comma 2 2" xfId="20" xr:uid="{00000000-0005-0000-0000-000003000000}"/>
    <cellStyle name="Comma 2 2 2" xfId="81" xr:uid="{00000000-0005-0000-0000-000004000000}"/>
    <cellStyle name="Comma 2 2 3" xfId="103" xr:uid="{00000000-0005-0000-0000-000005000000}"/>
    <cellStyle name="Comma 2 3" xfId="68" xr:uid="{00000000-0005-0000-0000-000006000000}"/>
    <cellStyle name="Comma 2 4" xfId="92" xr:uid="{00000000-0005-0000-0000-000007000000}"/>
    <cellStyle name="Comma 3" xfId="7" xr:uid="{00000000-0005-0000-0000-000008000000}"/>
    <cellStyle name="Comma 3 2" xfId="23" xr:uid="{00000000-0005-0000-0000-000009000000}"/>
    <cellStyle name="Comma 3 2 2" xfId="84" xr:uid="{00000000-0005-0000-0000-00000A000000}"/>
    <cellStyle name="Comma 3 2 3" xfId="106" xr:uid="{00000000-0005-0000-0000-00000B000000}"/>
    <cellStyle name="Comma 3 3" xfId="71" xr:uid="{00000000-0005-0000-0000-00000C000000}"/>
    <cellStyle name="Comma 3 4" xfId="95" xr:uid="{00000000-0005-0000-0000-00000D000000}"/>
    <cellStyle name="Comma 4" xfId="12" xr:uid="{00000000-0005-0000-0000-00000E000000}"/>
    <cellStyle name="Comma 4 2" xfId="75" xr:uid="{00000000-0005-0000-0000-00000F000000}"/>
    <cellStyle name="Comma 5" xfId="79" xr:uid="{00000000-0005-0000-0000-000010000000}"/>
    <cellStyle name="Hyperlink 2" xfId="8" xr:uid="{00000000-0005-0000-0000-000012000000}"/>
    <cellStyle name="Legal 8½ x 14 in" xfId="1" xr:uid="{00000000-0005-0000-0000-000013000000}"/>
    <cellStyle name="Legal 8½ x 14 in 2" xfId="4" xr:uid="{00000000-0005-0000-0000-000014000000}"/>
    <cellStyle name="Normal" xfId="0" builtinId="0"/>
    <cellStyle name="Normal 2" xfId="2" xr:uid="{00000000-0005-0000-0000-000016000000}"/>
    <cellStyle name="Normal 2 2" xfId="5" xr:uid="{00000000-0005-0000-0000-000017000000}"/>
    <cellStyle name="Normal 2 2 2" xfId="10" xr:uid="{00000000-0005-0000-0000-000018000000}"/>
    <cellStyle name="Normal 2 2 2 2" xfId="25" xr:uid="{00000000-0005-0000-0000-000019000000}"/>
    <cellStyle name="Normal 2 2 2 2 2" xfId="86" xr:uid="{00000000-0005-0000-0000-00001A000000}"/>
    <cellStyle name="Normal 2 2 2 2 3" xfId="108" xr:uid="{00000000-0005-0000-0000-00001B000000}"/>
    <cellStyle name="Normal 2 2 2 3" xfId="73" xr:uid="{00000000-0005-0000-0000-00001C000000}"/>
    <cellStyle name="Normal 2 2 2 4" xfId="97" xr:uid="{00000000-0005-0000-0000-00001D000000}"/>
    <cellStyle name="Normal 2 2 3" xfId="14" xr:uid="{00000000-0005-0000-0000-00001E000000}"/>
    <cellStyle name="Normal 2 2 3 2" xfId="28" xr:uid="{00000000-0005-0000-0000-00001F000000}"/>
    <cellStyle name="Normal 2 2 3 2 2" xfId="89" xr:uid="{00000000-0005-0000-0000-000020000000}"/>
    <cellStyle name="Normal 2 2 3 2 3" xfId="111" xr:uid="{00000000-0005-0000-0000-000021000000}"/>
    <cellStyle name="Normal 2 2 3 3" xfId="77" xr:uid="{00000000-0005-0000-0000-000022000000}"/>
    <cellStyle name="Normal 2 2 3 4" xfId="100" xr:uid="{00000000-0005-0000-0000-000023000000}"/>
    <cellStyle name="Normal 2 2 4" xfId="21" xr:uid="{00000000-0005-0000-0000-000024000000}"/>
    <cellStyle name="Normal 2 2 4 2" xfId="82" xr:uid="{00000000-0005-0000-0000-000025000000}"/>
    <cellStyle name="Normal 2 2 4 3" xfId="104" xr:uid="{00000000-0005-0000-0000-000026000000}"/>
    <cellStyle name="Normal 2 2 5" xfId="69" xr:uid="{00000000-0005-0000-0000-000027000000}"/>
    <cellStyle name="Normal 2 2 6" xfId="93" xr:uid="{00000000-0005-0000-0000-000028000000}"/>
    <cellStyle name="Normal 2 3" xfId="9" xr:uid="{00000000-0005-0000-0000-000029000000}"/>
    <cellStyle name="Normal 2 3 2" xfId="24" xr:uid="{00000000-0005-0000-0000-00002A000000}"/>
    <cellStyle name="Normal 2 3 2 2" xfId="85" xr:uid="{00000000-0005-0000-0000-00002B000000}"/>
    <cellStyle name="Normal 2 3 2 3" xfId="107" xr:uid="{00000000-0005-0000-0000-00002C000000}"/>
    <cellStyle name="Normal 2 3 3" xfId="72" xr:uid="{00000000-0005-0000-0000-00002D000000}"/>
    <cellStyle name="Normal 2 3 4" xfId="96" xr:uid="{00000000-0005-0000-0000-00002E000000}"/>
    <cellStyle name="Normal 2 4" xfId="13" xr:uid="{00000000-0005-0000-0000-00002F000000}"/>
    <cellStyle name="Normal 2 4 2" xfId="27" xr:uid="{00000000-0005-0000-0000-000030000000}"/>
    <cellStyle name="Normal 2 4 2 2" xfId="88" xr:uid="{00000000-0005-0000-0000-000031000000}"/>
    <cellStyle name="Normal 2 4 2 3" xfId="110" xr:uid="{00000000-0005-0000-0000-000032000000}"/>
    <cellStyle name="Normal 2 4 3" xfId="76" xr:uid="{00000000-0005-0000-0000-000033000000}"/>
    <cellStyle name="Normal 2 4 4" xfId="99" xr:uid="{00000000-0005-0000-0000-000034000000}"/>
    <cellStyle name="Normal 2 5" xfId="19" xr:uid="{00000000-0005-0000-0000-000035000000}"/>
    <cellStyle name="Normal 2 5 2" xfId="80" xr:uid="{00000000-0005-0000-0000-000036000000}"/>
    <cellStyle name="Normal 2 5 3" xfId="102" xr:uid="{00000000-0005-0000-0000-000037000000}"/>
    <cellStyle name="Normal 2 6" xfId="67" xr:uid="{00000000-0005-0000-0000-000038000000}"/>
    <cellStyle name="Normal 2 7" xfId="91" xr:uid="{00000000-0005-0000-0000-000039000000}"/>
    <cellStyle name="Normal 3" xfId="6" xr:uid="{00000000-0005-0000-0000-00003A000000}"/>
    <cellStyle name="Normal 3 2" xfId="11" xr:uid="{00000000-0005-0000-0000-00003B000000}"/>
    <cellStyle name="Normal 3 2 2" xfId="26" xr:uid="{00000000-0005-0000-0000-00003C000000}"/>
    <cellStyle name="Normal 3 2 2 2" xfId="87" xr:uid="{00000000-0005-0000-0000-00003D000000}"/>
    <cellStyle name="Normal 3 2 2 3" xfId="109" xr:uid="{00000000-0005-0000-0000-00003E000000}"/>
    <cellStyle name="Normal 3 2 3" xfId="74" xr:uid="{00000000-0005-0000-0000-00003F000000}"/>
    <cellStyle name="Normal 3 2 4" xfId="98" xr:uid="{00000000-0005-0000-0000-000040000000}"/>
    <cellStyle name="Normal 3 3" xfId="15" xr:uid="{00000000-0005-0000-0000-000041000000}"/>
    <cellStyle name="Normal 3 3 2" xfId="29" xr:uid="{00000000-0005-0000-0000-000042000000}"/>
    <cellStyle name="Normal 3 3 2 2" xfId="90" xr:uid="{00000000-0005-0000-0000-000043000000}"/>
    <cellStyle name="Normal 3 3 2 3" xfId="112" xr:uid="{00000000-0005-0000-0000-000044000000}"/>
    <cellStyle name="Normal 3 3 3" xfId="78" xr:uid="{00000000-0005-0000-0000-000045000000}"/>
    <cellStyle name="Normal 3 3 4" xfId="101" xr:uid="{00000000-0005-0000-0000-000046000000}"/>
    <cellStyle name="Normal 3 4" xfId="22" xr:uid="{00000000-0005-0000-0000-000047000000}"/>
    <cellStyle name="Normal 3 4 2" xfId="83" xr:uid="{00000000-0005-0000-0000-000048000000}"/>
    <cellStyle name="Normal 3 4 3" xfId="105" xr:uid="{00000000-0005-0000-0000-000049000000}"/>
    <cellStyle name="Normal 3 5" xfId="70" xr:uid="{00000000-0005-0000-0000-00004A000000}"/>
    <cellStyle name="Normal 3 6" xfId="94" xr:uid="{00000000-0005-0000-0000-00004B000000}"/>
    <cellStyle name="Normal 4" xfId="16" xr:uid="{00000000-0005-0000-0000-00004C000000}"/>
    <cellStyle name="Percent" xfId="113" builtinId="5"/>
    <cellStyle name="SAPBorder" xfId="49" xr:uid="{00000000-0005-0000-0000-00004E000000}"/>
    <cellStyle name="SAPDataCell" xfId="32" xr:uid="{00000000-0005-0000-0000-00004F000000}"/>
    <cellStyle name="SAPDataTotalCell" xfId="33" xr:uid="{00000000-0005-0000-0000-000050000000}"/>
    <cellStyle name="SAPDimensionCell" xfId="31" xr:uid="{00000000-0005-0000-0000-000051000000}"/>
    <cellStyle name="SAPEditableDataCell" xfId="34" xr:uid="{00000000-0005-0000-0000-000052000000}"/>
    <cellStyle name="SAPEditableDataTotalCell" xfId="37" xr:uid="{00000000-0005-0000-0000-000053000000}"/>
    <cellStyle name="SAPEmphasized" xfId="57" xr:uid="{00000000-0005-0000-0000-000054000000}"/>
    <cellStyle name="SAPEmphasizedEditableDataCell" xfId="59" xr:uid="{00000000-0005-0000-0000-000055000000}"/>
    <cellStyle name="SAPEmphasizedEditableDataTotalCell" xfId="60" xr:uid="{00000000-0005-0000-0000-000056000000}"/>
    <cellStyle name="SAPEmphasizedLockedDataCell" xfId="63" xr:uid="{00000000-0005-0000-0000-000057000000}"/>
    <cellStyle name="SAPEmphasizedLockedDataTotalCell" xfId="64" xr:uid="{00000000-0005-0000-0000-000058000000}"/>
    <cellStyle name="SAPEmphasizedReadonlyDataCell" xfId="61" xr:uid="{00000000-0005-0000-0000-000059000000}"/>
    <cellStyle name="SAPEmphasizedReadonlyDataTotalCell" xfId="62" xr:uid="{00000000-0005-0000-0000-00005A000000}"/>
    <cellStyle name="SAPEmphasizedTotal" xfId="58" xr:uid="{00000000-0005-0000-0000-00005B000000}"/>
    <cellStyle name="SAPExceptionLevel1" xfId="40" xr:uid="{00000000-0005-0000-0000-00005C000000}"/>
    <cellStyle name="SAPExceptionLevel2" xfId="41" xr:uid="{00000000-0005-0000-0000-00005D000000}"/>
    <cellStyle name="SAPExceptionLevel3" xfId="42" xr:uid="{00000000-0005-0000-0000-00005E000000}"/>
    <cellStyle name="SAPExceptionLevel4" xfId="43" xr:uid="{00000000-0005-0000-0000-00005F000000}"/>
    <cellStyle name="SAPExceptionLevel5" xfId="44" xr:uid="{00000000-0005-0000-0000-000060000000}"/>
    <cellStyle name="SAPExceptionLevel6" xfId="45" xr:uid="{00000000-0005-0000-0000-000061000000}"/>
    <cellStyle name="SAPExceptionLevel7" xfId="46" xr:uid="{00000000-0005-0000-0000-000062000000}"/>
    <cellStyle name="SAPExceptionLevel8" xfId="47" xr:uid="{00000000-0005-0000-0000-000063000000}"/>
    <cellStyle name="SAPExceptionLevel9" xfId="48" xr:uid="{00000000-0005-0000-0000-000064000000}"/>
    <cellStyle name="SAPFormula" xfId="66" xr:uid="{00000000-0005-0000-0000-000065000000}"/>
    <cellStyle name="SAPHierarchyCell0" xfId="52" xr:uid="{00000000-0005-0000-0000-000066000000}"/>
    <cellStyle name="SAPHierarchyCell1" xfId="53" xr:uid="{00000000-0005-0000-0000-000067000000}"/>
    <cellStyle name="SAPHierarchyCell2" xfId="54" xr:uid="{00000000-0005-0000-0000-000068000000}"/>
    <cellStyle name="SAPHierarchyCell3" xfId="55" xr:uid="{00000000-0005-0000-0000-000069000000}"/>
    <cellStyle name="SAPHierarchyCell4" xfId="56" xr:uid="{00000000-0005-0000-0000-00006A000000}"/>
    <cellStyle name="SAPLockedDataCell" xfId="36" xr:uid="{00000000-0005-0000-0000-00006B000000}"/>
    <cellStyle name="SAPLockedDataTotalCell" xfId="39" xr:uid="{00000000-0005-0000-0000-00006C000000}"/>
    <cellStyle name="SAPMemberCell" xfId="50" xr:uid="{00000000-0005-0000-0000-00006D000000}"/>
    <cellStyle name="SAPMemberTotalCell" xfId="51" xr:uid="{00000000-0005-0000-0000-00006E000000}"/>
    <cellStyle name="SAPMessageText" xfId="65" xr:uid="{00000000-0005-0000-0000-00006F000000}"/>
    <cellStyle name="SAPReadonlyDataCell" xfId="35" xr:uid="{00000000-0005-0000-0000-000070000000}"/>
    <cellStyle name="SAPReadonlyDataTotalCell" xfId="38" xr:uid="{00000000-0005-0000-0000-000071000000}"/>
    <cellStyle name="Yellow" xfId="18" xr:uid="{00000000-0005-0000-0000-000072000000}"/>
    <cellStyle name="Yellow 2" xfId="30" xr:uid="{00000000-0005-0000-0000-000073000000}"/>
  </cellStyles>
  <dxfs count="25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71"/>
  <sheetViews>
    <sheetView topLeftCell="A2" workbookViewId="0">
      <selection activeCell="S12" sqref="S12"/>
    </sheetView>
  </sheetViews>
  <sheetFormatPr defaultColWidth="9.1796875" defaultRowHeight="13" x14ac:dyDescent="0.3"/>
  <cols>
    <col min="1" max="1" width="2.81640625" bestFit="1" customWidth="1"/>
    <col min="2" max="2" width="5.1796875" style="107" bestFit="1" customWidth="1"/>
    <col min="3" max="4" width="4.81640625" style="107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21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9.179687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">
      <c r="V2" s="22">
        <v>0.18</v>
      </c>
    </row>
    <row r="3" spans="1:29" ht="15" thickBot="1" x14ac:dyDescent="0.4">
      <c r="A3" s="132"/>
      <c r="B3" s="132"/>
      <c r="C3" s="132"/>
      <c r="D3" s="132"/>
      <c r="E3" s="132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</row>
    <row r="4" spans="1:29" ht="14.5" x14ac:dyDescent="0.25">
      <c r="A4" s="134" t="s">
        <v>7</v>
      </c>
      <c r="B4" s="120" t="s">
        <v>29</v>
      </c>
      <c r="C4" s="120"/>
      <c r="D4" s="146" t="s">
        <v>42</v>
      </c>
      <c r="E4" s="136" t="s">
        <v>8</v>
      </c>
      <c r="F4" s="138" t="s">
        <v>9</v>
      </c>
      <c r="G4" s="138"/>
      <c r="H4" s="139" t="s">
        <v>10</v>
      </c>
      <c r="I4" s="139"/>
      <c r="J4" s="140" t="s">
        <v>11</v>
      </c>
      <c r="K4" s="141"/>
      <c r="L4" s="140" t="s">
        <v>12</v>
      </c>
      <c r="M4" s="141"/>
      <c r="N4" s="142" t="s">
        <v>13</v>
      </c>
      <c r="O4" s="142"/>
      <c r="P4" s="140" t="s">
        <v>14</v>
      </c>
      <c r="Q4" s="141"/>
      <c r="R4" s="140" t="s">
        <v>41</v>
      </c>
      <c r="S4" s="141"/>
      <c r="T4" s="143" t="s">
        <v>15</v>
      </c>
      <c r="U4" s="143"/>
      <c r="V4" s="144" t="s">
        <v>16</v>
      </c>
      <c r="W4" s="145"/>
      <c r="X4" s="144" t="s">
        <v>17</v>
      </c>
      <c r="Y4" s="145"/>
    </row>
    <row r="5" spans="1:29" ht="26.25" customHeight="1" thickBot="1" x14ac:dyDescent="0.3">
      <c r="A5" s="135"/>
      <c r="B5" s="108" t="s">
        <v>30</v>
      </c>
      <c r="C5" s="108" t="s">
        <v>42</v>
      </c>
      <c r="D5" s="147"/>
      <c r="E5" s="137"/>
      <c r="F5" s="23" t="s">
        <v>18</v>
      </c>
      <c r="G5" s="24" t="s">
        <v>19</v>
      </c>
      <c r="H5" s="25" t="s">
        <v>20</v>
      </c>
      <c r="I5" s="26" t="s">
        <v>21</v>
      </c>
      <c r="J5" s="27" t="s">
        <v>20</v>
      </c>
      <c r="K5" s="27" t="s">
        <v>22</v>
      </c>
      <c r="L5" s="27" t="s">
        <v>20</v>
      </c>
      <c r="M5" s="27" t="s">
        <v>22</v>
      </c>
      <c r="N5" s="28">
        <v>0.19</v>
      </c>
      <c r="O5" s="29" t="s">
        <v>23</v>
      </c>
      <c r="P5" s="28">
        <v>0.04</v>
      </c>
      <c r="Q5" s="30" t="s">
        <v>23</v>
      </c>
      <c r="R5" s="31">
        <v>5.0000000000000001E-3</v>
      </c>
      <c r="S5" s="30" t="s">
        <v>23</v>
      </c>
      <c r="T5" s="27" t="s">
        <v>20</v>
      </c>
      <c r="U5" s="27" t="s">
        <v>22</v>
      </c>
      <c r="V5" s="27" t="s">
        <v>20</v>
      </c>
      <c r="W5" s="27" t="s">
        <v>22</v>
      </c>
      <c r="X5" s="27" t="s">
        <v>20</v>
      </c>
      <c r="Y5" s="27" t="s">
        <v>22</v>
      </c>
      <c r="AA5" s="27" t="s">
        <v>56</v>
      </c>
    </row>
    <row r="6" spans="1:29" ht="14.5" x14ac:dyDescent="0.25">
      <c r="A6" s="32">
        <v>1</v>
      </c>
      <c r="B6" s="106"/>
      <c r="C6" s="106" t="s">
        <v>43</v>
      </c>
      <c r="D6" s="106" t="s">
        <v>45</v>
      </c>
      <c r="E6" s="33" t="s">
        <v>34</v>
      </c>
      <c r="F6" s="34">
        <v>70</v>
      </c>
      <c r="G6" s="35">
        <v>40</v>
      </c>
      <c r="H6" s="35">
        <f>I6*G6</f>
        <v>2600</v>
      </c>
      <c r="I6" s="35">
        <v>65</v>
      </c>
      <c r="J6" s="36">
        <f>K6*G6</f>
        <v>2560.17</v>
      </c>
      <c r="K6" s="36">
        <f>M6*1.22</f>
        <v>64.004249999999999</v>
      </c>
      <c r="L6" s="37">
        <v>2098.5</v>
      </c>
      <c r="M6" s="37">
        <f>L6/G6</f>
        <v>52.462499999999999</v>
      </c>
      <c r="N6" s="121">
        <v>0.19</v>
      </c>
      <c r="O6" s="39">
        <f>N6*M6</f>
        <v>9.9678749999999994</v>
      </c>
      <c r="P6" s="38"/>
      <c r="Q6" s="39">
        <f>P6*M6</f>
        <v>0</v>
      </c>
      <c r="R6" s="40"/>
      <c r="S6" s="39">
        <f>R6*M6</f>
        <v>0</v>
      </c>
      <c r="T6" s="37">
        <f>U6*G6</f>
        <v>1699.7849999999999</v>
      </c>
      <c r="U6" s="37">
        <f>M6-O6-Q6-S6</f>
        <v>42.494624999999999</v>
      </c>
      <c r="V6" s="37">
        <f>T6*$V$2</f>
        <v>305.96129999999994</v>
      </c>
      <c r="W6" s="37">
        <f>U6*$V$2</f>
        <v>7.6490324999999997</v>
      </c>
      <c r="X6" s="37">
        <f t="shared" ref="X6:X12" si="0">T6+V6</f>
        <v>2005.7462999999998</v>
      </c>
      <c r="Y6" s="37">
        <f t="shared" ref="Y6:Y12" si="1">U6+W6</f>
        <v>50.143657499999996</v>
      </c>
      <c r="AA6" s="37">
        <f t="shared" ref="AA6:AA14" si="2">(F6*G6)/1000</f>
        <v>2.8</v>
      </c>
      <c r="AC6" s="41"/>
    </row>
    <row r="7" spans="1:29" ht="14.5" x14ac:dyDescent="0.25">
      <c r="A7" s="32">
        <f>+A6+1</f>
        <v>2</v>
      </c>
      <c r="B7" s="106"/>
      <c r="C7" s="106" t="s">
        <v>44</v>
      </c>
      <c r="D7" s="106" t="s">
        <v>44</v>
      </c>
      <c r="E7" s="33" t="s">
        <v>35</v>
      </c>
      <c r="F7" s="34">
        <v>70</v>
      </c>
      <c r="G7" s="35">
        <v>40</v>
      </c>
      <c r="H7" s="35">
        <f t="shared" ref="H7:H12" si="3">I7*G7</f>
        <v>2600</v>
      </c>
      <c r="I7" s="35">
        <v>65</v>
      </c>
      <c r="J7" s="36">
        <f t="shared" ref="J7:J12" si="4">K7*G7</f>
        <v>2560.17</v>
      </c>
      <c r="K7" s="36">
        <f>M7*1.22</f>
        <v>64.004249999999999</v>
      </c>
      <c r="L7" s="37">
        <v>2098.5</v>
      </c>
      <c r="M7" s="37">
        <f t="shared" ref="M7:M14" si="5">L7/G7</f>
        <v>52.462499999999999</v>
      </c>
      <c r="N7" s="121">
        <f>+N6</f>
        <v>0.19</v>
      </c>
      <c r="O7" s="39">
        <f t="shared" ref="O7:O12" si="6">N7*M7</f>
        <v>9.9678749999999994</v>
      </c>
      <c r="P7" s="38"/>
      <c r="Q7" s="39">
        <f t="shared" ref="Q7:Q12" si="7">P7*M7</f>
        <v>0</v>
      </c>
      <c r="R7" s="40"/>
      <c r="S7" s="39">
        <f t="shared" ref="S7:S12" si="8">R7*M7</f>
        <v>0</v>
      </c>
      <c r="T7" s="37">
        <f t="shared" ref="T7:T12" si="9">U7*G7</f>
        <v>1699.7849999999999</v>
      </c>
      <c r="U7" s="37">
        <f t="shared" ref="U7:U12" si="10">M7-O7-Q7-S7</f>
        <v>42.494624999999999</v>
      </c>
      <c r="V7" s="37">
        <f t="shared" ref="V7:V12" si="11">T7*$V$2</f>
        <v>305.96129999999994</v>
      </c>
      <c r="W7" s="37">
        <f t="shared" ref="W7:W12" si="12">U7*$V$2</f>
        <v>7.6490324999999997</v>
      </c>
      <c r="X7" s="37">
        <f t="shared" si="0"/>
        <v>2005.7462999999998</v>
      </c>
      <c r="Y7" s="37">
        <f t="shared" si="1"/>
        <v>50.143657499999996</v>
      </c>
      <c r="AA7" s="37">
        <f t="shared" si="2"/>
        <v>2.8</v>
      </c>
    </row>
    <row r="8" spans="1:29" ht="14.5" x14ac:dyDescent="0.25">
      <c r="A8" s="32">
        <f t="shared" ref="A8:A52" si="13">+A7+1</f>
        <v>3</v>
      </c>
      <c r="B8" s="106"/>
      <c r="C8" s="106" t="s">
        <v>45</v>
      </c>
      <c r="D8" s="106" t="s">
        <v>43</v>
      </c>
      <c r="E8" s="33" t="s">
        <v>36</v>
      </c>
      <c r="F8" s="34">
        <v>70</v>
      </c>
      <c r="G8" s="35">
        <v>40</v>
      </c>
      <c r="H8" s="35">
        <f t="shared" si="3"/>
        <v>2600</v>
      </c>
      <c r="I8" s="35">
        <v>65</v>
      </c>
      <c r="J8" s="36">
        <f t="shared" si="4"/>
        <v>2560.17</v>
      </c>
      <c r="K8" s="36">
        <f t="shared" ref="K8" si="14">M8*1.22</f>
        <v>64.004249999999999</v>
      </c>
      <c r="L8" s="37">
        <v>2098.5</v>
      </c>
      <c r="M8" s="37">
        <f t="shared" si="5"/>
        <v>52.462499999999999</v>
      </c>
      <c r="N8" s="121">
        <f t="shared" ref="N8:N14" si="15">+N7</f>
        <v>0.19</v>
      </c>
      <c r="O8" s="39">
        <f t="shared" si="6"/>
        <v>9.9678749999999994</v>
      </c>
      <c r="P8" s="38"/>
      <c r="Q8" s="39">
        <f t="shared" si="7"/>
        <v>0</v>
      </c>
      <c r="R8" s="40"/>
      <c r="S8" s="39">
        <f t="shared" si="8"/>
        <v>0</v>
      </c>
      <c r="T8" s="37">
        <f t="shared" si="9"/>
        <v>1699.7849999999999</v>
      </c>
      <c r="U8" s="37">
        <f t="shared" si="10"/>
        <v>42.494624999999999</v>
      </c>
      <c r="V8" s="37">
        <f t="shared" si="11"/>
        <v>305.96129999999994</v>
      </c>
      <c r="W8" s="37">
        <f t="shared" si="12"/>
        <v>7.6490324999999997</v>
      </c>
      <c r="X8" s="37">
        <f t="shared" si="0"/>
        <v>2005.7462999999998</v>
      </c>
      <c r="Y8" s="37">
        <f t="shared" si="1"/>
        <v>50.143657499999996</v>
      </c>
      <c r="AA8" s="37">
        <f t="shared" si="2"/>
        <v>2.8</v>
      </c>
    </row>
    <row r="9" spans="1:29" ht="14.5" x14ac:dyDescent="0.25">
      <c r="A9" s="32">
        <f t="shared" si="13"/>
        <v>4</v>
      </c>
      <c r="B9" s="106"/>
      <c r="C9" s="106" t="s">
        <v>46</v>
      </c>
      <c r="D9" s="106" t="s">
        <v>48</v>
      </c>
      <c r="E9" s="33" t="s">
        <v>37</v>
      </c>
      <c r="F9" s="34">
        <v>120</v>
      </c>
      <c r="G9" s="35">
        <v>40</v>
      </c>
      <c r="H9" s="35">
        <f t="shared" si="3"/>
        <v>3600</v>
      </c>
      <c r="I9" s="35">
        <v>90</v>
      </c>
      <c r="J9" s="36">
        <f t="shared" si="4"/>
        <v>3544.8320000000003</v>
      </c>
      <c r="K9" s="36">
        <f t="shared" ref="K9:K14" si="16">M9*1.22</f>
        <v>88.620800000000003</v>
      </c>
      <c r="L9" s="37">
        <v>2905.6</v>
      </c>
      <c r="M9" s="37">
        <f t="shared" si="5"/>
        <v>72.64</v>
      </c>
      <c r="N9" s="121">
        <f t="shared" si="15"/>
        <v>0.19</v>
      </c>
      <c r="O9" s="39">
        <f t="shared" si="6"/>
        <v>13.801600000000001</v>
      </c>
      <c r="P9" s="38"/>
      <c r="Q9" s="39">
        <f t="shared" si="7"/>
        <v>0</v>
      </c>
      <c r="R9" s="40"/>
      <c r="S9" s="39">
        <f t="shared" si="8"/>
        <v>0</v>
      </c>
      <c r="T9" s="37">
        <f t="shared" si="9"/>
        <v>2353.5360000000001</v>
      </c>
      <c r="U9" s="37">
        <f t="shared" si="10"/>
        <v>58.8384</v>
      </c>
      <c r="V9" s="37">
        <f t="shared" si="11"/>
        <v>423.63648000000001</v>
      </c>
      <c r="W9" s="37">
        <f t="shared" si="12"/>
        <v>10.590911999999999</v>
      </c>
      <c r="X9" s="37">
        <f t="shared" si="0"/>
        <v>2777.1724800000002</v>
      </c>
      <c r="Y9" s="37">
        <f t="shared" si="1"/>
        <v>69.429311999999996</v>
      </c>
      <c r="AA9" s="37">
        <f t="shared" si="2"/>
        <v>4.8</v>
      </c>
    </row>
    <row r="10" spans="1:29" ht="14.5" x14ac:dyDescent="0.25">
      <c r="A10" s="32">
        <f t="shared" si="13"/>
        <v>5</v>
      </c>
      <c r="B10" s="106"/>
      <c r="C10" s="106" t="s">
        <v>47</v>
      </c>
      <c r="D10" s="106" t="s">
        <v>47</v>
      </c>
      <c r="E10" s="33" t="s">
        <v>38</v>
      </c>
      <c r="F10" s="34">
        <v>120</v>
      </c>
      <c r="G10" s="35">
        <v>40</v>
      </c>
      <c r="H10" s="35">
        <f t="shared" si="3"/>
        <v>3600</v>
      </c>
      <c r="I10" s="35">
        <v>90</v>
      </c>
      <c r="J10" s="36">
        <f t="shared" si="4"/>
        <v>3544.8320000000003</v>
      </c>
      <c r="K10" s="36">
        <f t="shared" si="16"/>
        <v>88.620800000000003</v>
      </c>
      <c r="L10" s="37">
        <v>2905.6</v>
      </c>
      <c r="M10" s="37">
        <f t="shared" si="5"/>
        <v>72.64</v>
      </c>
      <c r="N10" s="121">
        <f t="shared" si="15"/>
        <v>0.19</v>
      </c>
      <c r="O10" s="39">
        <f t="shared" si="6"/>
        <v>13.801600000000001</v>
      </c>
      <c r="P10" s="38"/>
      <c r="Q10" s="39">
        <f t="shared" si="7"/>
        <v>0</v>
      </c>
      <c r="R10" s="40"/>
      <c r="S10" s="39">
        <f t="shared" si="8"/>
        <v>0</v>
      </c>
      <c r="T10" s="37">
        <f t="shared" si="9"/>
        <v>2353.5360000000001</v>
      </c>
      <c r="U10" s="37">
        <f t="shared" si="10"/>
        <v>58.8384</v>
      </c>
      <c r="V10" s="37">
        <f t="shared" si="11"/>
        <v>423.63648000000001</v>
      </c>
      <c r="W10" s="37">
        <f t="shared" si="12"/>
        <v>10.590911999999999</v>
      </c>
      <c r="X10" s="37">
        <f t="shared" si="0"/>
        <v>2777.1724800000002</v>
      </c>
      <c r="Y10" s="37">
        <f t="shared" si="1"/>
        <v>69.429311999999996</v>
      </c>
      <c r="AA10" s="37">
        <f t="shared" si="2"/>
        <v>4.8</v>
      </c>
    </row>
    <row r="11" spans="1:29" ht="14.5" x14ac:dyDescent="0.25">
      <c r="A11" s="32">
        <f t="shared" si="13"/>
        <v>6</v>
      </c>
      <c r="B11" s="106"/>
      <c r="C11" s="106" t="s">
        <v>48</v>
      </c>
      <c r="D11" s="106" t="s">
        <v>46</v>
      </c>
      <c r="E11" s="33" t="s">
        <v>39</v>
      </c>
      <c r="F11" s="34">
        <v>120</v>
      </c>
      <c r="G11" s="35">
        <v>40</v>
      </c>
      <c r="H11" s="35">
        <f t="shared" si="3"/>
        <v>3600</v>
      </c>
      <c r="I11" s="35">
        <v>90</v>
      </c>
      <c r="J11" s="36">
        <f t="shared" si="4"/>
        <v>3544.8320000000003</v>
      </c>
      <c r="K11" s="36">
        <f t="shared" si="16"/>
        <v>88.620800000000003</v>
      </c>
      <c r="L11" s="37">
        <v>2905.6</v>
      </c>
      <c r="M11" s="37">
        <f t="shared" si="5"/>
        <v>72.64</v>
      </c>
      <c r="N11" s="121">
        <f t="shared" si="15"/>
        <v>0.19</v>
      </c>
      <c r="O11" s="39">
        <f t="shared" si="6"/>
        <v>13.801600000000001</v>
      </c>
      <c r="P11" s="38"/>
      <c r="Q11" s="39">
        <f t="shared" si="7"/>
        <v>0</v>
      </c>
      <c r="R11" s="40"/>
      <c r="S11" s="39">
        <f t="shared" si="8"/>
        <v>0</v>
      </c>
      <c r="T11" s="37">
        <f t="shared" si="9"/>
        <v>2353.5360000000001</v>
      </c>
      <c r="U11" s="37">
        <f t="shared" si="10"/>
        <v>58.8384</v>
      </c>
      <c r="V11" s="37">
        <f t="shared" si="11"/>
        <v>423.63648000000001</v>
      </c>
      <c r="W11" s="37">
        <f t="shared" si="12"/>
        <v>10.590911999999999</v>
      </c>
      <c r="X11" s="37">
        <f t="shared" si="0"/>
        <v>2777.1724800000002</v>
      </c>
      <c r="Y11" s="37">
        <f t="shared" si="1"/>
        <v>69.429311999999996</v>
      </c>
      <c r="AA11" s="37">
        <f t="shared" si="2"/>
        <v>4.8</v>
      </c>
    </row>
    <row r="12" spans="1:29" ht="14.5" x14ac:dyDescent="0.25">
      <c r="A12" s="32">
        <f t="shared" si="13"/>
        <v>7</v>
      </c>
      <c r="B12" s="106"/>
      <c r="C12" s="106" t="s">
        <v>50</v>
      </c>
      <c r="D12" s="106" t="s">
        <v>50</v>
      </c>
      <c r="E12" s="33" t="s">
        <v>40</v>
      </c>
      <c r="F12" s="34">
        <v>60</v>
      </c>
      <c r="G12" s="35">
        <v>40</v>
      </c>
      <c r="H12" s="35">
        <f t="shared" si="3"/>
        <v>2000</v>
      </c>
      <c r="I12" s="36">
        <v>50</v>
      </c>
      <c r="J12" s="36">
        <f t="shared" si="4"/>
        <v>1914.4240000000002</v>
      </c>
      <c r="K12" s="36">
        <f t="shared" si="16"/>
        <v>47.860600000000005</v>
      </c>
      <c r="L12" s="37">
        <v>1569.2</v>
      </c>
      <c r="M12" s="37">
        <f t="shared" si="5"/>
        <v>39.230000000000004</v>
      </c>
      <c r="N12" s="121">
        <v>0.115</v>
      </c>
      <c r="O12" s="39">
        <f t="shared" si="6"/>
        <v>4.5114500000000008</v>
      </c>
      <c r="P12" s="38"/>
      <c r="Q12" s="39">
        <f t="shared" si="7"/>
        <v>0</v>
      </c>
      <c r="R12" s="40"/>
      <c r="S12" s="39">
        <f t="shared" si="8"/>
        <v>0</v>
      </c>
      <c r="T12" s="37">
        <f t="shared" si="9"/>
        <v>1388.742</v>
      </c>
      <c r="U12" s="37">
        <f t="shared" si="10"/>
        <v>34.71855</v>
      </c>
      <c r="V12" s="37">
        <f t="shared" si="11"/>
        <v>249.97355999999999</v>
      </c>
      <c r="W12" s="37">
        <f t="shared" si="12"/>
        <v>6.249339</v>
      </c>
      <c r="X12" s="37">
        <f t="shared" si="0"/>
        <v>1638.7155599999999</v>
      </c>
      <c r="Y12" s="37">
        <f t="shared" si="1"/>
        <v>40.967889</v>
      </c>
      <c r="AA12" s="37">
        <f t="shared" si="2"/>
        <v>2.4</v>
      </c>
    </row>
    <row r="13" spans="1:29" ht="14.5" x14ac:dyDescent="0.25">
      <c r="A13" s="32">
        <f t="shared" si="13"/>
        <v>8</v>
      </c>
      <c r="B13" s="106"/>
      <c r="C13" s="106" t="s">
        <v>51</v>
      </c>
      <c r="D13" s="106" t="s">
        <v>51</v>
      </c>
      <c r="E13" s="33" t="s">
        <v>49</v>
      </c>
      <c r="F13" s="34">
        <v>60</v>
      </c>
      <c r="G13" s="35">
        <v>40</v>
      </c>
      <c r="H13" s="35">
        <f t="shared" ref="H13" si="17">I13*G13</f>
        <v>2000</v>
      </c>
      <c r="I13" s="36">
        <v>50</v>
      </c>
      <c r="J13" s="36">
        <f t="shared" ref="J13" si="18">K13*G13</f>
        <v>1914.4240000000002</v>
      </c>
      <c r="K13" s="36">
        <f t="shared" si="16"/>
        <v>47.860600000000005</v>
      </c>
      <c r="L13" s="37">
        <v>1569.2</v>
      </c>
      <c r="M13" s="37">
        <f t="shared" si="5"/>
        <v>39.230000000000004</v>
      </c>
      <c r="N13" s="121">
        <f t="shared" si="15"/>
        <v>0.115</v>
      </c>
      <c r="O13" s="39">
        <f t="shared" ref="O13" si="19">N13*M13</f>
        <v>4.5114500000000008</v>
      </c>
      <c r="P13" s="38"/>
      <c r="Q13" s="39">
        <f t="shared" ref="Q13" si="20">P13*M13</f>
        <v>0</v>
      </c>
      <c r="R13" s="40"/>
      <c r="S13" s="39">
        <f t="shared" ref="S13" si="21">R13*M13</f>
        <v>0</v>
      </c>
      <c r="T13" s="37">
        <f t="shared" ref="T13" si="22">U13*G13</f>
        <v>1388.742</v>
      </c>
      <c r="U13" s="37">
        <f t="shared" ref="U13" si="23">M13-O13-Q13-S13</f>
        <v>34.71855</v>
      </c>
      <c r="V13" s="37">
        <f t="shared" ref="V13" si="24">T13*$V$2</f>
        <v>249.97355999999999</v>
      </c>
      <c r="W13" s="37">
        <f t="shared" ref="W13" si="25">U13*$V$2</f>
        <v>6.249339</v>
      </c>
      <c r="X13" s="37">
        <f t="shared" ref="X13" si="26">T13+V13</f>
        <v>1638.7155599999999</v>
      </c>
      <c r="Y13" s="37">
        <f t="shared" ref="Y13" si="27">U13+W13</f>
        <v>40.967889</v>
      </c>
      <c r="AA13" s="37">
        <f t="shared" si="2"/>
        <v>2.4</v>
      </c>
    </row>
    <row r="14" spans="1:29" ht="14.5" x14ac:dyDescent="0.25">
      <c r="A14" s="32">
        <f>+A13+1</f>
        <v>9</v>
      </c>
      <c r="B14" s="106"/>
      <c r="C14" s="106" t="s">
        <v>52</v>
      </c>
      <c r="D14" s="106" t="s">
        <v>52</v>
      </c>
      <c r="E14" s="33" t="s">
        <v>53</v>
      </c>
      <c r="F14" s="34">
        <v>60</v>
      </c>
      <c r="G14" s="35">
        <v>40</v>
      </c>
      <c r="H14" s="35">
        <f t="shared" ref="H14" si="28">I14*G14</f>
        <v>2000</v>
      </c>
      <c r="I14" s="36">
        <v>50</v>
      </c>
      <c r="J14" s="36">
        <f t="shared" ref="J14" si="29">K14*G14</f>
        <v>1914.4240000000002</v>
      </c>
      <c r="K14" s="36">
        <f t="shared" si="16"/>
        <v>47.860600000000005</v>
      </c>
      <c r="L14" s="37">
        <v>1569.2</v>
      </c>
      <c r="M14" s="37">
        <f t="shared" si="5"/>
        <v>39.230000000000004</v>
      </c>
      <c r="N14" s="121">
        <f t="shared" si="15"/>
        <v>0.115</v>
      </c>
      <c r="O14" s="39">
        <f t="shared" ref="O14" si="30">N14*M14</f>
        <v>4.5114500000000008</v>
      </c>
      <c r="P14" s="38"/>
      <c r="Q14" s="39">
        <f t="shared" ref="Q14" si="31">P14*M14</f>
        <v>0</v>
      </c>
      <c r="R14" s="40"/>
      <c r="S14" s="39">
        <f t="shared" ref="S14" si="32">R14*M14</f>
        <v>0</v>
      </c>
      <c r="T14" s="37">
        <f t="shared" ref="T14" si="33">U14*G14</f>
        <v>1388.742</v>
      </c>
      <c r="U14" s="37">
        <f t="shared" ref="U14" si="34">M14-O14-Q14-S14</f>
        <v>34.71855</v>
      </c>
      <c r="V14" s="37">
        <f t="shared" ref="V14" si="35">T14*$V$2</f>
        <v>249.97355999999999</v>
      </c>
      <c r="W14" s="37">
        <f t="shared" ref="W14" si="36">U14*$V$2</f>
        <v>6.249339</v>
      </c>
      <c r="X14" s="37">
        <f t="shared" ref="X14" si="37">T14+V14</f>
        <v>1638.7155599999999</v>
      </c>
      <c r="Y14" s="37">
        <f t="shared" ref="Y14" si="38">U14+W14</f>
        <v>40.967889</v>
      </c>
      <c r="AA14" s="37">
        <f t="shared" si="2"/>
        <v>2.4</v>
      </c>
    </row>
    <row r="15" spans="1:29" s="70" customFormat="1" ht="14.5" x14ac:dyDescent="0.25">
      <c r="A15" s="61">
        <f t="shared" ref="A15:A20" si="39">+A14+1</f>
        <v>10</v>
      </c>
      <c r="B15" s="110"/>
      <c r="C15" s="110"/>
      <c r="D15" s="110"/>
      <c r="E15" s="62"/>
      <c r="F15" s="63"/>
      <c r="G15" s="64"/>
      <c r="H15" s="64"/>
      <c r="I15" s="65"/>
      <c r="J15" s="65"/>
      <c r="K15" s="65"/>
      <c r="L15" s="65"/>
      <c r="M15" s="66"/>
      <c r="N15" s="67"/>
      <c r="O15" s="68"/>
      <c r="P15" s="67"/>
      <c r="Q15" s="68"/>
      <c r="R15" s="69"/>
      <c r="S15" s="68"/>
      <c r="T15" s="66"/>
      <c r="U15" s="66"/>
      <c r="V15" s="66"/>
      <c r="W15" s="66"/>
      <c r="X15" s="66"/>
      <c r="Y15" s="66"/>
      <c r="AA15" s="66"/>
    </row>
    <row r="16" spans="1:29" s="70" customFormat="1" ht="14.5" x14ac:dyDescent="0.25">
      <c r="A16" s="61">
        <f t="shared" si="39"/>
        <v>11</v>
      </c>
      <c r="B16" s="110"/>
      <c r="C16" s="110"/>
      <c r="D16" s="110"/>
      <c r="E16" s="62"/>
      <c r="F16" s="63"/>
      <c r="G16" s="64"/>
      <c r="H16" s="64"/>
      <c r="I16" s="65"/>
      <c r="J16" s="65"/>
      <c r="K16" s="65"/>
      <c r="L16" s="65"/>
      <c r="M16" s="66"/>
      <c r="N16" s="67"/>
      <c r="O16" s="68"/>
      <c r="P16" s="67"/>
      <c r="Q16" s="68"/>
      <c r="R16" s="69"/>
      <c r="S16" s="68"/>
      <c r="T16" s="66"/>
      <c r="U16" s="66"/>
      <c r="V16" s="66"/>
      <c r="W16" s="66"/>
      <c r="X16" s="66"/>
      <c r="Y16" s="66"/>
      <c r="AA16" s="66"/>
    </row>
    <row r="17" spans="1:27" s="70" customFormat="1" ht="14.5" x14ac:dyDescent="0.25">
      <c r="A17" s="61">
        <f t="shared" si="39"/>
        <v>12</v>
      </c>
      <c r="B17" s="110"/>
      <c r="C17" s="110"/>
      <c r="D17" s="110"/>
      <c r="E17" s="62"/>
      <c r="F17" s="63"/>
      <c r="G17" s="64"/>
      <c r="H17" s="64"/>
      <c r="I17" s="65"/>
      <c r="J17" s="65"/>
      <c r="K17" s="65"/>
      <c r="L17" s="65"/>
      <c r="M17" s="66"/>
      <c r="N17" s="67"/>
      <c r="O17" s="68"/>
      <c r="P17" s="67"/>
      <c r="Q17" s="68"/>
      <c r="R17" s="69"/>
      <c r="S17" s="68"/>
      <c r="T17" s="66"/>
      <c r="U17" s="66"/>
      <c r="V17" s="66"/>
      <c r="W17" s="66"/>
      <c r="X17" s="66"/>
      <c r="Y17" s="66"/>
      <c r="AA17" s="66"/>
    </row>
    <row r="18" spans="1:27" s="70" customFormat="1" ht="14.5" x14ac:dyDescent="0.25">
      <c r="A18" s="61">
        <f t="shared" si="39"/>
        <v>13</v>
      </c>
      <c r="B18" s="110"/>
      <c r="C18" s="110"/>
      <c r="D18" s="110"/>
      <c r="E18" s="62"/>
      <c r="F18" s="63"/>
      <c r="G18" s="64"/>
      <c r="H18" s="64"/>
      <c r="I18" s="65"/>
      <c r="J18" s="65"/>
      <c r="K18" s="65"/>
      <c r="L18" s="65"/>
      <c r="M18" s="66"/>
      <c r="N18" s="67"/>
      <c r="O18" s="68"/>
      <c r="P18" s="67"/>
      <c r="Q18" s="68"/>
      <c r="R18" s="69"/>
      <c r="S18" s="68"/>
      <c r="T18" s="66"/>
      <c r="U18" s="66"/>
      <c r="V18" s="66"/>
      <c r="W18" s="66"/>
      <c r="X18" s="66"/>
      <c r="Y18" s="66"/>
      <c r="AA18" s="66"/>
    </row>
    <row r="19" spans="1:27" s="70" customFormat="1" ht="14.5" x14ac:dyDescent="0.25">
      <c r="A19" s="61">
        <f t="shared" si="39"/>
        <v>14</v>
      </c>
      <c r="B19" s="110"/>
      <c r="C19" s="110"/>
      <c r="D19" s="110"/>
      <c r="E19" s="71"/>
      <c r="F19" s="63"/>
      <c r="G19" s="64"/>
      <c r="H19" s="64"/>
      <c r="I19" s="65"/>
      <c r="J19" s="65"/>
      <c r="K19" s="65"/>
      <c r="L19" s="65"/>
      <c r="M19" s="66"/>
      <c r="N19" s="67"/>
      <c r="O19" s="68"/>
      <c r="P19" s="67"/>
      <c r="Q19" s="68"/>
      <c r="R19" s="69"/>
      <c r="S19" s="68"/>
      <c r="T19" s="66"/>
      <c r="U19" s="66"/>
      <c r="V19" s="66"/>
      <c r="W19" s="66"/>
      <c r="X19" s="66"/>
      <c r="Y19" s="66"/>
      <c r="AA19" s="66"/>
    </row>
    <row r="20" spans="1:27" s="70" customFormat="1" ht="14.5" x14ac:dyDescent="0.25">
      <c r="A20" s="61">
        <f t="shared" si="39"/>
        <v>15</v>
      </c>
      <c r="B20" s="110"/>
      <c r="C20" s="110"/>
      <c r="D20" s="110"/>
      <c r="E20" s="71"/>
      <c r="F20" s="63"/>
      <c r="G20" s="64"/>
      <c r="H20" s="64"/>
      <c r="I20" s="65"/>
      <c r="J20" s="65"/>
      <c r="K20" s="65"/>
      <c r="L20" s="65"/>
      <c r="M20" s="66"/>
      <c r="N20" s="67"/>
      <c r="O20" s="68"/>
      <c r="P20" s="67"/>
      <c r="Q20" s="68"/>
      <c r="R20" s="69"/>
      <c r="S20" s="68"/>
      <c r="T20" s="66"/>
      <c r="U20" s="66"/>
      <c r="V20" s="66"/>
      <c r="W20" s="66"/>
      <c r="X20" s="66"/>
      <c r="Y20" s="66"/>
      <c r="AA20" s="66"/>
    </row>
    <row r="21" spans="1:27" ht="14.5" x14ac:dyDescent="0.25">
      <c r="A21" s="43"/>
      <c r="B21" s="109"/>
      <c r="C21" s="109"/>
      <c r="D21" s="109"/>
      <c r="E21" s="42"/>
      <c r="F21" s="44"/>
      <c r="G21" s="45"/>
      <c r="H21" s="45"/>
      <c r="I21" s="45"/>
      <c r="J21" s="46"/>
      <c r="K21" s="46"/>
      <c r="L21" s="46"/>
      <c r="M21" s="47"/>
      <c r="N21" s="48"/>
      <c r="O21" s="49"/>
      <c r="P21" s="48"/>
      <c r="Q21" s="49"/>
      <c r="R21" s="50"/>
      <c r="S21" s="49"/>
      <c r="T21" s="47"/>
      <c r="U21" s="47"/>
      <c r="V21" s="47"/>
      <c r="W21" s="47"/>
      <c r="X21" s="47"/>
      <c r="Y21" s="47"/>
      <c r="AA21" s="47"/>
    </row>
    <row r="22" spans="1:27" ht="14.5" x14ac:dyDescent="0.25">
      <c r="A22" s="32">
        <f>+A20+1</f>
        <v>16</v>
      </c>
      <c r="B22" s="106"/>
      <c r="C22" s="106"/>
      <c r="D22" s="106"/>
      <c r="E22" s="33"/>
      <c r="F22" s="51"/>
      <c r="G22" s="35"/>
      <c r="H22" s="35"/>
      <c r="I22" s="35"/>
      <c r="J22" s="36"/>
      <c r="K22" s="36"/>
      <c r="L22" s="36"/>
      <c r="M22" s="37"/>
      <c r="N22" s="38"/>
      <c r="O22" s="39"/>
      <c r="P22" s="38"/>
      <c r="Q22" s="39"/>
      <c r="R22" s="40"/>
      <c r="S22" s="39"/>
      <c r="T22" s="37"/>
      <c r="U22" s="37"/>
      <c r="V22" s="37"/>
      <c r="W22" s="37"/>
      <c r="X22" s="37"/>
      <c r="Y22" s="37"/>
      <c r="AA22" s="37"/>
    </row>
    <row r="23" spans="1:27" ht="14.5" x14ac:dyDescent="0.25">
      <c r="A23" s="32">
        <f t="shared" si="13"/>
        <v>17</v>
      </c>
      <c r="B23" s="106"/>
      <c r="C23" s="106"/>
      <c r="D23" s="106"/>
      <c r="E23" s="33"/>
      <c r="F23" s="51"/>
      <c r="G23" s="35"/>
      <c r="H23" s="35"/>
      <c r="I23" s="35"/>
      <c r="J23" s="36"/>
      <c r="K23" s="36"/>
      <c r="L23" s="36"/>
      <c r="M23" s="37"/>
      <c r="N23" s="38"/>
      <c r="O23" s="39"/>
      <c r="P23" s="38"/>
      <c r="Q23" s="39"/>
      <c r="R23" s="40"/>
      <c r="S23" s="39"/>
      <c r="T23" s="37"/>
      <c r="U23" s="37"/>
      <c r="V23" s="37"/>
      <c r="W23" s="37"/>
      <c r="X23" s="37"/>
      <c r="Y23" s="37"/>
      <c r="AA23" s="37"/>
    </row>
    <row r="24" spans="1:27" ht="14.5" x14ac:dyDescent="0.25">
      <c r="A24" s="32">
        <f t="shared" si="13"/>
        <v>18</v>
      </c>
      <c r="B24" s="106"/>
      <c r="C24" s="106"/>
      <c r="D24" s="106"/>
      <c r="E24" s="33"/>
      <c r="F24" s="17"/>
      <c r="G24" s="35"/>
      <c r="H24" s="35"/>
      <c r="I24" s="36"/>
      <c r="J24" s="36"/>
      <c r="K24" s="36"/>
      <c r="L24" s="36"/>
      <c r="M24" s="37"/>
      <c r="N24" s="38"/>
      <c r="O24" s="39"/>
      <c r="P24" s="38"/>
      <c r="Q24" s="39"/>
      <c r="R24" s="40"/>
      <c r="S24" s="39"/>
      <c r="T24" s="37"/>
      <c r="U24" s="37"/>
      <c r="V24" s="37"/>
      <c r="W24" s="37"/>
      <c r="X24" s="37"/>
      <c r="Y24" s="37"/>
      <c r="AA24" s="37"/>
    </row>
    <row r="25" spans="1:27" ht="14.5" x14ac:dyDescent="0.25">
      <c r="A25" s="32">
        <f t="shared" si="13"/>
        <v>19</v>
      </c>
      <c r="B25" s="106"/>
      <c r="C25" s="106"/>
      <c r="D25" s="106"/>
      <c r="E25" s="33"/>
      <c r="F25" s="51"/>
      <c r="G25" s="35"/>
      <c r="H25" s="35"/>
      <c r="I25" s="35"/>
      <c r="J25" s="36"/>
      <c r="K25" s="36"/>
      <c r="L25" s="36"/>
      <c r="M25" s="37"/>
      <c r="N25" s="38"/>
      <c r="O25" s="39"/>
      <c r="P25" s="38"/>
      <c r="Q25" s="39"/>
      <c r="R25" s="40"/>
      <c r="S25" s="39"/>
      <c r="T25" s="37"/>
      <c r="U25" s="37"/>
      <c r="V25" s="37"/>
      <c r="W25" s="37"/>
      <c r="X25" s="37"/>
      <c r="Y25" s="37"/>
      <c r="AA25" s="37"/>
    </row>
    <row r="26" spans="1:27" ht="14.5" x14ac:dyDescent="0.25">
      <c r="A26" s="32">
        <f t="shared" si="13"/>
        <v>20</v>
      </c>
      <c r="B26" s="106"/>
      <c r="C26" s="106"/>
      <c r="D26" s="106"/>
      <c r="E26" s="33"/>
      <c r="F26" s="51"/>
      <c r="G26" s="35"/>
      <c r="H26" s="35"/>
      <c r="I26" s="35"/>
      <c r="J26" s="36"/>
      <c r="K26" s="36"/>
      <c r="L26" s="36"/>
      <c r="M26" s="37"/>
      <c r="N26" s="38"/>
      <c r="O26" s="39"/>
      <c r="P26" s="38"/>
      <c r="Q26" s="39"/>
      <c r="R26" s="40"/>
      <c r="S26" s="39"/>
      <c r="T26" s="37"/>
      <c r="U26" s="37"/>
      <c r="V26" s="37"/>
      <c r="W26" s="37"/>
      <c r="X26" s="37"/>
      <c r="Y26" s="37"/>
      <c r="AA26" s="37"/>
    </row>
    <row r="27" spans="1:27" ht="14.5" x14ac:dyDescent="0.25">
      <c r="A27" s="32">
        <f t="shared" si="13"/>
        <v>21</v>
      </c>
      <c r="B27" s="106"/>
      <c r="C27" s="106"/>
      <c r="D27" s="106"/>
      <c r="E27" s="33"/>
      <c r="F27" s="52"/>
      <c r="G27" s="35"/>
      <c r="H27" s="35"/>
      <c r="I27" s="35"/>
      <c r="J27" s="36"/>
      <c r="K27" s="36"/>
      <c r="L27" s="36"/>
      <c r="M27" s="37"/>
      <c r="N27" s="38"/>
      <c r="O27" s="39"/>
      <c r="P27" s="38"/>
      <c r="Q27" s="39"/>
      <c r="R27" s="40"/>
      <c r="S27" s="39"/>
      <c r="T27" s="37"/>
      <c r="U27" s="37"/>
      <c r="V27" s="37"/>
      <c r="W27" s="37"/>
      <c r="X27" s="37"/>
      <c r="Y27" s="37"/>
      <c r="AA27" s="37"/>
    </row>
    <row r="28" spans="1:27" ht="14.5" x14ac:dyDescent="0.25">
      <c r="A28" s="32">
        <f t="shared" si="13"/>
        <v>22</v>
      </c>
      <c r="B28" s="106"/>
      <c r="C28" s="106"/>
      <c r="D28" s="106"/>
      <c r="E28" s="33"/>
      <c r="F28" s="52"/>
      <c r="G28" s="35"/>
      <c r="H28" s="35"/>
      <c r="I28" s="35"/>
      <c r="J28" s="36"/>
      <c r="K28" s="36"/>
      <c r="L28" s="36"/>
      <c r="M28" s="37"/>
      <c r="N28" s="38"/>
      <c r="O28" s="39"/>
      <c r="P28" s="38"/>
      <c r="Q28" s="39"/>
      <c r="R28" s="40"/>
      <c r="S28" s="39"/>
      <c r="T28" s="37"/>
      <c r="U28" s="37"/>
      <c r="V28" s="37"/>
      <c r="W28" s="37"/>
      <c r="X28" s="37"/>
      <c r="Y28" s="37"/>
      <c r="AA28" s="37"/>
    </row>
    <row r="29" spans="1:27" ht="14.5" x14ac:dyDescent="0.25">
      <c r="A29" s="32">
        <f t="shared" si="13"/>
        <v>23</v>
      </c>
      <c r="B29" s="106"/>
      <c r="C29" s="106"/>
      <c r="D29" s="106"/>
      <c r="E29" s="33"/>
      <c r="F29" s="51"/>
      <c r="G29" s="35"/>
      <c r="H29" s="35"/>
      <c r="I29" s="35"/>
      <c r="J29" s="36"/>
      <c r="K29" s="36"/>
      <c r="L29" s="36"/>
      <c r="M29" s="37"/>
      <c r="N29" s="38"/>
      <c r="O29" s="39"/>
      <c r="P29" s="38"/>
      <c r="Q29" s="39"/>
      <c r="R29" s="40"/>
      <c r="S29" s="39"/>
      <c r="T29" s="37"/>
      <c r="U29" s="37"/>
      <c r="V29" s="37"/>
      <c r="W29" s="37"/>
      <c r="X29" s="37"/>
      <c r="Y29" s="37"/>
      <c r="AA29" s="37"/>
    </row>
    <row r="30" spans="1:27" ht="14.5" x14ac:dyDescent="0.25">
      <c r="A30" s="32">
        <f t="shared" si="13"/>
        <v>24</v>
      </c>
      <c r="B30" s="106"/>
      <c r="C30" s="106"/>
      <c r="D30" s="106"/>
      <c r="E30" s="33"/>
      <c r="F30" s="51"/>
      <c r="G30" s="35"/>
      <c r="H30" s="35"/>
      <c r="I30" s="35"/>
      <c r="J30" s="36"/>
      <c r="K30" s="36"/>
      <c r="L30" s="36"/>
      <c r="M30" s="37"/>
      <c r="N30" s="38"/>
      <c r="O30" s="39"/>
      <c r="P30" s="38"/>
      <c r="Q30" s="39"/>
      <c r="R30" s="40"/>
      <c r="S30" s="39"/>
      <c r="T30" s="37"/>
      <c r="U30" s="37"/>
      <c r="V30" s="37"/>
      <c r="W30" s="37"/>
      <c r="X30" s="37"/>
      <c r="Y30" s="37"/>
      <c r="AA30" s="37"/>
    </row>
    <row r="31" spans="1:27" ht="14.5" x14ac:dyDescent="0.25">
      <c r="A31" s="32">
        <f t="shared" si="13"/>
        <v>25</v>
      </c>
      <c r="B31" s="106"/>
      <c r="C31" s="106"/>
      <c r="D31" s="106"/>
      <c r="E31" s="33"/>
      <c r="F31" s="51"/>
      <c r="G31" s="35"/>
      <c r="H31" s="35"/>
      <c r="I31" s="35"/>
      <c r="J31" s="36"/>
      <c r="K31" s="36"/>
      <c r="L31" s="36"/>
      <c r="M31" s="37"/>
      <c r="N31" s="38"/>
      <c r="O31" s="39"/>
      <c r="P31" s="38"/>
      <c r="Q31" s="39"/>
      <c r="R31" s="40"/>
      <c r="S31" s="39"/>
      <c r="T31" s="37"/>
      <c r="U31" s="37"/>
      <c r="V31" s="37"/>
      <c r="W31" s="37"/>
      <c r="X31" s="37"/>
      <c r="Y31" s="37"/>
      <c r="AA31" s="37"/>
    </row>
    <row r="32" spans="1:27" ht="14.5" x14ac:dyDescent="0.25">
      <c r="A32" s="32">
        <f t="shared" si="13"/>
        <v>26</v>
      </c>
      <c r="B32" s="106"/>
      <c r="C32" s="106"/>
      <c r="D32" s="106"/>
      <c r="E32" s="33"/>
      <c r="F32" s="34"/>
      <c r="G32" s="35"/>
      <c r="H32" s="35"/>
      <c r="I32" s="35"/>
      <c r="J32" s="36"/>
      <c r="K32" s="36"/>
      <c r="L32" s="36"/>
      <c r="M32" s="37"/>
      <c r="N32" s="38"/>
      <c r="O32" s="39"/>
      <c r="P32" s="38"/>
      <c r="Q32" s="39"/>
      <c r="R32" s="40"/>
      <c r="S32" s="39"/>
      <c r="T32" s="37"/>
      <c r="U32" s="37"/>
      <c r="V32" s="37"/>
      <c r="W32" s="37"/>
      <c r="X32" s="37"/>
      <c r="Y32" s="37"/>
      <c r="AA32" s="37"/>
    </row>
    <row r="33" spans="1:27" ht="14.5" x14ac:dyDescent="0.25">
      <c r="A33" s="32">
        <f t="shared" si="13"/>
        <v>27</v>
      </c>
      <c r="B33" s="106"/>
      <c r="C33" s="106"/>
      <c r="D33" s="106"/>
      <c r="E33" s="33"/>
      <c r="F33" s="34"/>
      <c r="G33" s="35"/>
      <c r="H33" s="35"/>
      <c r="I33" s="35"/>
      <c r="J33" s="36"/>
      <c r="K33" s="36"/>
      <c r="L33" s="36"/>
      <c r="M33" s="37"/>
      <c r="N33" s="38"/>
      <c r="O33" s="39"/>
      <c r="P33" s="38"/>
      <c r="Q33" s="39"/>
      <c r="R33" s="40"/>
      <c r="S33" s="39"/>
      <c r="T33" s="37"/>
      <c r="U33" s="37"/>
      <c r="V33" s="37"/>
      <c r="W33" s="37"/>
      <c r="X33" s="37"/>
      <c r="Y33" s="37"/>
      <c r="AA33" s="37"/>
    </row>
    <row r="34" spans="1:27" ht="14.5" x14ac:dyDescent="0.25">
      <c r="A34" s="32">
        <f t="shared" si="13"/>
        <v>28</v>
      </c>
      <c r="B34" s="106"/>
      <c r="C34" s="106"/>
      <c r="D34" s="106"/>
      <c r="E34" s="33"/>
      <c r="F34" s="34"/>
      <c r="G34" s="35"/>
      <c r="H34" s="35"/>
      <c r="I34" s="35"/>
      <c r="J34" s="36"/>
      <c r="K34" s="36"/>
      <c r="L34" s="36"/>
      <c r="M34" s="37"/>
      <c r="N34" s="38"/>
      <c r="O34" s="39"/>
      <c r="P34" s="38"/>
      <c r="Q34" s="39"/>
      <c r="R34" s="40"/>
      <c r="S34" s="39"/>
      <c r="T34" s="37"/>
      <c r="U34" s="37"/>
      <c r="V34" s="37"/>
      <c r="W34" s="37"/>
      <c r="X34" s="37"/>
      <c r="Y34" s="37"/>
      <c r="AA34" s="37"/>
    </row>
    <row r="35" spans="1:27" ht="14.5" x14ac:dyDescent="0.25">
      <c r="A35" s="43"/>
      <c r="B35" s="109"/>
      <c r="C35" s="109"/>
      <c r="D35" s="109"/>
      <c r="E35" s="42"/>
      <c r="F35" s="44"/>
      <c r="G35" s="45"/>
      <c r="H35" s="45"/>
      <c r="I35" s="45"/>
      <c r="J35" s="46"/>
      <c r="K35" s="46"/>
      <c r="L35" s="46"/>
      <c r="M35" s="47"/>
      <c r="N35" s="48"/>
      <c r="O35" s="49"/>
      <c r="P35" s="48"/>
      <c r="Q35" s="49"/>
      <c r="R35" s="50"/>
      <c r="S35" s="49"/>
      <c r="T35" s="47"/>
      <c r="U35" s="47"/>
      <c r="V35" s="47"/>
      <c r="W35" s="47"/>
      <c r="X35" s="47"/>
      <c r="Y35" s="47"/>
      <c r="AA35" s="47"/>
    </row>
    <row r="36" spans="1:27" ht="14.5" x14ac:dyDescent="0.25">
      <c r="A36" s="32">
        <f>+A34+1</f>
        <v>29</v>
      </c>
      <c r="B36" s="106"/>
      <c r="C36" s="106"/>
      <c r="D36" s="106"/>
      <c r="E36" s="33"/>
      <c r="F36" s="34"/>
      <c r="G36" s="35"/>
      <c r="H36" s="35"/>
      <c r="I36" s="35"/>
      <c r="J36" s="36"/>
      <c r="K36" s="36"/>
      <c r="L36" s="36"/>
      <c r="M36" s="37"/>
      <c r="N36" s="38"/>
      <c r="O36" s="39"/>
      <c r="P36" s="38"/>
      <c r="Q36" s="39"/>
      <c r="R36" s="40"/>
      <c r="S36" s="39"/>
      <c r="T36" s="37"/>
      <c r="U36" s="37"/>
      <c r="V36" s="37"/>
      <c r="W36" s="37"/>
      <c r="X36" s="37"/>
      <c r="Y36" s="37"/>
      <c r="AA36" s="37"/>
    </row>
    <row r="37" spans="1:27" ht="14.5" x14ac:dyDescent="0.25">
      <c r="A37" s="32">
        <f t="shared" si="13"/>
        <v>30</v>
      </c>
      <c r="B37" s="106"/>
      <c r="C37" s="106"/>
      <c r="D37" s="106"/>
      <c r="E37" s="33"/>
      <c r="F37" s="34"/>
      <c r="G37" s="35"/>
      <c r="H37" s="35"/>
      <c r="I37" s="35"/>
      <c r="J37" s="36"/>
      <c r="K37" s="36"/>
      <c r="L37" s="36"/>
      <c r="M37" s="37"/>
      <c r="N37" s="38"/>
      <c r="O37" s="39"/>
      <c r="P37" s="38"/>
      <c r="Q37" s="39"/>
      <c r="R37" s="40"/>
      <c r="S37" s="39"/>
      <c r="T37" s="37"/>
      <c r="U37" s="37"/>
      <c r="V37" s="37"/>
      <c r="W37" s="37"/>
      <c r="X37" s="37"/>
      <c r="Y37" s="37"/>
      <c r="AA37" s="37"/>
    </row>
    <row r="38" spans="1:27" ht="14.5" x14ac:dyDescent="0.25">
      <c r="A38" s="32">
        <f t="shared" si="13"/>
        <v>31</v>
      </c>
      <c r="B38" s="106"/>
      <c r="C38" s="106"/>
      <c r="D38" s="106"/>
      <c r="E38" s="33"/>
      <c r="F38" s="34"/>
      <c r="G38" s="35"/>
      <c r="H38" s="35"/>
      <c r="I38" s="35"/>
      <c r="J38" s="36"/>
      <c r="K38" s="36"/>
      <c r="L38" s="36"/>
      <c r="M38" s="37"/>
      <c r="N38" s="38"/>
      <c r="O38" s="39"/>
      <c r="P38" s="38"/>
      <c r="Q38" s="39"/>
      <c r="R38" s="40"/>
      <c r="S38" s="39"/>
      <c r="T38" s="37"/>
      <c r="U38" s="37"/>
      <c r="V38" s="37"/>
      <c r="W38" s="37"/>
      <c r="X38" s="37"/>
      <c r="Y38" s="37"/>
      <c r="AA38" s="37"/>
    </row>
    <row r="39" spans="1:27" ht="14.5" x14ac:dyDescent="0.25">
      <c r="A39" s="32">
        <f t="shared" si="13"/>
        <v>32</v>
      </c>
      <c r="B39" s="106"/>
      <c r="C39" s="106"/>
      <c r="D39" s="106"/>
      <c r="E39" s="33"/>
      <c r="F39" s="52"/>
      <c r="G39" s="35"/>
      <c r="H39" s="35"/>
      <c r="I39" s="35"/>
      <c r="J39" s="36"/>
      <c r="K39" s="36"/>
      <c r="L39" s="36"/>
      <c r="M39" s="37"/>
      <c r="N39" s="38"/>
      <c r="O39" s="39"/>
      <c r="P39" s="38"/>
      <c r="Q39" s="39"/>
      <c r="R39" s="40"/>
      <c r="S39" s="39"/>
      <c r="T39" s="37"/>
      <c r="U39" s="37"/>
      <c r="V39" s="37"/>
      <c r="W39" s="37"/>
      <c r="X39" s="37"/>
      <c r="Y39" s="37"/>
      <c r="AA39" s="37"/>
    </row>
    <row r="40" spans="1:27" ht="14.5" x14ac:dyDescent="0.25">
      <c r="A40" s="32">
        <f t="shared" si="13"/>
        <v>33</v>
      </c>
      <c r="B40" s="106"/>
      <c r="C40" s="106"/>
      <c r="D40" s="106"/>
      <c r="E40" s="33"/>
      <c r="F40" s="52"/>
      <c r="G40" s="35"/>
      <c r="H40" s="35"/>
      <c r="I40" s="35"/>
      <c r="J40" s="36"/>
      <c r="K40" s="36"/>
      <c r="L40" s="36"/>
      <c r="M40" s="37"/>
      <c r="N40" s="38"/>
      <c r="O40" s="39"/>
      <c r="P40" s="38"/>
      <c r="Q40" s="39"/>
      <c r="R40" s="40"/>
      <c r="S40" s="39"/>
      <c r="T40" s="37"/>
      <c r="U40" s="37"/>
      <c r="V40" s="37"/>
      <c r="W40" s="37"/>
      <c r="X40" s="37"/>
      <c r="Y40" s="37"/>
      <c r="AA40" s="37"/>
    </row>
    <row r="41" spans="1:27" ht="14.5" x14ac:dyDescent="0.25">
      <c r="A41" s="32">
        <f t="shared" si="13"/>
        <v>34</v>
      </c>
      <c r="B41" s="106"/>
      <c r="C41" s="106"/>
      <c r="D41" s="106"/>
      <c r="E41" s="33"/>
      <c r="F41" s="34"/>
      <c r="G41" s="35"/>
      <c r="H41" s="35"/>
      <c r="I41" s="35"/>
      <c r="J41" s="36"/>
      <c r="K41" s="36"/>
      <c r="L41" s="36"/>
      <c r="M41" s="37"/>
      <c r="N41" s="38"/>
      <c r="O41" s="39"/>
      <c r="P41" s="38"/>
      <c r="Q41" s="39"/>
      <c r="R41" s="40"/>
      <c r="S41" s="39"/>
      <c r="T41" s="37"/>
      <c r="U41" s="37"/>
      <c r="V41" s="37"/>
      <c r="W41" s="37"/>
      <c r="X41" s="37"/>
      <c r="Y41" s="37"/>
      <c r="AA41" s="37"/>
    </row>
    <row r="42" spans="1:27" ht="14.5" x14ac:dyDescent="0.25">
      <c r="A42" s="32">
        <f t="shared" si="13"/>
        <v>35</v>
      </c>
      <c r="B42" s="106"/>
      <c r="C42" s="106"/>
      <c r="D42" s="106"/>
      <c r="E42" s="33"/>
      <c r="F42" s="34"/>
      <c r="G42" s="35"/>
      <c r="H42" s="35"/>
      <c r="I42" s="35"/>
      <c r="J42" s="36"/>
      <c r="K42" s="36"/>
      <c r="L42" s="36"/>
      <c r="M42" s="37"/>
      <c r="N42" s="38"/>
      <c r="O42" s="39"/>
      <c r="P42" s="38"/>
      <c r="Q42" s="39"/>
      <c r="R42" s="40"/>
      <c r="S42" s="39"/>
      <c r="T42" s="37"/>
      <c r="U42" s="37"/>
      <c r="V42" s="37"/>
      <c r="W42" s="37"/>
      <c r="X42" s="37"/>
      <c r="Y42" s="37"/>
      <c r="AA42" s="37"/>
    </row>
    <row r="43" spans="1:27" ht="14.5" x14ac:dyDescent="0.25">
      <c r="A43" s="32">
        <f t="shared" si="13"/>
        <v>36</v>
      </c>
      <c r="B43" s="106"/>
      <c r="C43" s="106"/>
      <c r="D43" s="106"/>
      <c r="E43" s="33"/>
      <c r="F43" s="34"/>
      <c r="G43" s="35"/>
      <c r="H43" s="35"/>
      <c r="I43" s="35"/>
      <c r="J43" s="36"/>
      <c r="K43" s="36"/>
      <c r="L43" s="36"/>
      <c r="M43" s="37"/>
      <c r="N43" s="38"/>
      <c r="O43" s="39"/>
      <c r="P43" s="38"/>
      <c r="Q43" s="39"/>
      <c r="R43" s="40"/>
      <c r="S43" s="39"/>
      <c r="T43" s="37"/>
      <c r="U43" s="37"/>
      <c r="V43" s="37"/>
      <c r="W43" s="37"/>
      <c r="X43" s="37"/>
      <c r="Y43" s="37"/>
      <c r="AA43" s="37"/>
    </row>
    <row r="44" spans="1:27" ht="14.5" x14ac:dyDescent="0.25">
      <c r="A44" s="32">
        <f t="shared" si="13"/>
        <v>37</v>
      </c>
      <c r="B44" s="106"/>
      <c r="C44" s="106"/>
      <c r="D44" s="106"/>
      <c r="E44" s="33"/>
      <c r="F44" s="34"/>
      <c r="G44" s="35"/>
      <c r="H44" s="35"/>
      <c r="I44" s="35"/>
      <c r="J44" s="36"/>
      <c r="K44" s="36"/>
      <c r="L44" s="36"/>
      <c r="M44" s="37"/>
      <c r="N44" s="38"/>
      <c r="O44" s="39"/>
      <c r="P44" s="38"/>
      <c r="Q44" s="39"/>
      <c r="R44" s="40"/>
      <c r="S44" s="39"/>
      <c r="T44" s="37"/>
      <c r="U44" s="37"/>
      <c r="V44" s="37"/>
      <c r="W44" s="37"/>
      <c r="X44" s="37"/>
      <c r="Y44" s="37"/>
      <c r="AA44" s="37"/>
    </row>
    <row r="45" spans="1:27" ht="14.5" x14ac:dyDescent="0.25">
      <c r="A45" s="32">
        <f t="shared" si="13"/>
        <v>38</v>
      </c>
      <c r="B45" s="106"/>
      <c r="C45" s="106"/>
      <c r="D45" s="106"/>
      <c r="E45" s="33"/>
      <c r="F45" s="34"/>
      <c r="G45" s="35"/>
      <c r="H45" s="35"/>
      <c r="I45" s="35"/>
      <c r="J45" s="36"/>
      <c r="K45" s="36"/>
      <c r="L45" s="36"/>
      <c r="M45" s="37"/>
      <c r="N45" s="38"/>
      <c r="O45" s="39"/>
      <c r="P45" s="38"/>
      <c r="Q45" s="39"/>
      <c r="R45" s="40"/>
      <c r="S45" s="39"/>
      <c r="T45" s="37"/>
      <c r="U45" s="37"/>
      <c r="V45" s="37"/>
      <c r="W45" s="37"/>
      <c r="X45" s="37"/>
      <c r="Y45" s="37"/>
      <c r="AA45" s="37"/>
    </row>
    <row r="46" spans="1:27" ht="14.5" x14ac:dyDescent="0.25">
      <c r="A46" s="43"/>
      <c r="B46" s="109"/>
      <c r="C46" s="109"/>
      <c r="D46" s="109"/>
      <c r="E46" s="42"/>
      <c r="F46" s="44"/>
      <c r="G46" s="45"/>
      <c r="H46" s="45"/>
      <c r="I46" s="45"/>
      <c r="J46" s="46"/>
      <c r="K46" s="46"/>
      <c r="L46" s="46"/>
      <c r="M46" s="47"/>
      <c r="N46" s="48"/>
      <c r="O46" s="49"/>
      <c r="P46" s="48"/>
      <c r="Q46" s="49"/>
      <c r="R46" s="50"/>
      <c r="S46" s="49"/>
      <c r="T46" s="47"/>
      <c r="U46" s="47"/>
      <c r="V46" s="47"/>
      <c r="W46" s="47"/>
      <c r="X46" s="47"/>
      <c r="Y46" s="47"/>
      <c r="AA46" s="47"/>
    </row>
    <row r="47" spans="1:27" ht="14.5" x14ac:dyDescent="0.25">
      <c r="A47" s="32">
        <f>+A45+1</f>
        <v>39</v>
      </c>
      <c r="B47" s="106"/>
      <c r="C47" s="106"/>
      <c r="D47" s="106"/>
      <c r="E47" s="33"/>
      <c r="F47" s="52"/>
      <c r="G47" s="35"/>
      <c r="H47" s="35"/>
      <c r="I47" s="35"/>
      <c r="J47" s="36"/>
      <c r="K47" s="36"/>
      <c r="L47" s="36"/>
      <c r="M47" s="37"/>
      <c r="N47" s="38"/>
      <c r="O47" s="39"/>
      <c r="P47" s="38"/>
      <c r="Q47" s="39"/>
      <c r="R47" s="40"/>
      <c r="S47" s="39"/>
      <c r="T47" s="37"/>
      <c r="U47" s="37"/>
      <c r="V47" s="37"/>
      <c r="W47" s="37"/>
      <c r="X47" s="37"/>
      <c r="Y47" s="37"/>
      <c r="AA47" s="37"/>
    </row>
    <row r="48" spans="1:27" ht="14.5" x14ac:dyDescent="0.25">
      <c r="A48" s="32">
        <f t="shared" si="13"/>
        <v>40</v>
      </c>
      <c r="B48" s="106"/>
      <c r="C48" s="106"/>
      <c r="D48" s="106"/>
      <c r="E48" s="33"/>
      <c r="F48" s="52"/>
      <c r="G48" s="35"/>
      <c r="H48" s="35"/>
      <c r="I48" s="35"/>
      <c r="J48" s="36"/>
      <c r="K48" s="36"/>
      <c r="L48" s="36"/>
      <c r="M48" s="37"/>
      <c r="N48" s="38"/>
      <c r="O48" s="39"/>
      <c r="P48" s="38"/>
      <c r="Q48" s="39"/>
      <c r="R48" s="40"/>
      <c r="S48" s="39"/>
      <c r="T48" s="37"/>
      <c r="U48" s="37"/>
      <c r="V48" s="37"/>
      <c r="W48" s="37"/>
      <c r="X48" s="37"/>
      <c r="Y48" s="37"/>
      <c r="AA48" s="37"/>
    </row>
    <row r="49" spans="1:27" ht="14.5" x14ac:dyDescent="0.25">
      <c r="A49" s="43"/>
      <c r="B49" s="109"/>
      <c r="C49" s="109"/>
      <c r="D49" s="109"/>
      <c r="E49" s="42"/>
      <c r="F49" s="44"/>
      <c r="G49" s="45"/>
      <c r="H49" s="45"/>
      <c r="I49" s="45"/>
      <c r="J49" s="46"/>
      <c r="K49" s="46"/>
      <c r="L49" s="46"/>
      <c r="M49" s="47"/>
      <c r="N49" s="48"/>
      <c r="O49" s="49"/>
      <c r="P49" s="48"/>
      <c r="Q49" s="49"/>
      <c r="R49" s="50"/>
      <c r="S49" s="49"/>
      <c r="T49" s="47"/>
      <c r="U49" s="47"/>
      <c r="V49" s="47"/>
      <c r="W49" s="47"/>
      <c r="X49" s="47"/>
      <c r="Y49" s="47"/>
      <c r="AA49" s="47"/>
    </row>
    <row r="50" spans="1:27" ht="14.5" x14ac:dyDescent="0.25">
      <c r="A50" s="32">
        <f>+A48+1</f>
        <v>41</v>
      </c>
      <c r="B50" s="106"/>
      <c r="C50" s="106"/>
      <c r="D50" s="106"/>
      <c r="E50" s="33"/>
      <c r="F50" s="34"/>
      <c r="G50" s="35"/>
      <c r="H50" s="35"/>
      <c r="I50" s="35"/>
      <c r="J50" s="36"/>
      <c r="K50" s="36"/>
      <c r="L50" s="36"/>
      <c r="M50" s="37"/>
      <c r="N50" s="38"/>
      <c r="O50" s="39"/>
      <c r="P50" s="38"/>
      <c r="Q50" s="39"/>
      <c r="R50" s="40"/>
      <c r="S50" s="39"/>
      <c r="T50" s="37"/>
      <c r="U50" s="37"/>
      <c r="V50" s="37"/>
      <c r="W50" s="37"/>
      <c r="X50" s="37"/>
      <c r="Y50" s="37"/>
      <c r="AA50" s="37"/>
    </row>
    <row r="51" spans="1:27" ht="14.5" x14ac:dyDescent="0.25">
      <c r="A51" s="32">
        <f t="shared" si="13"/>
        <v>42</v>
      </c>
      <c r="B51" s="106"/>
      <c r="C51" s="106"/>
      <c r="D51" s="106"/>
      <c r="E51" s="33"/>
      <c r="F51" s="34"/>
      <c r="G51" s="35"/>
      <c r="H51" s="35"/>
      <c r="I51" s="35"/>
      <c r="J51" s="36"/>
      <c r="K51" s="36"/>
      <c r="L51" s="36"/>
      <c r="M51" s="37"/>
      <c r="N51" s="38"/>
      <c r="O51" s="39"/>
      <c r="P51" s="38"/>
      <c r="Q51" s="39"/>
      <c r="R51" s="40"/>
      <c r="S51" s="39"/>
      <c r="T51" s="37"/>
      <c r="U51" s="37"/>
      <c r="V51" s="37"/>
      <c r="W51" s="37"/>
      <c r="X51" s="37"/>
      <c r="Y51" s="37"/>
      <c r="AA51" s="37"/>
    </row>
    <row r="52" spans="1:27" ht="14.5" x14ac:dyDescent="0.25">
      <c r="A52" s="32">
        <f t="shared" si="13"/>
        <v>43</v>
      </c>
      <c r="B52" s="106"/>
      <c r="C52" s="106"/>
      <c r="D52" s="106"/>
      <c r="E52" s="53"/>
      <c r="F52" s="34"/>
      <c r="G52" s="54"/>
      <c r="H52" s="54"/>
      <c r="I52" s="54"/>
      <c r="J52" s="36"/>
      <c r="K52" s="54"/>
      <c r="L52" s="54"/>
      <c r="M52" s="55"/>
      <c r="N52" s="38"/>
      <c r="O52" s="39"/>
      <c r="P52" s="38"/>
      <c r="Q52" s="39"/>
      <c r="R52" s="40"/>
      <c r="S52" s="39"/>
      <c r="T52" s="55"/>
      <c r="U52" s="55"/>
      <c r="V52" s="37"/>
      <c r="W52" s="37"/>
      <c r="X52" s="37"/>
      <c r="Y52" s="37"/>
      <c r="AA52" s="37"/>
    </row>
    <row r="53" spans="1:27" ht="14.5" x14ac:dyDescent="0.3">
      <c r="E53" s="56"/>
      <c r="F53" s="44"/>
      <c r="G53" s="57"/>
      <c r="H53" s="57"/>
      <c r="I53" s="57"/>
      <c r="J53" s="57"/>
      <c r="K53" s="57"/>
      <c r="L53" s="57"/>
      <c r="M53" s="21"/>
      <c r="N53" s="58"/>
      <c r="O53" s="59"/>
      <c r="P53" s="58"/>
      <c r="Q53" s="59"/>
      <c r="R53" s="60"/>
      <c r="S53" s="59"/>
      <c r="T53" s="21"/>
      <c r="U53" s="21"/>
      <c r="V53" s="21"/>
      <c r="W53" s="21"/>
      <c r="X53" s="47"/>
      <c r="Y53" s="47"/>
      <c r="AA53" s="47"/>
    </row>
    <row r="54" spans="1:27" ht="14.5" x14ac:dyDescent="0.25">
      <c r="A54" s="32">
        <f>+A52+1</f>
        <v>44</v>
      </c>
      <c r="B54" s="106"/>
      <c r="C54" s="106"/>
      <c r="D54" s="106"/>
      <c r="E54" s="53"/>
      <c r="F54" s="52"/>
      <c r="G54" s="54"/>
      <c r="H54" s="54"/>
      <c r="I54" s="54"/>
      <c r="J54" s="36"/>
      <c r="K54" s="54"/>
      <c r="L54" s="54"/>
      <c r="M54" s="55"/>
      <c r="N54" s="38"/>
      <c r="O54" s="39"/>
      <c r="P54" s="38"/>
      <c r="Q54" s="39"/>
      <c r="R54" s="40"/>
      <c r="S54" s="39"/>
      <c r="T54" s="55"/>
      <c r="U54" s="55"/>
      <c r="V54" s="37"/>
      <c r="W54" s="37"/>
      <c r="X54" s="37"/>
      <c r="Y54" s="37"/>
      <c r="AA54" s="37"/>
    </row>
    <row r="55" spans="1:27" ht="14.5" x14ac:dyDescent="0.25">
      <c r="A55" s="32">
        <f t="shared" ref="A55:A58" si="40">+A54+1</f>
        <v>45</v>
      </c>
      <c r="B55" s="106"/>
      <c r="C55" s="106"/>
      <c r="D55" s="106"/>
      <c r="E55" s="53"/>
      <c r="F55" s="52"/>
      <c r="G55" s="54"/>
      <c r="H55" s="54"/>
      <c r="I55" s="54"/>
      <c r="J55" s="36"/>
      <c r="K55" s="54"/>
      <c r="L55" s="54"/>
      <c r="M55" s="55"/>
      <c r="N55" s="38"/>
      <c r="O55" s="39"/>
      <c r="P55" s="38"/>
      <c r="Q55" s="39"/>
      <c r="R55" s="40"/>
      <c r="S55" s="39"/>
      <c r="T55" s="55"/>
      <c r="U55" s="55"/>
      <c r="V55" s="37"/>
      <c r="W55" s="37"/>
      <c r="X55" s="37"/>
      <c r="Y55" s="37"/>
      <c r="AA55" s="37"/>
    </row>
    <row r="56" spans="1:27" ht="14.5" x14ac:dyDescent="0.25">
      <c r="A56" s="32">
        <f t="shared" si="40"/>
        <v>46</v>
      </c>
      <c r="B56" s="106"/>
      <c r="C56" s="106"/>
      <c r="D56" s="106"/>
      <c r="E56" s="53"/>
      <c r="F56" s="52"/>
      <c r="G56" s="54"/>
      <c r="H56" s="54"/>
      <c r="I56" s="54"/>
      <c r="J56" s="36"/>
      <c r="K56" s="54"/>
      <c r="L56" s="54"/>
      <c r="M56" s="55"/>
      <c r="N56" s="38"/>
      <c r="O56" s="39"/>
      <c r="P56" s="38"/>
      <c r="Q56" s="39"/>
      <c r="R56" s="40"/>
      <c r="S56" s="39"/>
      <c r="T56" s="55"/>
      <c r="U56" s="55"/>
      <c r="V56" s="37"/>
      <c r="W56" s="37"/>
      <c r="X56" s="37"/>
      <c r="Y56" s="37"/>
      <c r="AA56" s="37"/>
    </row>
    <row r="57" spans="1:27" ht="14.5" x14ac:dyDescent="0.25">
      <c r="A57" s="32">
        <f t="shared" si="40"/>
        <v>47</v>
      </c>
      <c r="B57" s="106"/>
      <c r="C57" s="106"/>
      <c r="D57" s="106"/>
      <c r="E57" s="53"/>
      <c r="F57" s="52"/>
      <c r="G57" s="54"/>
      <c r="H57" s="54"/>
      <c r="I57" s="54"/>
      <c r="J57" s="36"/>
      <c r="K57" s="54"/>
      <c r="L57" s="54"/>
      <c r="M57" s="55"/>
      <c r="N57" s="38"/>
      <c r="O57" s="39"/>
      <c r="P57" s="38"/>
      <c r="Q57" s="39"/>
      <c r="R57" s="40"/>
      <c r="S57" s="39"/>
      <c r="T57" s="55"/>
      <c r="U57" s="55"/>
      <c r="V57" s="37"/>
      <c r="W57" s="37"/>
      <c r="X57" s="37"/>
      <c r="Y57" s="37"/>
      <c r="AA57" s="37"/>
    </row>
    <row r="58" spans="1:27" ht="14.5" x14ac:dyDescent="0.25">
      <c r="A58" s="32">
        <f t="shared" si="40"/>
        <v>48</v>
      </c>
      <c r="B58" s="106"/>
      <c r="C58" s="106"/>
      <c r="D58" s="106"/>
      <c r="E58" s="53"/>
      <c r="F58" s="52"/>
      <c r="G58" s="54"/>
      <c r="H58" s="54"/>
      <c r="I58" s="54"/>
      <c r="J58" s="36"/>
      <c r="K58" s="54"/>
      <c r="L58" s="54"/>
      <c r="M58" s="55"/>
      <c r="N58" s="38"/>
      <c r="O58" s="39"/>
      <c r="P58" s="38"/>
      <c r="Q58" s="39"/>
      <c r="R58" s="40"/>
      <c r="S58" s="39"/>
      <c r="T58" s="55"/>
      <c r="U58" s="55"/>
      <c r="V58" s="37"/>
      <c r="W58" s="37"/>
      <c r="X58" s="37"/>
      <c r="Y58" s="37"/>
      <c r="AA58" s="37"/>
    </row>
    <row r="59" spans="1:27" x14ac:dyDescent="0.3"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</row>
    <row r="60" spans="1:27" s="86" customFormat="1" ht="14.5" x14ac:dyDescent="0.25">
      <c r="A60" s="32">
        <f>+A58+1</f>
        <v>49</v>
      </c>
      <c r="B60" s="106"/>
      <c r="C60" s="106"/>
      <c r="D60" s="106"/>
      <c r="E60" s="33"/>
      <c r="F60" s="98"/>
      <c r="G60" s="35"/>
      <c r="H60" s="35"/>
      <c r="I60" s="35"/>
      <c r="J60" s="36"/>
      <c r="K60" s="36"/>
      <c r="L60" s="36"/>
      <c r="M60" s="37"/>
      <c r="N60" s="38"/>
      <c r="O60" s="39"/>
      <c r="P60" s="38"/>
      <c r="Q60" s="39"/>
      <c r="R60" s="40"/>
      <c r="S60" s="39"/>
      <c r="T60" s="37"/>
      <c r="U60" s="37"/>
      <c r="V60" s="37"/>
      <c r="W60" s="37"/>
      <c r="X60" s="37"/>
      <c r="Y60" s="37"/>
      <c r="Z60" s="96"/>
      <c r="AA60" s="37"/>
    </row>
    <row r="61" spans="1:27" s="86" customFormat="1" ht="14.5" x14ac:dyDescent="0.25">
      <c r="A61" s="32">
        <f>+A60+1</f>
        <v>50</v>
      </c>
      <c r="B61" s="106"/>
      <c r="C61" s="106"/>
      <c r="D61" s="106"/>
      <c r="E61" s="33"/>
      <c r="F61" s="98"/>
      <c r="G61" s="35"/>
      <c r="H61" s="35"/>
      <c r="I61" s="35"/>
      <c r="J61" s="36"/>
      <c r="K61" s="36"/>
      <c r="L61" s="36"/>
      <c r="M61" s="37"/>
      <c r="N61" s="38"/>
      <c r="O61" s="39"/>
      <c r="P61" s="38"/>
      <c r="Q61" s="39"/>
      <c r="R61" s="40"/>
      <c r="S61" s="39"/>
      <c r="T61" s="37"/>
      <c r="U61" s="37"/>
      <c r="V61" s="37"/>
      <c r="W61" s="37"/>
      <c r="X61" s="37"/>
      <c r="Y61" s="37"/>
      <c r="Z61" s="96"/>
      <c r="AA61" s="37"/>
    </row>
    <row r="62" spans="1:27" s="86" customFormat="1" ht="14.5" x14ac:dyDescent="0.25">
      <c r="A62" s="32">
        <f t="shared" ref="A62:A66" si="41">+A61+1</f>
        <v>51</v>
      </c>
      <c r="B62" s="106"/>
      <c r="C62" s="106"/>
      <c r="D62" s="106"/>
      <c r="E62" s="33"/>
      <c r="F62" s="98"/>
      <c r="G62" s="35"/>
      <c r="H62" s="35"/>
      <c r="I62" s="35"/>
      <c r="J62" s="36"/>
      <c r="K62" s="36"/>
      <c r="L62" s="36"/>
      <c r="M62" s="37"/>
      <c r="N62" s="38"/>
      <c r="O62" s="39"/>
      <c r="P62" s="38"/>
      <c r="Q62" s="39"/>
      <c r="R62" s="40"/>
      <c r="S62" s="39"/>
      <c r="T62" s="37"/>
      <c r="U62" s="37"/>
      <c r="V62" s="37"/>
      <c r="W62" s="37"/>
      <c r="X62" s="37"/>
      <c r="Y62" s="37"/>
      <c r="Z62" s="96"/>
      <c r="AA62" s="37"/>
    </row>
    <row r="63" spans="1:27" s="86" customFormat="1" ht="14.5" x14ac:dyDescent="0.25">
      <c r="A63" s="32">
        <f t="shared" si="41"/>
        <v>52</v>
      </c>
      <c r="B63" s="106"/>
      <c r="C63" s="106"/>
      <c r="D63" s="106"/>
      <c r="E63" s="33"/>
      <c r="F63" s="98"/>
      <c r="G63" s="35"/>
      <c r="H63" s="35"/>
      <c r="I63" s="35"/>
      <c r="J63" s="36"/>
      <c r="K63" s="36"/>
      <c r="L63" s="36"/>
      <c r="M63" s="37"/>
      <c r="N63" s="38"/>
      <c r="O63" s="39"/>
      <c r="P63" s="38"/>
      <c r="Q63" s="39"/>
      <c r="R63" s="40"/>
      <c r="S63" s="39"/>
      <c r="T63" s="37"/>
      <c r="U63" s="37"/>
      <c r="V63" s="37"/>
      <c r="W63" s="37"/>
      <c r="X63" s="37"/>
      <c r="Y63" s="37"/>
      <c r="Z63" s="96"/>
      <c r="AA63" s="37"/>
    </row>
    <row r="64" spans="1:27" s="86" customFormat="1" ht="14.5" x14ac:dyDescent="0.25">
      <c r="A64" s="32">
        <f t="shared" si="41"/>
        <v>53</v>
      </c>
      <c r="B64" s="106"/>
      <c r="C64" s="106"/>
      <c r="D64" s="106"/>
      <c r="E64" s="33"/>
      <c r="F64" s="98"/>
      <c r="G64" s="35"/>
      <c r="H64" s="35"/>
      <c r="I64" s="35"/>
      <c r="J64" s="36"/>
      <c r="K64" s="36"/>
      <c r="L64" s="36"/>
      <c r="M64" s="37"/>
      <c r="N64" s="38"/>
      <c r="O64" s="39"/>
      <c r="P64" s="38"/>
      <c r="Q64" s="39"/>
      <c r="R64" s="40"/>
      <c r="S64" s="39"/>
      <c r="T64" s="37"/>
      <c r="U64" s="37"/>
      <c r="V64" s="37"/>
      <c r="W64" s="37"/>
      <c r="X64" s="37"/>
      <c r="Y64" s="37"/>
      <c r="Z64" s="96"/>
      <c r="AA64" s="37"/>
    </row>
    <row r="65" spans="1:27" s="86" customFormat="1" ht="14.5" x14ac:dyDescent="0.25">
      <c r="A65" s="32">
        <f t="shared" si="41"/>
        <v>54</v>
      </c>
      <c r="B65" s="106"/>
      <c r="C65" s="106"/>
      <c r="D65" s="106"/>
      <c r="E65" s="33"/>
      <c r="F65" s="98"/>
      <c r="G65" s="35"/>
      <c r="H65" s="35"/>
      <c r="I65" s="36"/>
      <c r="J65" s="36"/>
      <c r="K65" s="36"/>
      <c r="L65" s="36"/>
      <c r="M65" s="37"/>
      <c r="N65" s="38"/>
      <c r="O65" s="39"/>
      <c r="P65" s="38"/>
      <c r="Q65" s="39"/>
      <c r="R65" s="40"/>
      <c r="S65" s="39"/>
      <c r="T65" s="37"/>
      <c r="U65" s="37"/>
      <c r="V65" s="37"/>
      <c r="W65" s="37"/>
      <c r="X65" s="37"/>
      <c r="Y65" s="37"/>
      <c r="Z65" s="96"/>
      <c r="AA65" s="37"/>
    </row>
    <row r="66" spans="1:27" s="86" customFormat="1" ht="14.5" x14ac:dyDescent="0.25">
      <c r="A66" s="32">
        <f t="shared" si="41"/>
        <v>55</v>
      </c>
      <c r="B66" s="106"/>
      <c r="C66" s="106"/>
      <c r="D66" s="106"/>
      <c r="E66" s="33"/>
      <c r="F66" s="99"/>
      <c r="G66" s="35"/>
      <c r="H66" s="35"/>
      <c r="I66" s="35"/>
      <c r="J66" s="36"/>
      <c r="K66" s="36"/>
      <c r="L66" s="36"/>
      <c r="M66" s="37"/>
      <c r="N66" s="38"/>
      <c r="O66" s="39"/>
      <c r="P66" s="38"/>
      <c r="Q66" s="39"/>
      <c r="R66" s="40"/>
      <c r="S66" s="39"/>
      <c r="T66" s="37"/>
      <c r="U66" s="37"/>
      <c r="V66" s="37"/>
      <c r="W66" s="37"/>
      <c r="X66" s="37"/>
      <c r="Y66" s="37"/>
      <c r="AA66" s="37"/>
    </row>
    <row r="67" spans="1:27" x14ac:dyDescent="0.3">
      <c r="L67" s="104"/>
    </row>
    <row r="68" spans="1:27" ht="14.5" x14ac:dyDescent="0.25">
      <c r="A68" s="32">
        <f>+A66+1</f>
        <v>56</v>
      </c>
      <c r="B68" s="118"/>
      <c r="C68" s="106"/>
      <c r="D68" s="106"/>
      <c r="E68" s="33"/>
      <c r="F68" s="100"/>
      <c r="G68" s="35"/>
      <c r="H68" s="35"/>
      <c r="I68" s="35"/>
      <c r="J68" s="36"/>
      <c r="K68" s="36"/>
      <c r="L68" s="36"/>
      <c r="M68" s="101"/>
      <c r="N68" s="38"/>
      <c r="O68" s="39"/>
      <c r="P68" s="38"/>
      <c r="Q68" s="39"/>
      <c r="R68" s="40"/>
      <c r="S68" s="39"/>
      <c r="T68" s="37"/>
      <c r="U68" s="37"/>
      <c r="V68" s="37"/>
      <c r="W68" s="37"/>
      <c r="X68" s="37"/>
      <c r="Y68" s="37"/>
      <c r="AA68" s="37"/>
    </row>
    <row r="69" spans="1:27" ht="14.5" x14ac:dyDescent="0.25">
      <c r="A69" s="32">
        <f t="shared" ref="A69:A70" si="42">+A68+1</f>
        <v>57</v>
      </c>
      <c r="B69" s="118"/>
      <c r="C69" s="106"/>
      <c r="D69" s="106"/>
      <c r="E69" s="33"/>
      <c r="F69" s="100"/>
      <c r="G69" s="35"/>
      <c r="H69" s="35"/>
      <c r="I69" s="35"/>
      <c r="J69" s="36"/>
      <c r="K69" s="36"/>
      <c r="L69" s="36"/>
      <c r="M69" s="101"/>
      <c r="N69" s="38"/>
      <c r="O69" s="39"/>
      <c r="P69" s="38"/>
      <c r="Q69" s="39"/>
      <c r="R69" s="40"/>
      <c r="S69" s="39"/>
      <c r="T69" s="37"/>
      <c r="U69" s="37"/>
      <c r="V69" s="37"/>
      <c r="W69" s="37"/>
      <c r="X69" s="37"/>
      <c r="Y69" s="37"/>
      <c r="AA69" s="37"/>
    </row>
    <row r="70" spans="1:27" ht="14.5" x14ac:dyDescent="0.25">
      <c r="A70" s="32">
        <f t="shared" si="42"/>
        <v>58</v>
      </c>
      <c r="B70" s="118"/>
      <c r="C70" s="106"/>
      <c r="D70" s="106"/>
      <c r="E70" s="33"/>
      <c r="F70" s="100"/>
      <c r="G70" s="35"/>
      <c r="H70" s="35"/>
      <c r="I70" s="35"/>
      <c r="J70" s="36"/>
      <c r="K70" s="36"/>
      <c r="L70" s="36"/>
      <c r="M70" s="101"/>
      <c r="N70" s="38"/>
      <c r="O70" s="39"/>
      <c r="P70" s="38"/>
      <c r="Q70" s="39"/>
      <c r="R70" s="40"/>
      <c r="S70" s="39"/>
      <c r="T70" s="37"/>
      <c r="U70" s="37"/>
      <c r="V70" s="37"/>
      <c r="W70" s="37"/>
      <c r="X70" s="37"/>
      <c r="Y70" s="37"/>
      <c r="AA70" s="37"/>
    </row>
    <row r="71" spans="1:27" x14ac:dyDescent="0.3">
      <c r="B71" s="119"/>
    </row>
  </sheetData>
  <customSheetViews>
    <customSheetView guid="{C0439D6B-0A53-400D-9380-18C16C3AB4D8}" showAutoFilter="1">
      <selection activeCell="E8" sqref="E8"/>
      <pageMargins left="0.7" right="0.7" top="0.75" bottom="0.75" header="0.3" footer="0.3"/>
      <pageSetup orientation="portrait" horizontalDpi="0" verticalDpi="0" r:id="rId1"/>
      <autoFilter ref="A2:H123" xr:uid="{CF0C29FC-FD7E-47D4-AC19-84EED358ECBE}"/>
    </customSheetView>
  </customSheetViews>
  <mergeCells count="15">
    <mergeCell ref="A3:E3"/>
    <mergeCell ref="F3:Y3"/>
    <mergeCell ref="A4:A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D4:D5"/>
  </mergeCells>
  <conditionalFormatting sqref="A3:D3 A71:D145 D4 A4:A5 B5:C5">
    <cfRule type="cellIs" dxfId="24" priority="13" stopIfTrue="1" operator="lessThan">
      <formula>1</formula>
    </cfRule>
  </conditionalFormatting>
  <conditionalFormatting sqref="A6:D67">
    <cfRule type="cellIs" dxfId="23" priority="8" stopIfTrue="1" operator="lessThan">
      <formula>1</formula>
    </cfRule>
  </conditionalFormatting>
  <conditionalFormatting sqref="A68:D70">
    <cfRule type="cellIs" dxfId="22" priority="2" stopIfTrue="1" operator="lessThan">
      <formula>1</formula>
    </cfRule>
  </conditionalFormatting>
  <conditionalFormatting sqref="A159:D163">
    <cfRule type="cellIs" dxfId="21" priority="12" stopIfTrue="1" operator="lessThan">
      <formula>1</formula>
    </cfRule>
  </conditionalFormatting>
  <conditionalFormatting sqref="A170:D172">
    <cfRule type="cellIs" dxfId="20" priority="11" stopIfTrue="1" operator="lessThan">
      <formula>1</formula>
    </cfRule>
  </conditionalFormatting>
  <conditionalFormatting sqref="D1:D3 D71:D1048576 D6:D67">
    <cfRule type="duplicateValues" dxfId="19" priority="6"/>
  </conditionalFormatting>
  <conditionalFormatting sqref="D6:D66">
    <cfRule type="duplicateValues" dxfId="18" priority="7"/>
  </conditionalFormatting>
  <pageMargins left="0.7" right="0.7" top="0.75" bottom="0.75" header="0.3" footer="0.3"/>
  <pageSetup orientation="portrait" r:id="rId2"/>
  <customProperties>
    <customPr name="_pios_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tabSelected="1" topLeftCell="B12" zoomScale="70" zoomScaleNormal="70" workbookViewId="0">
      <selection activeCell="L27" sqref="L27"/>
    </sheetView>
  </sheetViews>
  <sheetFormatPr defaultRowHeight="21" x14ac:dyDescent="0.5"/>
  <cols>
    <col min="1" max="1" width="12.1796875" hidden="1" customWidth="1"/>
    <col min="2" max="2" width="12.1796875" style="2" bestFit="1" customWidth="1"/>
    <col min="3" max="3" width="43.1796875" style="1" bestFit="1" customWidth="1"/>
    <col min="4" max="4" width="6" style="116" bestFit="1" customWidth="1"/>
    <col min="5" max="5" width="14.1796875" style="1" bestFit="1" customWidth="1"/>
    <col min="6" max="6" width="13" style="1" bestFit="1" customWidth="1"/>
    <col min="7" max="7" width="11.54296875" style="2" bestFit="1" customWidth="1"/>
    <col min="8" max="8" width="11.1796875" style="20" customWidth="1"/>
    <col min="9" max="9" width="0.81640625" style="2" customWidth="1"/>
    <col min="10" max="10" width="24.81640625" style="4" customWidth="1"/>
    <col min="11" max="11" width="0.81640625" style="2" customWidth="1"/>
    <col min="12" max="12" width="22" style="2" customWidth="1"/>
    <col min="13" max="13" width="8.7265625" customWidth="1"/>
    <col min="14" max="14" width="4" customWidth="1"/>
    <col min="15" max="15" width="8.7265625" customWidth="1"/>
  </cols>
  <sheetData>
    <row r="1" spans="1:17" ht="21.5" thickBot="1" x14ac:dyDescent="0.55000000000000004"/>
    <row r="2" spans="1:17" ht="46.5" thickBot="1" x14ac:dyDescent="0.55000000000000004">
      <c r="B2" s="148" t="s">
        <v>26</v>
      </c>
      <c r="C2" s="149"/>
      <c r="D2" s="149"/>
      <c r="E2" s="149"/>
      <c r="F2" s="149"/>
      <c r="G2" s="149"/>
      <c r="H2" s="150"/>
      <c r="J2" s="122" t="s">
        <v>6</v>
      </c>
      <c r="L2" s="124">
        <f>SUM(H13:H22)</f>
        <v>1000</v>
      </c>
    </row>
    <row r="3" spans="1:17" ht="28.5" x14ac:dyDescent="0.5">
      <c r="B3" s="151"/>
      <c r="C3" s="166" t="s">
        <v>25</v>
      </c>
      <c r="D3" s="167"/>
      <c r="E3" s="154" t="s">
        <v>60</v>
      </c>
      <c r="F3" s="155"/>
      <c r="G3" s="156"/>
      <c r="H3" s="157"/>
      <c r="J3" s="123" t="s">
        <v>5</v>
      </c>
      <c r="L3" s="125">
        <f>SUM(J13:J22)</f>
        <v>2353536</v>
      </c>
    </row>
    <row r="4" spans="1:17" ht="28.5" x14ac:dyDescent="0.5">
      <c r="B4" s="152"/>
      <c r="C4" s="168" t="s">
        <v>1</v>
      </c>
      <c r="D4" s="169"/>
      <c r="E4" s="158">
        <f ca="1">TODAY()</f>
        <v>46302</v>
      </c>
      <c r="F4" s="159"/>
      <c r="G4" s="160"/>
      <c r="H4" s="161"/>
      <c r="J4" s="123" t="s">
        <v>54</v>
      </c>
      <c r="L4" s="125">
        <f>SUM(L13:L19)</f>
        <v>549152.54237288132</v>
      </c>
    </row>
    <row r="5" spans="1:17" ht="28.5" x14ac:dyDescent="0.5">
      <c r="B5" s="152"/>
      <c r="C5" s="168" t="s">
        <v>24</v>
      </c>
      <c r="D5" s="169"/>
      <c r="E5" s="158">
        <f ca="1">+E4+1</f>
        <v>46303</v>
      </c>
      <c r="F5" s="159"/>
      <c r="G5" s="160"/>
      <c r="H5" s="161"/>
      <c r="J5" s="123" t="s">
        <v>4</v>
      </c>
      <c r="L5" s="125">
        <f>L4+L3</f>
        <v>2902688.5423728814</v>
      </c>
    </row>
    <row r="6" spans="1:17" ht="29" thickBot="1" x14ac:dyDescent="0.55000000000000004">
      <c r="B6" s="153"/>
      <c r="C6" s="170" t="s">
        <v>2</v>
      </c>
      <c r="D6" s="171"/>
      <c r="E6" s="162" t="s">
        <v>61</v>
      </c>
      <c r="F6" s="163"/>
      <c r="G6" s="164"/>
      <c r="H6" s="165"/>
      <c r="J6" s="123" t="s">
        <v>55</v>
      </c>
      <c r="L6" s="126">
        <f>L5*0.1%</f>
        <v>2902.6885423728813</v>
      </c>
    </row>
    <row r="7" spans="1:17" ht="23.5" hidden="1" x14ac:dyDescent="0.5">
      <c r="B7" s="3"/>
      <c r="C7" s="3"/>
      <c r="D7" s="3"/>
      <c r="E7" s="3"/>
      <c r="F7" s="3"/>
      <c r="G7" s="3"/>
      <c r="H7" s="3"/>
      <c r="J7" s="123" t="s">
        <v>32</v>
      </c>
      <c r="L7" s="125"/>
      <c r="N7" s="2"/>
    </row>
    <row r="8" spans="1:17" ht="23.5" x14ac:dyDescent="0.5">
      <c r="G8" s="1"/>
      <c r="H8" s="1"/>
      <c r="I8" s="1"/>
      <c r="J8" s="123" t="s">
        <v>33</v>
      </c>
      <c r="K8" s="1"/>
      <c r="L8" s="125">
        <f>+L5+L6</f>
        <v>2905591.2309152544</v>
      </c>
      <c r="N8" s="115"/>
    </row>
    <row r="9" spans="1:17" ht="23.5" x14ac:dyDescent="0.5">
      <c r="G9" s="1"/>
      <c r="H9" s="1"/>
      <c r="I9" s="1"/>
      <c r="J9" s="129">
        <v>0.6</v>
      </c>
      <c r="K9" s="1"/>
      <c r="L9" s="130">
        <f>L8*J9</f>
        <v>1743354.7385491526</v>
      </c>
      <c r="N9" s="115"/>
    </row>
    <row r="10" spans="1:17" ht="23.5" x14ac:dyDescent="0.5">
      <c r="G10" s="1"/>
      <c r="H10" s="1"/>
      <c r="I10" s="1"/>
      <c r="J10" s="129">
        <v>0.4</v>
      </c>
      <c r="K10" s="1"/>
      <c r="L10" s="130">
        <f>L8*J10</f>
        <v>1162236.4923661018</v>
      </c>
      <c r="N10" s="115"/>
    </row>
    <row r="11" spans="1:17" ht="57" customHeight="1" thickBot="1" x14ac:dyDescent="0.55000000000000004">
      <c r="H11" s="1"/>
      <c r="J11" s="7"/>
      <c r="L11" s="4"/>
    </row>
    <row r="12" spans="1:17" ht="56" thickBot="1" x14ac:dyDescent="0.55000000000000004">
      <c r="A12" s="72" t="s">
        <v>31</v>
      </c>
      <c r="B12" s="72" t="s">
        <v>31</v>
      </c>
      <c r="C12" s="73" t="s">
        <v>0</v>
      </c>
      <c r="D12" s="74" t="s">
        <v>3</v>
      </c>
      <c r="E12" s="75" t="s">
        <v>57</v>
      </c>
      <c r="F12" s="75" t="s">
        <v>27</v>
      </c>
      <c r="G12" s="75" t="s">
        <v>58</v>
      </c>
      <c r="H12" s="76" t="s">
        <v>28</v>
      </c>
      <c r="I12" s="77"/>
      <c r="J12" s="78" t="s">
        <v>23</v>
      </c>
      <c r="K12" s="91"/>
      <c r="L12" s="87" t="s">
        <v>59</v>
      </c>
    </row>
    <row r="13" spans="1:17" x14ac:dyDescent="0.5">
      <c r="A13" s="113"/>
      <c r="B13" s="111" t="s">
        <v>45</v>
      </c>
      <c r="C13" s="79" t="str">
        <f>VLOOKUP(B13,'SKU Details'!D6:AA66,2,0)</f>
        <v xml:space="preserve">Meat Masala </v>
      </c>
      <c r="D13" s="80">
        <f>VLOOKUP($B13,'SKU Details'!D6:Y58,3,0)</f>
        <v>70</v>
      </c>
      <c r="E13" s="80">
        <f>VLOOKUP($B13,'SKU Details'!D6:Y58,4,0)</f>
        <v>40</v>
      </c>
      <c r="F13" s="80">
        <f>VLOOKUP($B13,'SKU Details'!D6:Y58,6,0)</f>
        <v>65</v>
      </c>
      <c r="G13" s="105">
        <f>VLOOKUP($B13,'SKU Details'!D6:Y58,17,0)</f>
        <v>1699.7849999999999</v>
      </c>
      <c r="H13" s="103"/>
      <c r="I13" s="81"/>
      <c r="J13" s="82">
        <f t="shared" ref="J13:J21" si="0">(H13*G13)</f>
        <v>0</v>
      </c>
      <c r="K13" s="91"/>
      <c r="L13" s="88">
        <f>+P13</f>
        <v>0</v>
      </c>
      <c r="N13" s="127"/>
      <c r="O13" s="128">
        <f>+F13-F13/1.18</f>
        <v>9.9152542372881314</v>
      </c>
      <c r="P13">
        <f>+O13*Q13</f>
        <v>0</v>
      </c>
      <c r="Q13">
        <f>+E13*H13</f>
        <v>0</v>
      </c>
    </row>
    <row r="14" spans="1:17" x14ac:dyDescent="0.5">
      <c r="A14" s="114"/>
      <c r="B14" s="112" t="s">
        <v>44</v>
      </c>
      <c r="C14" s="11" t="str">
        <f>VLOOKUP(B14,'SKU Details'!D7:AA67,2,0)</f>
        <v>Lemon Tarka</v>
      </c>
      <c r="D14" s="12">
        <f>VLOOKUP($B14,'SKU Details'!D7:Y59,3,0)</f>
        <v>70</v>
      </c>
      <c r="E14" s="12">
        <f>VLOOKUP($B14,'SKU Details'!D7:Y59,4,0)</f>
        <v>40</v>
      </c>
      <c r="F14" s="12">
        <f>VLOOKUP($B14,'SKU Details'!D7:Y59,6,0)</f>
        <v>65</v>
      </c>
      <c r="G14" s="102">
        <f>VLOOKUP($B14,'SKU Details'!D7:Y59,17,0)</f>
        <v>1699.7849999999999</v>
      </c>
      <c r="H14" s="97"/>
      <c r="I14" s="83"/>
      <c r="J14" s="16">
        <f t="shared" si="0"/>
        <v>0</v>
      </c>
      <c r="K14" s="92"/>
      <c r="L14" s="89">
        <f>+P14</f>
        <v>0</v>
      </c>
      <c r="N14" s="127"/>
      <c r="O14" s="128">
        <f t="shared" ref="O14:O19" si="1">+F14-F14/1.18</f>
        <v>9.9152542372881314</v>
      </c>
      <c r="P14">
        <f>+O14*Q14</f>
        <v>0</v>
      </c>
      <c r="Q14">
        <f t="shared" ref="Q14:Q18" si="2">+E14*H14</f>
        <v>0</v>
      </c>
    </row>
    <row r="15" spans="1:17" x14ac:dyDescent="0.5">
      <c r="A15" s="114"/>
      <c r="B15" s="112" t="s">
        <v>43</v>
      </c>
      <c r="C15" s="11" t="str">
        <f>VLOOKUP(B15,'SKU Details'!D8:AA68,2,0)</f>
        <v>Chicken Chatkhara</v>
      </c>
      <c r="D15" s="12">
        <f>VLOOKUP($B15,'SKU Details'!D8:Y60,3,0)</f>
        <v>70</v>
      </c>
      <c r="E15" s="12">
        <f>VLOOKUP($B15,'SKU Details'!D8:Y60,4,0)</f>
        <v>40</v>
      </c>
      <c r="F15" s="12">
        <f>VLOOKUP($B15,'SKU Details'!D8:Y60,6,0)</f>
        <v>65</v>
      </c>
      <c r="G15" s="102">
        <f>VLOOKUP($B15,'SKU Details'!D8:Y60,17,0)</f>
        <v>1699.7849999999999</v>
      </c>
      <c r="H15" s="97"/>
      <c r="I15" s="83"/>
      <c r="J15" s="16">
        <f t="shared" si="0"/>
        <v>0</v>
      </c>
      <c r="K15" s="92"/>
      <c r="L15" s="89">
        <f>+P15</f>
        <v>0</v>
      </c>
      <c r="N15" s="127"/>
      <c r="O15" s="128">
        <f t="shared" si="1"/>
        <v>9.9152542372881314</v>
      </c>
      <c r="P15">
        <f>+O15*Q15</f>
        <v>0</v>
      </c>
      <c r="Q15">
        <f t="shared" si="2"/>
        <v>0</v>
      </c>
    </row>
    <row r="16" spans="1:17" x14ac:dyDescent="0.5">
      <c r="A16" s="114"/>
      <c r="B16" s="112" t="s">
        <v>48</v>
      </c>
      <c r="C16" s="11" t="str">
        <f>VLOOKUP(B16,'SKU Details'!D9:AA69,2,0)</f>
        <v>Meat Masala (Jumbo)</v>
      </c>
      <c r="D16" s="12">
        <f>VLOOKUP($B16,'SKU Details'!D9:Y61,3,0)</f>
        <v>120</v>
      </c>
      <c r="E16" s="12">
        <f>VLOOKUP($B16,'SKU Details'!D9:Y61,4,0)</f>
        <v>40</v>
      </c>
      <c r="F16" s="12">
        <f>VLOOKUP($B16,'SKU Details'!D9:Y61,6,0)</f>
        <v>90</v>
      </c>
      <c r="G16" s="102">
        <f>VLOOKUP($B16,'SKU Details'!D9:Y61,17,0)</f>
        <v>2353.5360000000001</v>
      </c>
      <c r="H16" s="97">
        <v>350</v>
      </c>
      <c r="I16" s="83"/>
      <c r="J16" s="16">
        <f t="shared" si="0"/>
        <v>823737.6</v>
      </c>
      <c r="K16" s="92"/>
      <c r="L16" s="89">
        <f t="shared" ref="L16:L19" si="3">+P16</f>
        <v>192203.38983050847</v>
      </c>
      <c r="N16" s="127"/>
      <c r="O16" s="128">
        <f t="shared" si="1"/>
        <v>13.728813559322035</v>
      </c>
      <c r="P16">
        <f>+O16*Q16</f>
        <v>192203.38983050847</v>
      </c>
      <c r="Q16">
        <f t="shared" si="2"/>
        <v>14000</v>
      </c>
    </row>
    <row r="17" spans="1:17" x14ac:dyDescent="0.5">
      <c r="A17" s="114"/>
      <c r="B17" s="112" t="s">
        <v>47</v>
      </c>
      <c r="C17" s="11" t="str">
        <f>VLOOKUP(B17,'SKU Details'!D10:AA70,2,0)</f>
        <v>Lemon Tarka (Jumbo)</v>
      </c>
      <c r="D17" s="12">
        <f>VLOOKUP($B17,'SKU Details'!D10:Y62,3,0)</f>
        <v>120</v>
      </c>
      <c r="E17" s="12">
        <f>VLOOKUP($B17,'SKU Details'!D10:Y62,4,0)</f>
        <v>40</v>
      </c>
      <c r="F17" s="12">
        <f>VLOOKUP($B17,'SKU Details'!D10:Y62,6,0)</f>
        <v>90</v>
      </c>
      <c r="G17" s="102">
        <f>VLOOKUP($B17,'SKU Details'!D10:Y62,17,0)</f>
        <v>2353.5360000000001</v>
      </c>
      <c r="H17" s="97">
        <v>300</v>
      </c>
      <c r="I17" s="83"/>
      <c r="J17" s="16">
        <f t="shared" si="0"/>
        <v>706060.80000000005</v>
      </c>
      <c r="K17" s="92"/>
      <c r="L17" s="89">
        <f t="shared" si="3"/>
        <v>164745.7627118644</v>
      </c>
      <c r="N17" s="127"/>
      <c r="O17" s="128">
        <f t="shared" si="1"/>
        <v>13.728813559322035</v>
      </c>
      <c r="P17">
        <f>+O17*Q17</f>
        <v>164745.7627118644</v>
      </c>
      <c r="Q17">
        <f t="shared" si="2"/>
        <v>12000</v>
      </c>
    </row>
    <row r="18" spans="1:17" x14ac:dyDescent="0.5">
      <c r="A18" s="114"/>
      <c r="B18" s="112" t="s">
        <v>46</v>
      </c>
      <c r="C18" s="11" t="str">
        <f>VLOOKUP(B18,'SKU Details'!D11:AA71,2,0)</f>
        <v>Chicken Chatkhara (Jumbo)</v>
      </c>
      <c r="D18" s="12">
        <f>VLOOKUP($B18,'SKU Details'!D11:Y63,3,0)</f>
        <v>120</v>
      </c>
      <c r="E18" s="12">
        <f>VLOOKUP($B18,'SKU Details'!D11:Y63,4,0)</f>
        <v>40</v>
      </c>
      <c r="F18" s="12">
        <f>VLOOKUP($B18,'SKU Details'!D11:Y63,6,0)</f>
        <v>90</v>
      </c>
      <c r="G18" s="102">
        <f>VLOOKUP($B18,'SKU Details'!D11:Y63,17,0)</f>
        <v>2353.5360000000001</v>
      </c>
      <c r="H18" s="97">
        <v>350</v>
      </c>
      <c r="I18" s="83"/>
      <c r="J18" s="16">
        <f t="shared" si="0"/>
        <v>823737.6</v>
      </c>
      <c r="K18" s="92"/>
      <c r="L18" s="89">
        <f t="shared" si="3"/>
        <v>192203.38983050847</v>
      </c>
      <c r="N18" s="127"/>
      <c r="O18" s="128">
        <f t="shared" si="1"/>
        <v>13.728813559322035</v>
      </c>
      <c r="P18">
        <f t="shared" ref="P18" si="4">+O18*Q18</f>
        <v>192203.38983050847</v>
      </c>
      <c r="Q18">
        <f t="shared" si="2"/>
        <v>14000</v>
      </c>
    </row>
    <row r="19" spans="1:17" x14ac:dyDescent="0.5">
      <c r="A19" s="114"/>
      <c r="B19" s="112" t="s">
        <v>50</v>
      </c>
      <c r="C19" s="11" t="str">
        <f>VLOOKUP(B19,'SKU Details'!D12:AA72,2,0)</f>
        <v>Chicken Chatkhara  (ECO)</v>
      </c>
      <c r="D19" s="12">
        <f>VLOOKUP($B19,'SKU Details'!D12:Y64,3,0)</f>
        <v>60</v>
      </c>
      <c r="E19" s="12">
        <f>VLOOKUP($B19,'SKU Details'!D12:Y64,4,0)</f>
        <v>40</v>
      </c>
      <c r="F19" s="12">
        <f>VLOOKUP($B19,'SKU Details'!D12:Y64,6,0)</f>
        <v>50</v>
      </c>
      <c r="G19" s="102">
        <f>VLOOKUP($B19,'SKU Details'!D12:Y64,17,0)</f>
        <v>1388.742</v>
      </c>
      <c r="H19" s="97"/>
      <c r="I19" s="9"/>
      <c r="J19" s="16">
        <f t="shared" si="0"/>
        <v>0</v>
      </c>
      <c r="K19" s="93"/>
      <c r="L19" s="89">
        <f t="shared" si="3"/>
        <v>0</v>
      </c>
      <c r="N19" s="127"/>
      <c r="O19" s="128">
        <f t="shared" si="1"/>
        <v>7.6271186440677923</v>
      </c>
      <c r="P19">
        <f>+O19*Q19</f>
        <v>0</v>
      </c>
      <c r="Q19">
        <f>+E19*H19</f>
        <v>0</v>
      </c>
    </row>
    <row r="20" spans="1:17" hidden="1" x14ac:dyDescent="0.5">
      <c r="A20" s="114"/>
      <c r="B20" s="112" t="s">
        <v>51</v>
      </c>
      <c r="C20" s="11" t="str">
        <f>VLOOKUP(B20,'SKU Details'!D13:AA73,2,0)</f>
        <v>Lemon Tarka (ECO)</v>
      </c>
      <c r="D20" s="12">
        <f>VLOOKUP($B20,'SKU Details'!D13:Y65,3,0)</f>
        <v>60</v>
      </c>
      <c r="E20" s="12">
        <f>VLOOKUP($B20,'SKU Details'!D13:Y65,4,0)</f>
        <v>40</v>
      </c>
      <c r="F20" s="12">
        <f>VLOOKUP($B20,'SKU Details'!D13:Y65,6,0)</f>
        <v>50</v>
      </c>
      <c r="G20" s="102">
        <f>VLOOKUP($B20,'SKU Details'!D13:Y65,17,0)</f>
        <v>1388.742</v>
      </c>
      <c r="H20" s="97"/>
      <c r="I20" s="10"/>
      <c r="J20" s="16">
        <f t="shared" si="0"/>
        <v>0</v>
      </c>
      <c r="K20" s="94"/>
      <c r="L20" s="89">
        <f>(VLOOKUP(B20,'SKU Details'!D13:AA65,24,0)/1000)*H20</f>
        <v>0</v>
      </c>
    </row>
    <row r="21" spans="1:17" hidden="1" x14ac:dyDescent="0.5">
      <c r="A21" s="114"/>
      <c r="B21" s="112" t="s">
        <v>52</v>
      </c>
      <c r="C21" s="11" t="str">
        <f>VLOOKUP(B21,'SKU Details'!D14:AA74,2,0)</f>
        <v>Meat Masala (ECO)</v>
      </c>
      <c r="D21" s="12">
        <f>VLOOKUP($B21,'SKU Details'!D14:Y66,3,0)</f>
        <v>60</v>
      </c>
      <c r="E21" s="12">
        <f>VLOOKUP($B21,'SKU Details'!D14:Y66,4,0)</f>
        <v>40</v>
      </c>
      <c r="F21" s="12">
        <f>VLOOKUP($B21,'SKU Details'!D14:Y66,6,0)</f>
        <v>50</v>
      </c>
      <c r="G21" s="102">
        <f>VLOOKUP($B21,'SKU Details'!D14:Y66,17,0)</f>
        <v>1388.742</v>
      </c>
      <c r="H21" s="97"/>
      <c r="I21" s="10"/>
      <c r="J21" s="16">
        <f t="shared" si="0"/>
        <v>0</v>
      </c>
      <c r="K21" s="94"/>
      <c r="L21" s="89">
        <f>(VLOOKUP(B21,'SKU Details'!D14:AA66,24,0)/1000)*H21</f>
        <v>0</v>
      </c>
    </row>
    <row r="22" spans="1:17" ht="21.5" thickBot="1" x14ac:dyDescent="0.55000000000000004">
      <c r="A22" s="114"/>
      <c r="B22" s="112"/>
      <c r="C22" s="14"/>
      <c r="D22" s="14"/>
      <c r="E22" s="84" t="str">
        <f>IFERROR(VLOOKUP(B22,'SKU Details'!A:F,3,0),"")</f>
        <v/>
      </c>
      <c r="F22" s="84"/>
      <c r="G22" s="15" t="str">
        <f>IFERROR(VLOOKUP(B22,'SKU Details'!A:F,4,0),"")</f>
        <v/>
      </c>
      <c r="H22" s="18"/>
      <c r="I22" s="85"/>
      <c r="J22" s="13"/>
      <c r="K22" s="95"/>
      <c r="L22" s="90"/>
    </row>
    <row r="23" spans="1:17" x14ac:dyDescent="0.5">
      <c r="C23" s="2"/>
      <c r="D23" s="117"/>
      <c r="E23" s="5"/>
      <c r="F23" s="5"/>
      <c r="H23" s="19"/>
      <c r="J23" s="6"/>
    </row>
    <row r="36" spans="3:8" x14ac:dyDescent="0.5">
      <c r="C36" s="2"/>
      <c r="D36" s="117"/>
      <c r="E36" s="2"/>
      <c r="F36" s="2"/>
      <c r="H36" s="8"/>
    </row>
    <row r="37" spans="3:8" x14ac:dyDescent="0.5">
      <c r="C37" s="2"/>
      <c r="D37" s="117"/>
      <c r="E37" s="2"/>
      <c r="F37" s="2"/>
      <c r="H37" s="8"/>
    </row>
    <row r="38" spans="3:8" x14ac:dyDescent="0.5">
      <c r="C38" s="2"/>
      <c r="D38" s="117"/>
      <c r="E38" s="2"/>
      <c r="F38" s="2"/>
      <c r="H38" s="8"/>
    </row>
    <row r="39" spans="3:8" x14ac:dyDescent="0.5">
      <c r="C39" s="2"/>
      <c r="D39" s="117"/>
      <c r="E39" s="2"/>
      <c r="F39" s="2"/>
      <c r="H39" s="8"/>
    </row>
  </sheetData>
  <mergeCells count="10">
    <mergeCell ref="B2:H2"/>
    <mergeCell ref="B3:B6"/>
    <mergeCell ref="E3:H3"/>
    <mergeCell ref="E4:H4"/>
    <mergeCell ref="E5:H5"/>
    <mergeCell ref="E6:H6"/>
    <mergeCell ref="C3:D3"/>
    <mergeCell ref="C4:D4"/>
    <mergeCell ref="C5:D5"/>
    <mergeCell ref="C6:D6"/>
  </mergeCells>
  <conditionalFormatting sqref="A13:A22">
    <cfRule type="duplicateValues" dxfId="17" priority="23"/>
    <cfRule type="duplicateValues" dxfId="16" priority="24"/>
  </conditionalFormatting>
  <conditionalFormatting sqref="A13:B22 G22:H22">
    <cfRule type="cellIs" dxfId="15" priority="6" stopIfTrue="1" operator="lessThan">
      <formula>1</formula>
    </cfRule>
  </conditionalFormatting>
  <conditionalFormatting sqref="B3">
    <cfRule type="cellIs" dxfId="14" priority="22" stopIfTrue="1" operator="lessThan">
      <formula>1</formula>
    </cfRule>
  </conditionalFormatting>
  <conditionalFormatting sqref="B7">
    <cfRule type="cellIs" dxfId="13" priority="21" stopIfTrue="1" operator="lessThan">
      <formula>1</formula>
    </cfRule>
  </conditionalFormatting>
  <conditionalFormatting sqref="B13:B22">
    <cfRule type="duplicateValues" dxfId="12" priority="25"/>
    <cfRule type="duplicateValues" dxfId="11" priority="26"/>
  </conditionalFormatting>
  <conditionalFormatting sqref="H12:H21">
    <cfRule type="cellIs" dxfId="10" priority="18" stopIfTrue="1" operator="lessThan">
      <formula>1</formula>
    </cfRule>
  </conditionalFormatting>
  <conditionalFormatting sqref="L13:L21">
    <cfRule type="cellIs" dxfId="9" priority="17" stopIfTrue="1" operator="lessThan">
      <formula>1</formula>
    </cfRule>
  </conditionalFormatting>
  <dataValidations count="3">
    <dataValidation allowBlank="1" showInputMessage="1" showErrorMessage="1" promptTitle="Order No " prompt="_x000a_Example,_x000a__x000a_alphabates-Year-Month-order serial No_x000a__x000a_AB-2019-May-01" sqref="E6:H6" xr:uid="{00000000-0002-0000-0100-000000000000}"/>
    <dataValidation allowBlank="1" showInputMessage="1" showErrorMessage="1" promptTitle="Distributor Name " prompt="_x000a_Example,_x000a__x000a_ABC-Distributor" sqref="E3:H3" xr:uid="{00000000-0002-0000-0100-000001000000}"/>
    <dataValidation type="date" operator="greaterThan" allowBlank="1" showInputMessage="1" showErrorMessage="1" errorTitle="Date Error" error="Please type in the format_x000a__x000a_01-01-2019" prompt="Please type in the format_x000a__x000a_01-01-2019" sqref="E4:H5" xr:uid="{00000000-0002-0000-0100-000002000000}">
      <formula1>43466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0658-40FE-4E4B-9F39-B52C5394FA1D}">
  <dimension ref="A1:Q37"/>
  <sheetViews>
    <sheetView topLeftCell="B5" zoomScale="70" zoomScaleNormal="70" workbookViewId="0">
      <selection activeCell="O11" sqref="O11"/>
    </sheetView>
  </sheetViews>
  <sheetFormatPr defaultRowHeight="21" x14ac:dyDescent="0.5"/>
  <cols>
    <col min="1" max="1" width="12.1796875" hidden="1" customWidth="1"/>
    <col min="2" max="2" width="12.1796875" style="2" bestFit="1" customWidth="1"/>
    <col min="3" max="3" width="43.1796875" style="1" bestFit="1" customWidth="1"/>
    <col min="4" max="4" width="6" style="116" bestFit="1" customWidth="1"/>
    <col min="5" max="5" width="12.54296875" style="1" bestFit="1" customWidth="1"/>
    <col min="6" max="6" width="13" style="1" bestFit="1" customWidth="1"/>
    <col min="7" max="7" width="11.54296875" style="2" bestFit="1" customWidth="1"/>
    <col min="8" max="8" width="11.1796875" style="20" customWidth="1"/>
    <col min="9" max="9" width="0.81640625" style="2" customWidth="1"/>
    <col min="10" max="10" width="26" style="4" bestFit="1" customWidth="1"/>
    <col min="11" max="11" width="0.81640625" style="2" customWidth="1"/>
    <col min="12" max="12" width="18.7265625" style="2" bestFit="1" customWidth="1"/>
    <col min="13" max="13" width="8.7265625" customWidth="1"/>
    <col min="14" max="14" width="4" customWidth="1"/>
    <col min="15" max="15" width="8.7265625" customWidth="1"/>
  </cols>
  <sheetData>
    <row r="1" spans="1:17" ht="21.5" thickBot="1" x14ac:dyDescent="0.55000000000000004"/>
    <row r="2" spans="1:17" ht="46.5" thickBot="1" x14ac:dyDescent="0.55000000000000004">
      <c r="B2" s="148" t="s">
        <v>26</v>
      </c>
      <c r="C2" s="149"/>
      <c r="D2" s="149"/>
      <c r="E2" s="149"/>
      <c r="F2" s="149"/>
      <c r="G2" s="149"/>
      <c r="H2" s="150"/>
      <c r="J2" s="122" t="s">
        <v>6</v>
      </c>
      <c r="L2" s="124">
        <f>SUM(H11:H20)</f>
        <v>0</v>
      </c>
    </row>
    <row r="3" spans="1:17" ht="28.5" x14ac:dyDescent="0.5">
      <c r="B3" s="151"/>
      <c r="C3" s="166" t="s">
        <v>25</v>
      </c>
      <c r="D3" s="167"/>
      <c r="E3" s="154" t="s">
        <v>62</v>
      </c>
      <c r="F3" s="155"/>
      <c r="G3" s="156"/>
      <c r="H3" s="157"/>
      <c r="J3" s="123" t="s">
        <v>5</v>
      </c>
      <c r="L3" s="125">
        <f>SUM(J11:J20)</f>
        <v>0</v>
      </c>
    </row>
    <row r="4" spans="1:17" ht="28.5" x14ac:dyDescent="0.5">
      <c r="B4" s="152"/>
      <c r="C4" s="168" t="s">
        <v>1</v>
      </c>
      <c r="D4" s="169"/>
      <c r="E4" s="158"/>
      <c r="F4" s="159"/>
      <c r="G4" s="160"/>
      <c r="H4" s="161"/>
      <c r="J4" s="123" t="s">
        <v>54</v>
      </c>
      <c r="L4" s="125">
        <f>SUM(L11:L17)</f>
        <v>0</v>
      </c>
    </row>
    <row r="5" spans="1:17" ht="28.5" x14ac:dyDescent="0.5">
      <c r="B5" s="152"/>
      <c r="C5" s="168" t="s">
        <v>24</v>
      </c>
      <c r="D5" s="169"/>
      <c r="E5" s="158"/>
      <c r="F5" s="159"/>
      <c r="G5" s="160"/>
      <c r="H5" s="161"/>
      <c r="J5" s="123" t="s">
        <v>4</v>
      </c>
      <c r="L5" s="125">
        <f>L4+L3</f>
        <v>0</v>
      </c>
    </row>
    <row r="6" spans="1:17" ht="29" thickBot="1" x14ac:dyDescent="0.55000000000000004">
      <c r="B6" s="153"/>
      <c r="C6" s="170" t="s">
        <v>2</v>
      </c>
      <c r="D6" s="171"/>
      <c r="E6" s="162"/>
      <c r="F6" s="163"/>
      <c r="G6" s="164"/>
      <c r="H6" s="165"/>
      <c r="J6" s="123" t="s">
        <v>55</v>
      </c>
      <c r="L6" s="126">
        <f>L5*0.1%</f>
        <v>0</v>
      </c>
    </row>
    <row r="7" spans="1:17" ht="23.5" x14ac:dyDescent="0.5">
      <c r="B7" s="3"/>
      <c r="C7" s="3"/>
      <c r="D7" s="3"/>
      <c r="E7" s="3"/>
      <c r="F7" s="3"/>
      <c r="G7" s="3"/>
      <c r="H7" s="3"/>
      <c r="J7" s="123" t="s">
        <v>32</v>
      </c>
      <c r="L7" s="125"/>
      <c r="N7" s="2"/>
    </row>
    <row r="8" spans="1:17" ht="23.5" x14ac:dyDescent="0.5">
      <c r="G8" s="1"/>
      <c r="H8" s="1"/>
      <c r="I8" s="1"/>
      <c r="J8" s="123" t="s">
        <v>33</v>
      </c>
      <c r="K8" s="1"/>
      <c r="L8" s="125">
        <f>+L5+L6</f>
        <v>0</v>
      </c>
      <c r="N8" s="115"/>
    </row>
    <row r="9" spans="1:17" ht="57" customHeight="1" thickBot="1" x14ac:dyDescent="0.55000000000000004">
      <c r="H9" s="1"/>
      <c r="J9" s="7"/>
      <c r="L9" s="4"/>
    </row>
    <row r="10" spans="1:17" ht="56" thickBot="1" x14ac:dyDescent="0.55000000000000004">
      <c r="A10" s="72" t="s">
        <v>31</v>
      </c>
      <c r="B10" s="72" t="s">
        <v>31</v>
      </c>
      <c r="C10" s="73" t="s">
        <v>0</v>
      </c>
      <c r="D10" s="74" t="s">
        <v>3</v>
      </c>
      <c r="E10" s="75" t="s">
        <v>57</v>
      </c>
      <c r="F10" s="75" t="s">
        <v>27</v>
      </c>
      <c r="G10" s="75" t="s">
        <v>58</v>
      </c>
      <c r="H10" s="76" t="s">
        <v>28</v>
      </c>
      <c r="I10" s="77"/>
      <c r="J10" s="78" t="s">
        <v>23</v>
      </c>
      <c r="K10" s="91"/>
      <c r="L10" s="87" t="s">
        <v>59</v>
      </c>
    </row>
    <row r="11" spans="1:17" x14ac:dyDescent="0.5">
      <c r="A11" s="113"/>
      <c r="B11" s="111" t="s">
        <v>45</v>
      </c>
      <c r="C11" s="79" t="str">
        <f>VLOOKUP(B11,'SKU Details'!D6:AA66,2,0)</f>
        <v xml:space="preserve">Meat Masala </v>
      </c>
      <c r="D11" s="80">
        <f>VLOOKUP($B11,'SKU Details'!D6:Y58,3,0)</f>
        <v>70</v>
      </c>
      <c r="E11" s="80">
        <f>VLOOKUP($B11,'SKU Details'!D6:Y58,4,0)</f>
        <v>40</v>
      </c>
      <c r="F11" s="80">
        <f>VLOOKUP($B11,'SKU Details'!D6:Y58,6,0)</f>
        <v>65</v>
      </c>
      <c r="G11" s="105">
        <f>VLOOKUP($B11,'SKU Details'!D6:Y58,17,0)</f>
        <v>1699.7849999999999</v>
      </c>
      <c r="H11" s="103"/>
      <c r="I11" s="81"/>
      <c r="J11" s="82">
        <f t="shared" ref="J11:J19" si="0">(H11*G11)</f>
        <v>0</v>
      </c>
      <c r="K11" s="91"/>
      <c r="L11" s="88">
        <f>+P11</f>
        <v>0</v>
      </c>
      <c r="N11" s="127"/>
      <c r="O11" s="128">
        <f>+F11-F11/1.18</f>
        <v>9.9152542372881314</v>
      </c>
      <c r="P11">
        <f>+O11*Q11</f>
        <v>0</v>
      </c>
      <c r="Q11">
        <f>+E11*H11</f>
        <v>0</v>
      </c>
    </row>
    <row r="12" spans="1:17" x14ac:dyDescent="0.5">
      <c r="A12" s="114"/>
      <c r="B12" s="112" t="s">
        <v>44</v>
      </c>
      <c r="C12" s="11" t="str">
        <f>VLOOKUP(B12,'SKU Details'!D7:AA67,2,0)</f>
        <v>Lemon Tarka</v>
      </c>
      <c r="D12" s="12">
        <f>VLOOKUP($B12,'SKU Details'!D7:Y59,3,0)</f>
        <v>70</v>
      </c>
      <c r="E12" s="12">
        <f>VLOOKUP($B12,'SKU Details'!D7:Y59,4,0)</f>
        <v>40</v>
      </c>
      <c r="F12" s="12">
        <f>VLOOKUP($B12,'SKU Details'!D7:Y59,6,0)</f>
        <v>65</v>
      </c>
      <c r="G12" s="102">
        <f>VLOOKUP($B12,'SKU Details'!D7:Y59,17,0)</f>
        <v>1699.7849999999999</v>
      </c>
      <c r="H12" s="97"/>
      <c r="I12" s="83"/>
      <c r="J12" s="16">
        <f t="shared" si="0"/>
        <v>0</v>
      </c>
      <c r="K12" s="92"/>
      <c r="L12" s="89">
        <f>+P12</f>
        <v>0</v>
      </c>
      <c r="N12" s="127"/>
      <c r="O12" s="128">
        <f t="shared" ref="O12:O17" si="1">+F12-F12/1.18</f>
        <v>9.9152542372881314</v>
      </c>
      <c r="P12">
        <f>+O12*Q12</f>
        <v>0</v>
      </c>
      <c r="Q12">
        <f t="shared" ref="Q12:Q16" si="2">+E12*H12</f>
        <v>0</v>
      </c>
    </row>
    <row r="13" spans="1:17" x14ac:dyDescent="0.5">
      <c r="A13" s="114"/>
      <c r="B13" s="112" t="s">
        <v>43</v>
      </c>
      <c r="C13" s="11" t="str">
        <f>VLOOKUP(B13,'SKU Details'!D8:AA68,2,0)</f>
        <v>Chicken Chatkhara</v>
      </c>
      <c r="D13" s="12">
        <f>VLOOKUP($B13,'SKU Details'!D8:Y60,3,0)</f>
        <v>70</v>
      </c>
      <c r="E13" s="12">
        <f>VLOOKUP($B13,'SKU Details'!D8:Y60,4,0)</f>
        <v>40</v>
      </c>
      <c r="F13" s="12">
        <f>VLOOKUP($B13,'SKU Details'!D8:Y60,6,0)</f>
        <v>65</v>
      </c>
      <c r="G13" s="102">
        <f>VLOOKUP($B13,'SKU Details'!D8:Y60,17,0)</f>
        <v>1699.7849999999999</v>
      </c>
      <c r="H13" s="97"/>
      <c r="I13" s="83"/>
      <c r="J13" s="16">
        <f t="shared" si="0"/>
        <v>0</v>
      </c>
      <c r="K13" s="92"/>
      <c r="L13" s="89">
        <f>+P13</f>
        <v>0</v>
      </c>
      <c r="N13" s="127"/>
      <c r="O13" s="128">
        <f t="shared" si="1"/>
        <v>9.9152542372881314</v>
      </c>
      <c r="P13">
        <f>+O13*Q13</f>
        <v>0</v>
      </c>
      <c r="Q13">
        <f t="shared" si="2"/>
        <v>0</v>
      </c>
    </row>
    <row r="14" spans="1:17" x14ac:dyDescent="0.5">
      <c r="A14" s="114"/>
      <c r="B14" s="112" t="s">
        <v>48</v>
      </c>
      <c r="C14" s="11" t="str">
        <f>VLOOKUP(B14,'SKU Details'!D9:AA69,2,0)</f>
        <v>Meat Masala (Jumbo)</v>
      </c>
      <c r="D14" s="12">
        <f>VLOOKUP($B14,'SKU Details'!D9:Y61,3,0)</f>
        <v>120</v>
      </c>
      <c r="E14" s="12">
        <f>VLOOKUP($B14,'SKU Details'!D9:Y61,4,0)</f>
        <v>40</v>
      </c>
      <c r="F14" s="12">
        <f>VLOOKUP($B14,'SKU Details'!D9:Y61,6,0)</f>
        <v>90</v>
      </c>
      <c r="G14" s="102">
        <f>VLOOKUP($B14,'SKU Details'!D9:Y61,17,0)</f>
        <v>2353.5360000000001</v>
      </c>
      <c r="H14" s="97"/>
      <c r="I14" s="83"/>
      <c r="J14" s="16">
        <f t="shared" si="0"/>
        <v>0</v>
      </c>
      <c r="K14" s="92"/>
      <c r="L14" s="131">
        <f t="shared" ref="L14:L17" si="3">+P14</f>
        <v>0</v>
      </c>
      <c r="N14" s="127"/>
      <c r="O14" s="128">
        <f t="shared" si="1"/>
        <v>13.728813559322035</v>
      </c>
      <c r="P14">
        <f>+O14*Q14</f>
        <v>0</v>
      </c>
      <c r="Q14">
        <f t="shared" si="2"/>
        <v>0</v>
      </c>
    </row>
    <row r="15" spans="1:17" x14ac:dyDescent="0.5">
      <c r="A15" s="114"/>
      <c r="B15" s="112" t="s">
        <v>47</v>
      </c>
      <c r="C15" s="11" t="str">
        <f>VLOOKUP(B15,'SKU Details'!D10:AA70,2,0)</f>
        <v>Lemon Tarka (Jumbo)</v>
      </c>
      <c r="D15" s="12">
        <f>VLOOKUP($B15,'SKU Details'!D10:Y62,3,0)</f>
        <v>120</v>
      </c>
      <c r="E15" s="12">
        <f>VLOOKUP($B15,'SKU Details'!D10:Y62,4,0)</f>
        <v>40</v>
      </c>
      <c r="F15" s="12">
        <f>VLOOKUP($B15,'SKU Details'!D10:Y62,6,0)</f>
        <v>90</v>
      </c>
      <c r="G15" s="102">
        <f>VLOOKUP($B15,'SKU Details'!D10:Y62,17,0)</f>
        <v>2353.5360000000001</v>
      </c>
      <c r="H15" s="97"/>
      <c r="I15" s="83"/>
      <c r="J15" s="16">
        <f t="shared" si="0"/>
        <v>0</v>
      </c>
      <c r="K15" s="92"/>
      <c r="L15" s="131">
        <f t="shared" si="3"/>
        <v>0</v>
      </c>
      <c r="N15" s="127"/>
      <c r="O15" s="128">
        <f t="shared" si="1"/>
        <v>13.728813559322035</v>
      </c>
      <c r="P15">
        <f>+O15*Q15</f>
        <v>0</v>
      </c>
      <c r="Q15">
        <f t="shared" si="2"/>
        <v>0</v>
      </c>
    </row>
    <row r="16" spans="1:17" x14ac:dyDescent="0.5">
      <c r="A16" s="114"/>
      <c r="B16" s="112" t="s">
        <v>46</v>
      </c>
      <c r="C16" s="11" t="str">
        <f>VLOOKUP(B16,'SKU Details'!D11:AA71,2,0)</f>
        <v>Chicken Chatkhara (Jumbo)</v>
      </c>
      <c r="D16" s="12">
        <f>VLOOKUP($B16,'SKU Details'!D11:Y63,3,0)</f>
        <v>120</v>
      </c>
      <c r="E16" s="12">
        <f>VLOOKUP($B16,'SKU Details'!D11:Y63,4,0)</f>
        <v>40</v>
      </c>
      <c r="F16" s="12">
        <f>VLOOKUP($B16,'SKU Details'!D11:Y63,6,0)</f>
        <v>90</v>
      </c>
      <c r="G16" s="102">
        <f>VLOOKUP($B16,'SKU Details'!D11:Y63,17,0)</f>
        <v>2353.5360000000001</v>
      </c>
      <c r="H16" s="97"/>
      <c r="I16" s="83"/>
      <c r="J16" s="16">
        <f t="shared" si="0"/>
        <v>0</v>
      </c>
      <c r="K16" s="92"/>
      <c r="L16" s="131">
        <f t="shared" si="3"/>
        <v>0</v>
      </c>
      <c r="N16" s="127"/>
      <c r="O16" s="128">
        <f t="shared" si="1"/>
        <v>13.728813559322035</v>
      </c>
      <c r="P16">
        <f t="shared" ref="P16" si="4">+O16*Q16</f>
        <v>0</v>
      </c>
      <c r="Q16">
        <f t="shared" si="2"/>
        <v>0</v>
      </c>
    </row>
    <row r="17" spans="1:17" x14ac:dyDescent="0.5">
      <c r="A17" s="114"/>
      <c r="B17" s="112" t="s">
        <v>50</v>
      </c>
      <c r="C17" s="11" t="str">
        <f>VLOOKUP(B17,'SKU Details'!D12:AA72,2,0)</f>
        <v>Chicken Chatkhara  (ECO)</v>
      </c>
      <c r="D17" s="12">
        <f>VLOOKUP($B17,'SKU Details'!D12:Y64,3,0)</f>
        <v>60</v>
      </c>
      <c r="E17" s="12">
        <f>VLOOKUP($B17,'SKU Details'!D12:Y64,4,0)</f>
        <v>40</v>
      </c>
      <c r="F17" s="12">
        <f>VLOOKUP($B17,'SKU Details'!D12:Y64,6,0)</f>
        <v>50</v>
      </c>
      <c r="G17" s="102">
        <f>VLOOKUP($B17,'SKU Details'!D12:Y64,17,0)</f>
        <v>1388.742</v>
      </c>
      <c r="H17" s="97"/>
      <c r="I17" s="9"/>
      <c r="J17" s="16">
        <f t="shared" si="0"/>
        <v>0</v>
      </c>
      <c r="K17" s="93"/>
      <c r="L17" s="131">
        <f t="shared" si="3"/>
        <v>0</v>
      </c>
      <c r="N17" s="127"/>
      <c r="O17" s="128">
        <f t="shared" si="1"/>
        <v>7.6271186440677923</v>
      </c>
      <c r="P17">
        <f>+O17*Q17</f>
        <v>0</v>
      </c>
      <c r="Q17">
        <f>+E17*H17</f>
        <v>0</v>
      </c>
    </row>
    <row r="18" spans="1:17" hidden="1" x14ac:dyDescent="0.5">
      <c r="A18" s="114"/>
      <c r="B18" s="112" t="s">
        <v>51</v>
      </c>
      <c r="C18" s="11" t="str">
        <f>VLOOKUP(B18,'SKU Details'!D13:AA73,2,0)</f>
        <v>Lemon Tarka (ECO)</v>
      </c>
      <c r="D18" s="12">
        <f>VLOOKUP($B18,'SKU Details'!D13:Y65,3,0)</f>
        <v>60</v>
      </c>
      <c r="E18" s="12">
        <f>VLOOKUP($B18,'SKU Details'!D13:Y65,4,0)</f>
        <v>40</v>
      </c>
      <c r="F18" s="12">
        <f>VLOOKUP($B18,'SKU Details'!D13:Y65,6,0)</f>
        <v>50</v>
      </c>
      <c r="G18" s="102">
        <f>VLOOKUP($B18,'SKU Details'!D13:Y65,17,0)</f>
        <v>1388.742</v>
      </c>
      <c r="H18" s="97"/>
      <c r="I18" s="10"/>
      <c r="J18" s="16">
        <f t="shared" si="0"/>
        <v>0</v>
      </c>
      <c r="K18" s="94"/>
      <c r="L18" s="89">
        <f>(VLOOKUP(B18,'SKU Details'!D13:AA65,24,0)/1000)*H18</f>
        <v>0</v>
      </c>
    </row>
    <row r="19" spans="1:17" hidden="1" x14ac:dyDescent="0.5">
      <c r="A19" s="114"/>
      <c r="B19" s="112" t="s">
        <v>52</v>
      </c>
      <c r="C19" s="11" t="str">
        <f>VLOOKUP(B19,'SKU Details'!D14:AA74,2,0)</f>
        <v>Meat Masala (ECO)</v>
      </c>
      <c r="D19" s="12">
        <f>VLOOKUP($B19,'SKU Details'!D14:Y66,3,0)</f>
        <v>60</v>
      </c>
      <c r="E19" s="12">
        <f>VLOOKUP($B19,'SKU Details'!D14:Y66,4,0)</f>
        <v>40</v>
      </c>
      <c r="F19" s="12">
        <f>VLOOKUP($B19,'SKU Details'!D14:Y66,6,0)</f>
        <v>50</v>
      </c>
      <c r="G19" s="102">
        <f>VLOOKUP($B19,'SKU Details'!D14:Y66,17,0)</f>
        <v>1388.742</v>
      </c>
      <c r="H19" s="97"/>
      <c r="I19" s="10"/>
      <c r="J19" s="16">
        <f t="shared" si="0"/>
        <v>0</v>
      </c>
      <c r="K19" s="94"/>
      <c r="L19" s="89">
        <f>(VLOOKUP(B19,'SKU Details'!D14:AA66,24,0)/1000)*H19</f>
        <v>0</v>
      </c>
    </row>
    <row r="20" spans="1:17" ht="21.5" thickBot="1" x14ac:dyDescent="0.55000000000000004">
      <c r="A20" s="114"/>
      <c r="B20" s="112"/>
      <c r="C20" s="14"/>
      <c r="D20" s="14"/>
      <c r="E20" s="84" t="str">
        <f>IFERROR(VLOOKUP(B20,'SKU Details'!A:F,3,0),"")</f>
        <v/>
      </c>
      <c r="F20" s="84"/>
      <c r="G20" s="15" t="str">
        <f>IFERROR(VLOOKUP(B20,'SKU Details'!A:F,4,0),"")</f>
        <v/>
      </c>
      <c r="H20" s="18"/>
      <c r="I20" s="85"/>
      <c r="J20" s="13"/>
      <c r="K20" s="95"/>
      <c r="L20" s="90"/>
    </row>
    <row r="21" spans="1:17" x14ac:dyDescent="0.5">
      <c r="C21" s="2"/>
      <c r="D21" s="117"/>
      <c r="E21" s="5"/>
      <c r="F21" s="5"/>
      <c r="H21" s="19"/>
      <c r="J21" s="6"/>
    </row>
    <row r="34" spans="3:8" x14ac:dyDescent="0.5">
      <c r="C34" s="2"/>
      <c r="D34" s="117"/>
      <c r="E34" s="2"/>
      <c r="F34" s="2"/>
      <c r="H34" s="8"/>
    </row>
    <row r="35" spans="3:8" x14ac:dyDescent="0.5">
      <c r="C35" s="2"/>
      <c r="D35" s="117"/>
      <c r="E35" s="2"/>
      <c r="F35" s="2"/>
      <c r="H35" s="8"/>
    </row>
    <row r="36" spans="3:8" x14ac:dyDescent="0.5">
      <c r="C36" s="2"/>
      <c r="D36" s="117"/>
      <c r="E36" s="2"/>
      <c r="F36" s="2"/>
      <c r="H36" s="8"/>
    </row>
    <row r="37" spans="3:8" x14ac:dyDescent="0.5">
      <c r="C37" s="2"/>
      <c r="D37" s="117"/>
      <c r="E37" s="2"/>
      <c r="F37" s="2"/>
      <c r="H37" s="8"/>
    </row>
  </sheetData>
  <mergeCells count="10">
    <mergeCell ref="B2:H2"/>
    <mergeCell ref="B3:B6"/>
    <mergeCell ref="C3:D3"/>
    <mergeCell ref="E3:H3"/>
    <mergeCell ref="C4:D4"/>
    <mergeCell ref="E4:H4"/>
    <mergeCell ref="C5:D5"/>
    <mergeCell ref="E5:H5"/>
    <mergeCell ref="C6:D6"/>
    <mergeCell ref="E6:H6"/>
  </mergeCells>
  <conditionalFormatting sqref="A11:A20">
    <cfRule type="duplicateValues" dxfId="8" priority="6"/>
    <cfRule type="duplicateValues" dxfId="7" priority="7"/>
  </conditionalFormatting>
  <conditionalFormatting sqref="A11:B20 G20:H20">
    <cfRule type="cellIs" dxfId="6" priority="1" stopIfTrue="1" operator="lessThan">
      <formula>1</formula>
    </cfRule>
  </conditionalFormatting>
  <conditionalFormatting sqref="B3">
    <cfRule type="cellIs" dxfId="5" priority="5" stopIfTrue="1" operator="lessThan">
      <formula>1</formula>
    </cfRule>
  </conditionalFormatting>
  <conditionalFormatting sqref="B7">
    <cfRule type="cellIs" dxfId="4" priority="4" stopIfTrue="1" operator="lessThan">
      <formula>1</formula>
    </cfRule>
  </conditionalFormatting>
  <conditionalFormatting sqref="B11:B20">
    <cfRule type="duplicateValues" dxfId="3" priority="8"/>
    <cfRule type="duplicateValues" dxfId="2" priority="9"/>
  </conditionalFormatting>
  <conditionalFormatting sqref="H10:H19">
    <cfRule type="cellIs" dxfId="1" priority="3" stopIfTrue="1" operator="lessThan">
      <formula>1</formula>
    </cfRule>
  </conditionalFormatting>
  <conditionalFormatting sqref="L11:L19">
    <cfRule type="cellIs" dxfId="0" priority="2" stopIfTrue="1" operator="lessThan">
      <formula>1</formula>
    </cfRule>
  </conditionalFormatting>
  <dataValidations count="3">
    <dataValidation type="date" operator="greaterThan" allowBlank="1" showInputMessage="1" showErrorMessage="1" errorTitle="Date Error" error="Please type in the format_x000a__x000a_01-01-2019" prompt="Please type in the format_x000a__x000a_01-01-2019" sqref="E4:H5" xr:uid="{6F61CBBB-3CFF-42CE-A622-54A94BDC06B4}">
      <formula1>43466</formula1>
    </dataValidation>
    <dataValidation allowBlank="1" showInputMessage="1" showErrorMessage="1" promptTitle="Distributor Name " prompt="_x000a_Example,_x000a__x000a_ABC-Distributor" sqref="E3:H3" xr:uid="{9CAE684F-65A2-4722-BA05-014902893B5C}"/>
    <dataValidation allowBlank="1" showInputMessage="1" showErrorMessage="1" promptTitle="Order No " prompt="_x000a_Example,_x000a__x000a_alphabates-Year-Month-order serial No_x000a__x000a_AB-2019-May-01" sqref="E6:H6" xr:uid="{CB2346E3-A4EF-4F05-92A0-AF692F648E97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SKU Details</vt:lpstr>
      <vt:lpstr>PO</vt:lpstr>
      <vt:lpstr>PO </vt:lpstr>
    </vt:vector>
  </TitlesOfParts>
  <Company>Procter &amp; Gamble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Zain Ul Abedin</dc:creator>
  <cp:lastModifiedBy>786</cp:lastModifiedBy>
  <cp:lastPrinted>2023-11-21T10:02:00Z</cp:lastPrinted>
  <dcterms:created xsi:type="dcterms:W3CDTF">2005-07-12T04:42:10Z</dcterms:created>
  <dcterms:modified xsi:type="dcterms:W3CDTF">2026-10-07T07:55:45Z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c80df1-ce70-442e-8d60-cd2d932f6882_Enabled">
    <vt:lpwstr>true</vt:lpwstr>
  </property>
  <property fmtid="{D5CDD505-2E9C-101B-9397-08002B2CF9AE}" pid="3" name="MSIP_Label_5ac80df1-ce70-442e-8d60-cd2d932f6882_SetDate">
    <vt:lpwstr>2021-06-20T08:27:58Z</vt:lpwstr>
  </property>
  <property fmtid="{D5CDD505-2E9C-101B-9397-08002B2CF9AE}" pid="4" name="MSIP_Label_5ac80df1-ce70-442e-8d60-cd2d932f6882_Method">
    <vt:lpwstr>Privileged</vt:lpwstr>
  </property>
  <property fmtid="{D5CDD505-2E9C-101B-9397-08002B2CF9AE}" pid="5" name="MSIP_Label_5ac80df1-ce70-442e-8d60-cd2d932f6882_Name">
    <vt:lpwstr>5ac80df1-ce70-442e-8d60-cd2d932f6882</vt:lpwstr>
  </property>
  <property fmtid="{D5CDD505-2E9C-101B-9397-08002B2CF9AE}" pid="6" name="MSIP_Label_5ac80df1-ce70-442e-8d60-cd2d932f6882_SiteId">
    <vt:lpwstr>64bafdc2-7e8d-424f-8875-cb971d94ae00</vt:lpwstr>
  </property>
  <property fmtid="{D5CDD505-2E9C-101B-9397-08002B2CF9AE}" pid="7" name="MSIP_Label_5ac80df1-ce70-442e-8d60-cd2d932f6882_ActionId">
    <vt:lpwstr>3a350321-8e22-4d4c-a8b9-b2052153c153</vt:lpwstr>
  </property>
  <property fmtid="{D5CDD505-2E9C-101B-9397-08002B2CF9AE}" pid="8" name="MSIP_Label_5ac80df1-ce70-442e-8d60-cd2d932f6882_ContentBits">
    <vt:lpwstr>0</vt:lpwstr>
  </property>
</Properties>
</file>