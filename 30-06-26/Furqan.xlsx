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3B3D8025-86CA-4CF1-ABC8-B4511BAF4320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T17" i="15" l="1"/>
  <c r="T16" i="15"/>
  <c r="J17" i="15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L21" i="19" s="1"/>
  <c r="I22" i="19"/>
  <c r="K22" i="19" s="1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22" i="25"/>
  <c r="L17" i="25"/>
  <c r="K17" i="25"/>
  <c r="L23" i="25"/>
  <c r="K23" i="25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K21" i="19"/>
  <c r="L21" i="18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22" i="19" l="1"/>
  <c r="L18" i="17"/>
  <c r="K23" i="19"/>
  <c r="M23" i="19" s="1"/>
  <c r="N23" i="19" s="1"/>
  <c r="O23" i="19" s="1"/>
  <c r="K19" i="19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5" i="19" s="1"/>
  <c r="P30" i="19" s="1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K22" i="15" l="1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6"/>
  <c r="L18" i="15" s="1"/>
  <c r="M18" i="15" s="1"/>
  <c r="L20" i="16"/>
  <c r="L20" i="15" s="1"/>
  <c r="L25" i="21"/>
  <c r="P29" i="21" s="1"/>
  <c r="K16" i="15"/>
  <c r="M16" i="15" s="1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N16" i="18" l="1"/>
  <c r="N16" i="15" s="1"/>
  <c r="M18" i="16"/>
  <c r="N18" i="16" s="1"/>
  <c r="M22" i="16"/>
  <c r="N22" i="16" s="1"/>
  <c r="O22" i="16" s="1"/>
  <c r="O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18" i="16"/>
  <c r="O18" i="15" s="1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22" i="15" l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22" i="15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<sst xmlns="http://schemas.openxmlformats.org/spreadsheetml/2006/main" count="1581" uniqueCount="114">
  <si>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</si>
  <si>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</si>
  <si>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</si>
  <si>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</si>
  <si>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</si>
  <si>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</si>
  <si>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</si>
  <si>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</si>
  <si>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</si>
  <si>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</si>
  <si>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</si>
  <si>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</si>
  <si>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</si>
  <si>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</si>
  <si>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</si>
  <si>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</si>
  <si>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</si>
  <si>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</si>
  <si>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</si>
  <si>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</si>
  <si>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</si>
  <si>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</si>
  <si>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</si>
  <si>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</si>
  <si>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</si>
  <si>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</si>
  <si>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</si>
  <si>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</si>
  <si>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</si>
  <si>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</si>
  <si>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</si>
  <si>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</si>
  <si>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</si>
  <si>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</si>
  <si>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</si>
  <si>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</si>
  <si>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</si>
  <si>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</si>
  <si>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</si>
  <si>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</si>
  <si>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</si>
  <si>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</si>
  <si>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</si>
  <si>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</si>
  <si>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</si>
  <si>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</si>
  <si>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</si>
  <si>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</si>
  <si>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</si>
  <si>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</si>
  <si>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</si>
  <si>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</si>
  <si>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</si>
  <si>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</si>
  <si>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</si>
  <si>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</si>
  <si>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</si>
  <si>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</si>
  <si>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</si>
  <si>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</si>
  <si>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</si>
  <si>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</si>
  <si>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</si>
  <si>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</si>
  <si>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</si>
  <si>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</si>
  <si>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</si>
  <si>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</si>
  <si>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</si>
  <si>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</si>
  <si>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</si>
  <si>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</si>
  <si>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</si>
  <si>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</si>
  <si>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</si>
  <si>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</si>
  <si>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</si>
  <si>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</si>
  <si>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</si>
  <si>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</si>
  <si>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</si>
  <si>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</si>
  <si>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</si>
  <si>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</si>
  <si>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</si>
  <si>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</si>
  <si>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</si>
  <si>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</si>
  <si>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</si>
  <si>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</si>
  <si>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</si>
  <si>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</si>
  <si>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</si>
  <si>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</si>
  <si>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</si>
  <si>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</si>
  <si>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</si>
  <si>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</si>
  <si>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</si>
  <si>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</si>
  <si>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</si>
  <si>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</si>
  <si>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</si>
  <si>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</si>
  <si>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</si>
  <si>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</si>
  <si>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Shop Bill Summary (Furqan)</t>
  </si>
  <si>
    <t xml:space="preserve">Customer Name : Bismiallah General Store </t>
  </si>
  <si>
    <t>Address: Shadman Market</t>
  </si>
  <si>
    <t>Customer Name : Bilal Store</t>
  </si>
  <si>
    <t>Address: Shadman choti market</t>
  </si>
  <si>
    <t>Customer Name : New Data Sweets</t>
  </si>
  <si>
    <t>Address: Ahta mul channel ichra</t>
  </si>
  <si>
    <t>Customer Name : Data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</si>
</sst>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B16" sqref="B16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F10" sqref="F10"/>
      <selection pane="topRight" activeCell="F10" sqref="F10"/>
      <selection pane="bottomLeft" activeCell="F10" sqref="F10"/>
      <selection pane="bottomRight" activeCell="F10" sqref="F10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abSelected="1" topLeftCell="A10" zoomScale="70" zoomScaleNormal="70" workbookViewId="0">
      <selection activeCell="H23" sqref="H23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45" t="s">
        <v>45</v>
      </c>
      <c r="B2" s="245"/>
      <c r="C2" s="245"/>
    </row>
    <row r="3" spans="1:21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4" t="s">
        <v>96</v>
      </c>
      <c r="B5" s="244"/>
      <c r="C5" s="244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21 16383:16384" ht="15" customHeight="1" x14ac:dyDescent="0.35">
      <c r="A6" s="244"/>
      <c r="B6" s="244"/>
      <c r="C6" s="244"/>
      <c r="F6" s="70"/>
      <c r="G6" s="74"/>
      <c r="K6" s="229" t="s">
        <v>52</v>
      </c>
      <c r="L6" s="229"/>
      <c r="M6" s="229"/>
      <c r="N6" s="242" t="s">
        <v>42</v>
      </c>
      <c r="O6" s="242"/>
      <c r="P6" s="24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21 16383:16384" hidden="1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21 16383:16384" x14ac:dyDescent="0.35">
      <c r="A10" s="227"/>
      <c r="B10" s="75"/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21 16383:16384" ht="15" thickBot="1" x14ac:dyDescent="0.4">
      <c r="A11" s="227"/>
      <c r="B11" s="76"/>
      <c r="C11" s="77"/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21 16383:16384" ht="14.65" customHeight="1" x14ac:dyDescent="0.35">
      <c r="A12" s="227"/>
      <c r="B12" s="76"/>
      <c r="C12" s="77"/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T12" s="199" t="s">
        <v>106</v>
      </c>
      <c r="U12" s="200"/>
      <c r="XFD12" t="s">
        <v>62</v>
      </c>
    </row>
    <row r="13" spans="1:21 16383:16384" ht="15" thickBot="1" x14ac:dyDescent="0.4">
      <c r="A13" s="228"/>
      <c r="J13" s="78"/>
      <c r="K13" s="78"/>
      <c r="L13" s="79">
        <v>0.05</v>
      </c>
      <c r="T13" s="201"/>
      <c r="U13" s="202"/>
      <c r="XFD13" t="s">
        <v>63</v>
      </c>
    </row>
    <row r="14" spans="1:21 16383:16384" ht="29.25" customHeight="1" x14ac:dyDescent="0.6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37" t="s">
        <v>68</v>
      </c>
      <c r="H14" s="238"/>
      <c r="I14" s="238" t="s">
        <v>69</v>
      </c>
      <c r="J14" s="238" t="s">
        <v>70</v>
      </c>
      <c r="K14" s="238"/>
      <c r="L14" s="240"/>
      <c r="M14" s="23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Bismiallah General Store </v>
      </c>
      <c r="U14" s="164">
        <f>+'1'!P35</f>
        <v>2510.7286392600004</v>
      </c>
      <c r="XFD14" t="s">
        <v>75</v>
      </c>
    </row>
    <row r="15" spans="1:21 16383:16384" ht="29.25" customHeight="1" thickBot="1" x14ac:dyDescent="0.65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39"/>
      <c r="J15" s="171" t="s">
        <v>78</v>
      </c>
      <c r="K15" s="171" t="s">
        <v>79</v>
      </c>
      <c r="L15" s="174" t="s">
        <v>80</v>
      </c>
      <c r="M15" s="23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Bilal Store</v>
      </c>
      <c r="U15" s="164">
        <f>+'2'!P35</f>
        <v>1771.3380224000002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0</v>
      </c>
      <c r="I16" s="1">
        <f>(G16*D16)*F16+H16*F16</f>
        <v>0</v>
      </c>
      <c r="J16" s="172">
        <f>+'1'!J16+'2'!J16+'4'!J16+'3'!J16+'5'!J16+'6'!J16+'7'!J16+'8'!J16+'9'!J16+'10'!J16+'11'!J16+'12'!J16+'13'!J16+'14'!J16+'15'!J16+'16'!J16+'17'!J16+'18'!J16</f>
        <v>0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0</v>
      </c>
      <c r="M16" s="106">
        <f>I16-K16-L16</f>
        <v>0</v>
      </c>
      <c r="N16" s="101">
        <f>+'1'!N16+'2'!N16+'4'!N16+'3'!N16+'5'!N16+'6'!N16+'7'!N16+'8'!N16+'9'!N16+'10'!N16</f>
        <v>0</v>
      </c>
      <c r="O16" s="101">
        <f>+'1'!O16+'2'!O16+'4'!O16+'3'!O16+'5'!O16+'6'!O16+'7'!O16+'8'!O16+'9'!O16+'10'!O16</f>
        <v>0</v>
      </c>
      <c r="P16" s="105">
        <f t="shared" ref="P16:P24" si="0">M16+N16+O16</f>
        <v>0</v>
      </c>
      <c r="Q16" s="108"/>
      <c r="T16" s="163" t="str">
        <f>+'3'!A5</f>
        <v>Customer Name : New Data Sweets</v>
      </c>
      <c r="U16" s="164">
        <f>+'3'!P35</f>
        <v>1490.9397644999999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0</v>
      </c>
      <c r="I17" s="1">
        <f t="shared" ref="I17:I23" si="1">(G17*D17)*F17+H17*F17</f>
        <v>0</v>
      </c>
      <c r="J17" s="172">
        <f>+'1'!J17+'2'!J17+'4'!J17+'3'!J17+'5'!J17+'6'!J17+'7'!J17+'8'!J17+'9'!J17+'10'!J17+'11'!J17+'12'!J17+'13'!J17+'14'!J17+'15'!J17+'16'!J17+'17'!J17+'18'!J17</f>
        <v>0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0</v>
      </c>
      <c r="M17" s="118">
        <f t="shared" ref="M17:M23" si="2">I17-K17-L17</f>
        <v>0</v>
      </c>
      <c r="N17" s="101">
        <f>+'1'!N17+'2'!N17+'4'!N17+'3'!N17+'5'!N17+'6'!N17+'7'!N17+'8'!N17+'9'!N17+'10'!N17</f>
        <v>0</v>
      </c>
      <c r="O17" s="101">
        <f>+'1'!O17+'2'!O17+'4'!O17+'3'!O17+'5'!O17+'6'!O17+'7'!O17+'8'!O17+'9'!O17+'10'!O17</f>
        <v>0</v>
      </c>
      <c r="P17" s="120">
        <f t="shared" si="0"/>
        <v>0</v>
      </c>
      <c r="S17" s="64"/>
      <c r="T17" s="163" t="str">
        <f>+'4'!A5</f>
        <v>Customer Name : Data Store</v>
      </c>
      <c r="U17" s="164">
        <f>+'4'!P35</f>
        <v>1041.9731226000001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 xml:space="preserve">Customer Name : 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19</v>
      </c>
      <c r="I19" s="1">
        <f t="shared" si="1"/>
        <v>1380.16</v>
      </c>
      <c r="J19" s="172">
        <f>+'1'!J19+'2'!J19+'4'!J19+'3'!J19+'5'!J19+'6'!J19+'7'!J19+'8'!J19+'9'!J19+'10'!J19+'11'!J19+'12'!J19+'13'!J19+'14'!J19+'15'!J19+'16'!J19+'17'!J19+'18'!J19</f>
        <v>1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110.4128</v>
      </c>
      <c r="M19" s="118">
        <f t="shared" si="2"/>
        <v>1269.7472</v>
      </c>
      <c r="N19" s="101">
        <f>+'1'!N19+'2'!N19+'4'!N19+'3'!N19+'5'!N19+'6'!N19+'7'!N19+'8'!N19+'9'!N19+'10'!N19</f>
        <v>295.32518399999998</v>
      </c>
      <c r="O19" s="101">
        <f>+'1'!O19+'2'!O19+'4'!O19+'3'!O19+'5'!O19+'6'!O19+'7'!O19+'8'!O19+'9'!O19+'10'!O19</f>
        <v>19.23972096</v>
      </c>
      <c r="P19" s="120">
        <f t="shared" si="0"/>
        <v>1584.3121049599999</v>
      </c>
      <c r="T19" s="163" t="str">
        <f>+'6'!A5</f>
        <v xml:space="preserve">Customer Name :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7</v>
      </c>
      <c r="I20" s="1">
        <f t="shared" si="1"/>
        <v>508.48</v>
      </c>
      <c r="J20" s="172">
        <f>+'1'!J20+'2'!J20+'4'!J20+'3'!J20+'5'!J20+'6'!J20+'7'!J20+'8'!J20+'9'!J20+'10'!J20+'11'!J20+'12'!J20+'13'!J20+'14'!J20+'15'!J20+'16'!J20+'17'!J20+'18'!J20</f>
        <v>0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40.678400000000003</v>
      </c>
      <c r="M20" s="118">
        <f t="shared" si="2"/>
        <v>467.80160000000001</v>
      </c>
      <c r="N20" s="101">
        <f>+'1'!N20+'2'!N20+'4'!N20+'3'!N20+'5'!N20+'6'!N20+'7'!N20+'8'!N20+'9'!N20+'10'!N20</f>
        <v>102.916352</v>
      </c>
      <c r="O20" s="101">
        <f>+'1'!O20+'2'!O20+'4'!O20+'3'!O20+'5'!O20+'6'!O20+'7'!O20+'8'!O20+'9'!O20+'10'!O20</f>
        <v>14.267948799999999</v>
      </c>
      <c r="P20" s="120">
        <f t="shared" si="0"/>
        <v>584.98590079999997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31</v>
      </c>
      <c r="I21" s="1">
        <f t="shared" si="1"/>
        <v>2251.84</v>
      </c>
      <c r="J21" s="172">
        <f>+'1'!J21+'2'!J21+'4'!J21+'3'!J21+'5'!J21+'6'!J21+'7'!J21+'8'!J21+'9'!J21+'10'!J21+'11'!J21+'12'!J21+'13'!J21+'14'!J21+'15'!J21+'16'!J21+'17'!J21+'18'!J21</f>
        <v>1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180.1472</v>
      </c>
      <c r="M21" s="118">
        <f t="shared" si="2"/>
        <v>2071.6928000000003</v>
      </c>
      <c r="N21" s="101">
        <f>+'1'!N21+'2'!N21+'4'!N21+'3'!N21+'5'!N21+'6'!N21+'7'!N21+'8'!N21+'9'!N21+'10'!N21</f>
        <v>439.67539200000004</v>
      </c>
      <c r="O21" s="101">
        <f>+'1'!O21+'2'!O21+'4'!O21+'3'!O21+'5'!O21+'6'!O21+'7'!O21+'8'!O21+'9'!O21+'10'!O21</f>
        <v>43.216732160000007</v>
      </c>
      <c r="P21" s="120">
        <f t="shared" si="0"/>
        <v>2554.5849241600004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48</v>
      </c>
      <c r="I22" s="1">
        <f t="shared" si="1"/>
        <v>1883.0400000000002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65.906400000000019</v>
      </c>
      <c r="L22" s="175">
        <f>+'1'!L22+'2'!L22+'4'!L22+'3'!L22+'5'!L22+'6'!L22+'7'!L22+'8'!L22+'9'!L22+'10'!L22</f>
        <v>94.152000000000015</v>
      </c>
      <c r="M22" s="118">
        <f t="shared" si="2"/>
        <v>1722.9816000000001</v>
      </c>
      <c r="N22" s="101">
        <f>+'1'!N22+'2'!N22+'4'!N22+'3'!N22+'5'!N22+'6'!N22+'7'!N22+'8'!N22+'9'!N22+'10'!N22</f>
        <v>327.36650400000002</v>
      </c>
      <c r="O22" s="101">
        <f>+'1'!O22+'2'!O22+'4'!O22+'3'!O22+'5'!O22+'6'!O22+'7'!O22+'8'!O22+'9'!O22+'10'!O22</f>
        <v>40.748514840000006</v>
      </c>
      <c r="P22" s="120">
        <f t="shared" si="0"/>
        <v>2091.0966188400002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09" t="s">
        <v>84</v>
      </c>
      <c r="B25" s="210"/>
      <c r="C25" s="211">
        <f>H25/40</f>
        <v>2.625</v>
      </c>
      <c r="D25" s="205"/>
      <c r="E25" s="205"/>
      <c r="F25" s="205"/>
      <c r="G25" s="176">
        <f t="shared" ref="G25:M25" si="3">SUM(G16:G24)</f>
        <v>0</v>
      </c>
      <c r="H25" s="177">
        <f t="shared" si="3"/>
        <v>105</v>
      </c>
      <c r="I25" s="178">
        <f t="shared" si="3"/>
        <v>6023.52</v>
      </c>
      <c r="J25" s="177">
        <f t="shared" si="3"/>
        <v>2</v>
      </c>
      <c r="K25" s="178">
        <f t="shared" si="3"/>
        <v>65.906400000000019</v>
      </c>
      <c r="L25" s="179">
        <f t="shared" si="3"/>
        <v>425.3904</v>
      </c>
      <c r="M25" s="141">
        <f t="shared" si="3"/>
        <v>5532.2232000000004</v>
      </c>
      <c r="N25" s="142">
        <f>SUM(N16:N24)</f>
        <v>1165.2834320000002</v>
      </c>
      <c r="O25" s="143">
        <f>SUM(O16:O24)</f>
        <v>117.47291676</v>
      </c>
      <c r="P25" s="144">
        <f>SUM(P16:P24)</f>
        <v>6814.9795487600004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6814.9795487600013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12" t="s">
        <v>85</v>
      </c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N32" s="221" t="s">
        <v>86</v>
      </c>
      <c r="O32" s="222"/>
      <c r="P32" s="152">
        <f>I25</f>
        <v>6023.52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N33" s="223" t="s">
        <v>87</v>
      </c>
      <c r="O33" s="224"/>
      <c r="P33" s="153">
        <f>L25</f>
        <v>425.3904</v>
      </c>
    </row>
    <row r="34" spans="2:16" ht="15" customHeight="1" x14ac:dyDescent="0.35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N34" s="223" t="s">
        <v>4</v>
      </c>
      <c r="O34" s="224"/>
      <c r="P34" s="154">
        <f>K25</f>
        <v>65.906400000000019</v>
      </c>
    </row>
    <row r="35" spans="2:16" ht="15" customHeight="1" x14ac:dyDescent="0.35">
      <c r="B35" s="215"/>
      <c r="C35" s="216"/>
      <c r="D35" s="216"/>
      <c r="E35" s="216"/>
      <c r="F35" s="216"/>
      <c r="G35" s="216"/>
      <c r="H35" s="216"/>
      <c r="I35" s="216"/>
      <c r="J35" s="216"/>
      <c r="K35" s="216"/>
      <c r="L35" s="217"/>
      <c r="M35" s="2"/>
      <c r="N35" s="223" t="s">
        <v>88</v>
      </c>
      <c r="O35" s="224"/>
      <c r="P35" s="153">
        <f>P32-P33-P34</f>
        <v>5532.2232000000004</v>
      </c>
    </row>
    <row r="36" spans="2:16" ht="15" customHeight="1" x14ac:dyDescent="0.35">
      <c r="B36" s="215"/>
      <c r="C36" s="216"/>
      <c r="D36" s="216"/>
      <c r="E36" s="216"/>
      <c r="F36" s="216"/>
      <c r="G36" s="216"/>
      <c r="H36" s="216"/>
      <c r="I36" s="216"/>
      <c r="J36" s="216"/>
      <c r="K36" s="216"/>
      <c r="L36" s="217"/>
      <c r="M36" s="2"/>
      <c r="N36" s="155" t="s">
        <v>89</v>
      </c>
      <c r="O36" s="156">
        <f>IF(B12="Registered",18%,22%)</f>
        <v>0.22</v>
      </c>
      <c r="P36" s="153">
        <f>N25</f>
        <v>1165.2834320000002</v>
      </c>
    </row>
    <row r="37" spans="2:16" ht="15" customHeight="1" x14ac:dyDescent="0.35">
      <c r="B37" s="215"/>
      <c r="C37" s="216"/>
      <c r="D37" s="216"/>
      <c r="E37" s="216"/>
      <c r="F37" s="216"/>
      <c r="G37" s="216"/>
      <c r="H37" s="216"/>
      <c r="I37" s="216"/>
      <c r="J37" s="216"/>
      <c r="K37" s="216"/>
      <c r="L37" s="217"/>
      <c r="M37" s="2"/>
      <c r="N37" s="225" t="s">
        <v>90</v>
      </c>
      <c r="O37" s="226"/>
      <c r="P37" s="153">
        <f>P35+P36</f>
        <v>6697.5066320000005</v>
      </c>
    </row>
    <row r="38" spans="2:16" ht="15" customHeight="1" thickBot="1" x14ac:dyDescent="0.4">
      <c r="B38" s="218"/>
      <c r="C38" s="219"/>
      <c r="D38" s="219"/>
      <c r="E38" s="219"/>
      <c r="F38" s="219"/>
      <c r="G38" s="219"/>
      <c r="H38" s="219"/>
      <c r="I38" s="219"/>
      <c r="J38" s="219"/>
      <c r="K38" s="219"/>
      <c r="L38" s="220"/>
      <c r="M38" s="157"/>
      <c r="N38" s="158" t="s">
        <v>91</v>
      </c>
      <c r="O38" s="159">
        <f>IF(B11="Filer",0.5%,2.5%)</f>
        <v>2.5000000000000001E-2</v>
      </c>
      <c r="P38" s="153">
        <f>O38*P37</f>
        <v>167.43766580000002</v>
      </c>
    </row>
    <row r="39" spans="2:16" ht="15.75" customHeight="1" thickBot="1" x14ac:dyDescent="0.4">
      <c r="N39" s="203" t="s">
        <v>92</v>
      </c>
      <c r="O39" s="204"/>
      <c r="P39" s="160">
        <f>P37+P38</f>
        <v>6864.9442978000006</v>
      </c>
    </row>
    <row r="40" spans="2:16" ht="15" thickBot="1" x14ac:dyDescent="0.4">
      <c r="B40" s="161" t="s">
        <v>93</v>
      </c>
      <c r="C40" s="205"/>
      <c r="D40" s="205"/>
      <c r="E40" s="205"/>
      <c r="F40" s="205"/>
      <c r="G40" s="205"/>
      <c r="H40" s="205"/>
      <c r="I40" s="206"/>
      <c r="J40" s="207"/>
      <c r="K40" s="208"/>
    </row>
    <row r="41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5" workbookViewId="0">
      <selection activeCell="J20" sqref="J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107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108</v>
      </c>
      <c r="B6" s="229"/>
      <c r="C6" s="229"/>
      <c r="F6" s="70"/>
      <c r="G6" s="74"/>
      <c r="K6" s="229" t="s">
        <v>52</v>
      </c>
      <c r="L6" s="229"/>
      <c r="M6" s="229"/>
      <c r="N6" s="242" t="s">
        <v>96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>
        <v>0</v>
      </c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1620169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">
        <f t="shared" ref="K17:K21" si="4">I17*$K$13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12</v>
      </c>
      <c r="I19" s="116">
        <f t="shared" si="3"/>
        <v>871.68000000000006</v>
      </c>
      <c r="J19" s="117">
        <v>1</v>
      </c>
      <c r="K19" s="1">
        <f t="shared" si="4"/>
        <v>0</v>
      </c>
      <c r="L19" s="105">
        <f t="shared" si="5"/>
        <v>69.734400000000008</v>
      </c>
      <c r="M19" s="118">
        <f t="shared" si="6"/>
        <v>801.94560000000001</v>
      </c>
      <c r="N19" s="118">
        <f t="shared" si="0"/>
        <v>192.40883199999999</v>
      </c>
      <c r="O19" s="119">
        <f t="shared" si="1"/>
        <v>4.9717721599999996</v>
      </c>
      <c r="P19" s="120">
        <f t="shared" si="2"/>
        <v>999.32620415999997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12</v>
      </c>
      <c r="I21" s="116">
        <f t="shared" si="3"/>
        <v>871.68000000000006</v>
      </c>
      <c r="J21" s="117"/>
      <c r="K21" s="1">
        <f t="shared" si="4"/>
        <v>0</v>
      </c>
      <c r="L21" s="105">
        <f t="shared" si="5"/>
        <v>69.734400000000008</v>
      </c>
      <c r="M21" s="118">
        <f t="shared" si="6"/>
        <v>801.94560000000001</v>
      </c>
      <c r="N21" s="118">
        <f t="shared" si="0"/>
        <v>176.428032</v>
      </c>
      <c r="O21" s="119">
        <f t="shared" si="1"/>
        <v>4.8918681600000005</v>
      </c>
      <c r="P21" s="120">
        <f t="shared" si="2"/>
        <v>983.26550015999999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3"/>
        <v>470.76000000000005</v>
      </c>
      <c r="J22" s="117"/>
      <c r="K22" s="1">
        <f>I22*3.5%</f>
        <v>16.476600000000005</v>
      </c>
      <c r="L22" s="120">
        <f>I22*5%</f>
        <v>23.538000000000004</v>
      </c>
      <c r="M22" s="118">
        <f t="shared" si="6"/>
        <v>430.74540000000002</v>
      </c>
      <c r="N22" s="118">
        <f t="shared" si="0"/>
        <v>94.763987999999998</v>
      </c>
      <c r="O22" s="119">
        <f t="shared" si="1"/>
        <v>2.6275469400000002</v>
      </c>
      <c r="P22" s="120">
        <f t="shared" si="2"/>
        <v>528.13693494000006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36</v>
      </c>
      <c r="I25" s="137">
        <f t="shared" si="9"/>
        <v>2214.1200000000003</v>
      </c>
      <c r="J25" s="138"/>
      <c r="K25" s="139">
        <f t="shared" si="9"/>
        <v>16.476600000000005</v>
      </c>
      <c r="L25" s="140">
        <f t="shared" si="9"/>
        <v>163.00680000000003</v>
      </c>
      <c r="M25" s="141">
        <f t="shared" si="9"/>
        <v>2034.6366</v>
      </c>
      <c r="N25" s="142">
        <f>SUM(N16:N24)</f>
        <v>463.60085199999997</v>
      </c>
      <c r="O25" s="143">
        <f>SUM(O16:O24)</f>
        <v>12.49118726</v>
      </c>
      <c r="P25" s="144">
        <f>SUM(P16:P24)</f>
        <v>2510.7286392599999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2214.1200000000003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163.00680000000003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16.476600000000005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2034.6366000000003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463.60085199999997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2498.2374520000003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12.491187260000002</v>
      </c>
    </row>
    <row r="35" spans="2:16" ht="15.75" customHeight="1" thickBot="1" x14ac:dyDescent="0.4">
      <c r="N35" s="203" t="s">
        <v>92</v>
      </c>
      <c r="O35" s="204"/>
      <c r="P35" s="160">
        <f>P33+P34</f>
        <v>2510.7286392600004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5" workbookViewId="0">
      <selection activeCell="H25" sqref="H2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2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109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110</v>
      </c>
      <c r="B6" s="229"/>
      <c r="C6" s="229"/>
      <c r="F6" s="70"/>
      <c r="G6" s="74"/>
      <c r="K6" s="229" t="s">
        <v>52</v>
      </c>
      <c r="L6" s="229"/>
      <c r="M6" s="229"/>
      <c r="N6" s="242" t="s">
        <v>96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7</v>
      </c>
      <c r="I19" s="116">
        <f t="shared" si="2"/>
        <v>508.48</v>
      </c>
      <c r="J19" s="117"/>
      <c r="K19" s="1">
        <f t="shared" si="3"/>
        <v>0</v>
      </c>
      <c r="L19" s="105">
        <f t="shared" si="4"/>
        <v>40.678400000000003</v>
      </c>
      <c r="M19" s="118">
        <f t="shared" si="5"/>
        <v>467.80160000000001</v>
      </c>
      <c r="N19" s="118">
        <f t="shared" si="0"/>
        <v>102.916352</v>
      </c>
      <c r="O19" s="119">
        <f t="shared" si="6"/>
        <v>14.267948799999999</v>
      </c>
      <c r="P19" s="120">
        <f t="shared" si="1"/>
        <v>584.98590079999997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7</v>
      </c>
      <c r="I20" s="116">
        <f t="shared" si="2"/>
        <v>508.48</v>
      </c>
      <c r="J20" s="117"/>
      <c r="K20" s="1">
        <f t="shared" si="3"/>
        <v>0</v>
      </c>
      <c r="L20" s="105">
        <f t="shared" si="4"/>
        <v>40.678400000000003</v>
      </c>
      <c r="M20" s="118">
        <f t="shared" si="5"/>
        <v>467.80160000000001</v>
      </c>
      <c r="N20" s="118">
        <f t="shared" si="0"/>
        <v>102.916352</v>
      </c>
      <c r="O20" s="119">
        <f t="shared" si="6"/>
        <v>14.267948799999999</v>
      </c>
      <c r="P20" s="120">
        <f t="shared" si="1"/>
        <v>584.98590079999997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7</v>
      </c>
      <c r="I21" s="116">
        <f t="shared" si="2"/>
        <v>508.48</v>
      </c>
      <c r="J21" s="117">
        <v>1</v>
      </c>
      <c r="K21" s="1">
        <f t="shared" si="3"/>
        <v>0</v>
      </c>
      <c r="L21" s="105">
        <f t="shared" si="4"/>
        <v>40.678400000000003</v>
      </c>
      <c r="M21" s="118">
        <f t="shared" si="5"/>
        <v>467.80160000000001</v>
      </c>
      <c r="N21" s="118">
        <f t="shared" si="0"/>
        <v>118.89715200000001</v>
      </c>
      <c r="O21" s="119">
        <f t="shared" si="6"/>
        <v>14.667468800000002</v>
      </c>
      <c r="P21" s="120">
        <f t="shared" si="1"/>
        <v>601.36622080000006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21</v>
      </c>
      <c r="I25" s="137">
        <f t="shared" si="9"/>
        <v>1525.44</v>
      </c>
      <c r="J25" s="138"/>
      <c r="K25" s="139">
        <f t="shared" si="9"/>
        <v>0</v>
      </c>
      <c r="L25" s="140">
        <f t="shared" si="9"/>
        <v>122.0352</v>
      </c>
      <c r="M25" s="141">
        <f t="shared" si="9"/>
        <v>1403.4048</v>
      </c>
      <c r="N25" s="142">
        <f>SUM(N16:N24)</f>
        <v>324.72985600000004</v>
      </c>
      <c r="O25" s="143">
        <f>SUM(O16:O24)</f>
        <v>43.2033664</v>
      </c>
      <c r="P25" s="144">
        <f>SUM(P16:P24)</f>
        <v>1771.3380224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1525.44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122.0352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1403.4048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324.72985600000004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1728.1346560000002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43.203366400000007</v>
      </c>
    </row>
    <row r="35" spans="2:16" ht="15.75" customHeight="1" thickBot="1" x14ac:dyDescent="0.4">
      <c r="N35" s="203" t="s">
        <v>92</v>
      </c>
      <c r="O35" s="204"/>
      <c r="P35" s="160">
        <f>P33+P34</f>
        <v>1771.3380224000002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workbookViewId="0">
      <selection activeCell="B13" sqref="B13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4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111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112</v>
      </c>
      <c r="B6" s="229"/>
      <c r="C6" s="229"/>
      <c r="F6" s="70"/>
      <c r="G6" s="74"/>
      <c r="K6" s="229" t="s">
        <v>52</v>
      </c>
      <c r="L6" s="229"/>
      <c r="M6" s="229"/>
      <c r="N6" s="242" t="s">
        <v>96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56">
        <v>3640272298333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12</v>
      </c>
      <c r="I21" s="116">
        <f t="shared" si="2"/>
        <v>871.68000000000006</v>
      </c>
      <c r="J21" s="117"/>
      <c r="K21" s="1">
        <f t="shared" si="3"/>
        <v>0</v>
      </c>
      <c r="L21" s="105">
        <f t="shared" si="4"/>
        <v>69.734400000000008</v>
      </c>
      <c r="M21" s="118">
        <f t="shared" si="5"/>
        <v>801.94560000000001</v>
      </c>
      <c r="N21" s="118">
        <f t="shared" si="0"/>
        <v>144.35020800000001</v>
      </c>
      <c r="O21" s="119">
        <f t="shared" si="6"/>
        <v>23.657395200000003</v>
      </c>
      <c r="P21" s="120">
        <f t="shared" si="1"/>
        <v>969.95320320000008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">
        <f>I22*3.5%</f>
        <v>16.476600000000005</v>
      </c>
      <c r="L22" s="120">
        <f>I22*5%</f>
        <v>23.538000000000004</v>
      </c>
      <c r="M22" s="118">
        <f t="shared" si="5"/>
        <v>430.74540000000002</v>
      </c>
      <c r="N22" s="118">
        <f t="shared" si="0"/>
        <v>77.534171999999998</v>
      </c>
      <c r="O22" s="119">
        <f t="shared" si="6"/>
        <v>12.706989300000002</v>
      </c>
      <c r="P22" s="120">
        <f t="shared" si="1"/>
        <v>520.98656130000006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24</v>
      </c>
      <c r="I25" s="137">
        <f t="shared" si="9"/>
        <v>1342.44</v>
      </c>
      <c r="J25" s="138"/>
      <c r="K25" s="139">
        <f t="shared" si="9"/>
        <v>16.476600000000005</v>
      </c>
      <c r="L25" s="140">
        <f t="shared" si="9"/>
        <v>93.272400000000005</v>
      </c>
      <c r="M25" s="141">
        <f t="shared" si="9"/>
        <v>1232.691</v>
      </c>
      <c r="N25" s="142">
        <f>SUM(N16:N24)</f>
        <v>221.88438000000002</v>
      </c>
      <c r="O25" s="143">
        <f>SUM(O16:O24)</f>
        <v>36.364384500000007</v>
      </c>
      <c r="P25" s="144">
        <f>SUM(P16:P24)</f>
        <v>1490.9397645000001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1342.44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93.272400000000005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16.476600000000005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1232.691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0.18</v>
      </c>
      <c r="P32" s="153">
        <f>N25</f>
        <v>221.88438000000002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1454.57538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36.3643845</v>
      </c>
    </row>
    <row r="35" spans="2:16" ht="15.75" customHeight="1" thickBot="1" x14ac:dyDescent="0.4">
      <c r="N35" s="203" t="s">
        <v>92</v>
      </c>
      <c r="O35" s="204"/>
      <c r="P35" s="160">
        <f>P33+P34</f>
        <v>1490.9397644999999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6" workbookViewId="0">
      <selection activeCell="H25" sqref="H2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3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113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112</v>
      </c>
      <c r="B6" s="229"/>
      <c r="C6" s="229"/>
      <c r="F6" s="70"/>
      <c r="G6" s="74"/>
      <c r="K6" s="229" t="s">
        <v>52</v>
      </c>
      <c r="L6" s="229"/>
      <c r="M6" s="229"/>
      <c r="N6" s="242" t="s">
        <v>96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56">
        <v>3640272298333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24</v>
      </c>
      <c r="I22" s="116">
        <f t="shared" si="2"/>
        <v>941.5200000000001</v>
      </c>
      <c r="J22" s="117"/>
      <c r="K22" s="1">
        <f>I22*3.5%</f>
        <v>32.95320000000001</v>
      </c>
      <c r="L22" s="120">
        <f>I22*5%</f>
        <v>47.076000000000008</v>
      </c>
      <c r="M22" s="118">
        <f t="shared" si="5"/>
        <v>861.49080000000004</v>
      </c>
      <c r="N22" s="118">
        <f t="shared" si="0"/>
        <v>155.068344</v>
      </c>
      <c r="O22" s="119">
        <f t="shared" si="6"/>
        <v>25.413978600000004</v>
      </c>
      <c r="P22" s="120">
        <f t="shared" si="1"/>
        <v>1041.9731226000001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24</v>
      </c>
      <c r="I25" s="137">
        <f t="shared" si="9"/>
        <v>941.5200000000001</v>
      </c>
      <c r="J25" s="138"/>
      <c r="K25" s="139">
        <f t="shared" si="9"/>
        <v>32.95320000000001</v>
      </c>
      <c r="L25" s="140">
        <f t="shared" si="9"/>
        <v>47.076000000000008</v>
      </c>
      <c r="M25" s="141">
        <f t="shared" si="9"/>
        <v>861.49080000000004</v>
      </c>
      <c r="N25" s="142">
        <f>SUM(N16:N24)</f>
        <v>155.068344</v>
      </c>
      <c r="O25" s="143">
        <f>SUM(O16:O24)</f>
        <v>25.413978600000004</v>
      </c>
      <c r="P25" s="144">
        <f>SUM(P16:P24)</f>
        <v>1041.9731226000001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941.5200000000001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47.076000000000008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32.95320000000001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861.49080000000004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0.18</v>
      </c>
      <c r="P32" s="153">
        <f>N25</f>
        <v>155.068344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1016.5591440000001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25.413978600000004</v>
      </c>
    </row>
    <row r="35" spans="2:16" ht="15.75" customHeight="1" thickBot="1" x14ac:dyDescent="0.4">
      <c r="N35" s="203" t="s">
        <v>92</v>
      </c>
      <c r="O35" s="204"/>
      <c r="P35" s="160">
        <f>P33+P34</f>
        <v>1041.9731226000001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5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6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7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8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9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7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80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2026-06-29T12:51:21Z</dcterms:modified>
</cp:coreProperties>
</file>