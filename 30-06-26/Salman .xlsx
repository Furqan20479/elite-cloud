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91C7F76-E1DD-49A6-BD41-79501ED3886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K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O25" i="18" s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<sst xmlns="http://schemas.openxmlformats.org/spreadsheetml/2006/main" count="1581" uniqueCount="114">
  <si>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</si>
  <si>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</si>
  <si>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</si>
  <si>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</si>
  <si>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</si>
  <si>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</si>
  <si>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</si>
  <si>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</si>
  <si>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</si>
  <si>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</si>
  <si>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</si>
  <si>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</si>
  <si>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</si>
  <si>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</si>
  <si>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</si>
  <si>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</si>
  <si>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</si>
  <si>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</si>
  <si>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</si>
  <si>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</si>
  <si>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</si>
  <si>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</si>
  <si>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</si>
  <si>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</si>
  <si>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</si>
  <si>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</si>
  <si>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</si>
  <si>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</si>
  <si>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</si>
  <si>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</si>
  <si>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</si>
  <si>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</si>
  <si>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</si>
  <si>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</si>
  <si>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</si>
  <si>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</si>
  <si>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</si>
  <si>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</si>
  <si>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</si>
  <si>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</si>
  <si>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</si>
  <si>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</si>
  <si>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</si>
  <si>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</si>
  <si>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</si>
  <si>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</si>
  <si>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</si>
  <si>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</si>
  <si>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</si>
  <si>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</si>
  <si>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</si>
  <si>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</si>
  <si>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</si>
  <si>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</si>
  <si>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</si>
  <si>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</si>
  <si>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</si>
  <si>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</si>
  <si>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</si>
  <si>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</si>
  <si>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</si>
  <si>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</si>
  <si>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</si>
  <si>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</si>
  <si>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</si>
  <si>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</si>
  <si>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</si>
  <si>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</si>
  <si>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</si>
  <si>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</si>
  <si>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</si>
  <si>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</si>
  <si>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</si>
  <si>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</si>
  <si>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</si>
  <si>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</si>
  <si>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</si>
  <si>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</si>
  <si>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</si>
  <si>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</si>
  <si>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</si>
  <si>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</si>
  <si>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</si>
  <si>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</si>
  <si>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</si>
  <si>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</si>
  <si>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</si>
  <si>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</si>
  <si>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</si>
  <si>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</si>
  <si>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</si>
  <si>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</si>
  <si>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</si>
  <si>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</si>
  <si>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</si>
  <si>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</si>
  <si>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</si>
  <si>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</si>
  <si>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</si>
  <si>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</si>
  <si>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</si>
  <si>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</si>
  <si>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</si>
  <si>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</si>
  <si>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</si>
  <si>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</si>
  <si>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Salman </t>
  </si>
  <si>
    <t>Shop Bill Summary (salman)</t>
  </si>
  <si>
    <t>Customer Name : Express Store</t>
  </si>
  <si>
    <t>Address: Gopal Nager</t>
  </si>
  <si>
    <t>Customer Name : Sanwal GS</t>
  </si>
  <si>
    <t>Customer Name : Quality Store</t>
  </si>
  <si>
    <t xml:space="preserve">Customer Name : Kashmir Bakers </t>
  </si>
  <si>
    <t>Customer Name : Rehman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</si>
</sst>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4" zoomScale="70" zoomScaleNormal="70" workbookViewId="0">
      <selection activeCell="S18" sqref="S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Express Store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Sanwal GS</v>
      </c>
      <c r="U15" s="164">
        <f>+'2'!P35</f>
        <v>1723.3029846900001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209.85</v>
      </c>
      <c r="M16" s="106">
        <f>I16-K16-L16</f>
        <v>2413.2750000000001</v>
      </c>
      <c r="N16" s="101">
        <f>+'1'!N16+'2'!N16+'4'!N16+'3'!N16+'5'!N16+'6'!N16+'7'!N16+'8'!N16+'9'!N16+'10'!N16</f>
        <v>554.00400000000002</v>
      </c>
      <c r="O16" s="101">
        <f>+'1'!O16+'2'!O16+'4'!O16+'3'!O16+'5'!O16+'6'!O16+'7'!O16+'8'!O16+'9'!O16+'10'!O16</f>
        <v>14.836395</v>
      </c>
      <c r="P16" s="105">
        <f t="shared" ref="P16:P24" si="0">M16+N16+O16</f>
        <v>2982.1153949999998</v>
      </c>
      <c r="Q16" s="108"/>
      <c r="T16" s="163" t="str">
        <f>+'3'!A5</f>
        <v>Customer Name : Quality Store</v>
      </c>
      <c r="U16" s="164">
        <f>+'3'!P35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125.91</v>
      </c>
      <c r="M17" s="118">
        <f t="shared" ref="M17:M23" si="2">I17-K17-L17</f>
        <v>1447.9649999999999</v>
      </c>
      <c r="N17" s="101">
        <f>+'1'!N17+'2'!N17+'4'!N17+'3'!N17+'5'!N17+'6'!N17+'7'!N17+'8'!N17+'9'!N17+'10'!N17</f>
        <v>341.63580000000002</v>
      </c>
      <c r="O17" s="101">
        <f>+'1'!O17+'2'!O17+'4'!O17+'3'!O17+'5'!O17+'6'!O17+'7'!O17+'8'!O17+'9'!O17+'10'!O17</f>
        <v>8.948004000000001</v>
      </c>
      <c r="P17" s="120">
        <f t="shared" si="0"/>
        <v>1798.548804</v>
      </c>
      <c r="S17" s="64"/>
      <c r="T17" s="163" t="str">
        <f>+'4'!A5</f>
        <v xml:space="preserve">Customer Name : Kashmir Bakers </v>
      </c>
      <c r="U17" s="164">
        <f>+'4'!P35</f>
        <v>3685.4512081500002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Rehman GS</v>
      </c>
      <c r="U18" s="164">
        <f>+'5'!P35</f>
        <v>440.11411245000005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58.112000000000002</v>
      </c>
      <c r="M19" s="118">
        <f t="shared" si="2"/>
        <v>668.28800000000001</v>
      </c>
      <c r="N19" s="101">
        <f>+'1'!N19+'2'!N19+'4'!N19+'3'!N19+'5'!N19+'6'!N19+'7'!N19+'8'!N19+'9'!N19+'10'!N19</f>
        <v>163.00415999999998</v>
      </c>
      <c r="O19" s="101">
        <f>+'1'!O19+'2'!O19+'4'!O19+'3'!O19+'5'!O19+'6'!O19+'7'!O19+'8'!O19+'9'!O19+'10'!O19</f>
        <v>4.1564607999999996</v>
      </c>
      <c r="P19" s="120">
        <f t="shared" si="0"/>
        <v>835.44862079999996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163.00415999999998</v>
      </c>
      <c r="O20" s="101">
        <f>+'1'!O20+'2'!O20+'4'!O20+'3'!O20+'5'!O20+'6'!O20+'7'!O20+'8'!O20+'9'!O20+'10'!O20</f>
        <v>4.1564607999999996</v>
      </c>
      <c r="P20" s="120">
        <f t="shared" si="0"/>
        <v>835.44862079999996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30</v>
      </c>
      <c r="I21" s="1">
        <f t="shared" si="1"/>
        <v>2179.1999999999998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457.05088000000001</v>
      </c>
      <c r="O21" s="101">
        <f>+'1'!O21+'2'!O21+'4'!O21+'3'!O21+'5'!O21+'6'!O21+'7'!O21+'8'!O21+'9'!O21+'10'!O21</f>
        <v>45.241644800000003</v>
      </c>
      <c r="P21" s="120">
        <f t="shared" si="0"/>
        <v>2507.1565247999997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22</v>
      </c>
      <c r="I22" s="1">
        <f t="shared" si="1"/>
        <v>863.06000000000006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30.207100000000008</v>
      </c>
      <c r="L22" s="175">
        <f>+'1'!L22+'2'!L22+'4'!L22+'3'!L22+'5'!L22+'6'!L22+'7'!L22+'8'!L22+'9'!L22+'10'!L22</f>
        <v>43.153000000000006</v>
      </c>
      <c r="M22" s="118">
        <f t="shared" si="2"/>
        <v>789.69990000000007</v>
      </c>
      <c r="N22" s="101">
        <f>+'1'!N22+'2'!N22+'4'!N22+'3'!N22+'5'!N22+'6'!N22+'7'!N22+'8'!N22+'9'!N22+'10'!N22</f>
        <v>173.73397800000001</v>
      </c>
      <c r="O22" s="101">
        <f>+'1'!O22+'2'!O22+'4'!O22+'3'!O22+'5'!O22+'6'!O22+'7'!O22+'8'!O22+'9'!O22+'10'!O22</f>
        <v>4.8171693900000001</v>
      </c>
      <c r="P22" s="120">
        <f t="shared" si="0"/>
        <v>968.25104739000005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3.8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152</v>
      </c>
      <c r="I25" s="178">
        <f t="shared" si="3"/>
        <v>8692.06</v>
      </c>
      <c r="J25" s="177">
        <f t="shared" si="3"/>
        <v>7</v>
      </c>
      <c r="K25" s="178">
        <f t="shared" si="3"/>
        <v>30.207100000000008</v>
      </c>
      <c r="L25" s="179">
        <f t="shared" si="3"/>
        <v>669.47300000000007</v>
      </c>
      <c r="M25" s="141">
        <f t="shared" si="3"/>
        <v>7992.3798999999999</v>
      </c>
      <c r="N25" s="142">
        <f>SUM(N16:N24)</f>
        <v>1852.432978</v>
      </c>
      <c r="O25" s="143">
        <f>SUM(O16:O24)</f>
        <v>82.15613479000001</v>
      </c>
      <c r="P25" s="144">
        <f>SUM(P16:P24)</f>
        <v>9926.9690127899994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9926.9690127900012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8692.06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669.47300000000007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30.207100000000008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7992.3798999999999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1852.432978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9844.8128780000006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246.12032195000003</v>
      </c>
    </row>
    <row r="39" spans="2:16" ht="15.75" customHeight="1" thickBot="1" x14ac:dyDescent="0.4">
      <c r="N39" s="219" t="s">
        <v>92</v>
      </c>
      <c r="O39" s="220"/>
      <c r="P39" s="160">
        <f>P37+P38</f>
        <v>10090.933199950001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3520123465409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3530232820806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</v>
      </c>
      <c r="I25" s="137">
        <f t="shared" si="9"/>
        <v>1520.01</v>
      </c>
      <c r="J25" s="138"/>
      <c r="K25" s="139">
        <f t="shared" si="9"/>
        <v>16.476600000000005</v>
      </c>
      <c r="L25" s="140">
        <f t="shared" si="9"/>
        <v>107.47800000000001</v>
      </c>
      <c r="M25" s="141">
        <f t="shared" si="9"/>
        <v>1396.0554</v>
      </c>
      <c r="N25" s="142">
        <f>SUM(N16:N24)</f>
        <v>318.67393800000002</v>
      </c>
      <c r="O25" s="143">
        <f>SUM(O16:O24)</f>
        <v>8.5736466900000003</v>
      </c>
      <c r="P25" s="144">
        <f>SUM(P16:P24)</f>
        <v>1723.3029846899999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1520.01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107.47800000000001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1396.0554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318.67393800000002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1714.7293380000001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8.5736466900000003</v>
      </c>
    </row>
    <row r="35" spans="2:16" ht="15.75" customHeight="1" thickBot="1" x14ac:dyDescent="0.4">
      <c r="N35" s="219" t="s">
        <v>92</v>
      </c>
      <c r="O35" s="220"/>
      <c r="P35" s="160">
        <f>P33+P34</f>
        <v>1723.3029846900001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3420103553549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50</v>
      </c>
      <c r="I25" s="137">
        <f t="shared" si="9"/>
        <v>3228.4500000000003</v>
      </c>
      <c r="J25" s="138"/>
      <c r="K25" s="139">
        <f t="shared" si="9"/>
        <v>0</v>
      </c>
      <c r="L25" s="140">
        <f t="shared" si="9"/>
        <v>258.27600000000001</v>
      </c>
      <c r="M25" s="141">
        <f t="shared" si="9"/>
        <v>2970.174</v>
      </c>
      <c r="N25" s="142">
        <f>SUM(N16:N24)</f>
        <v>696.94163000000003</v>
      </c>
      <c r="O25" s="143">
        <f>SUM(O16:O24)</f>
        <v>18.33557815</v>
      </c>
      <c r="P25" s="144">
        <f>SUM(P16:P24)</f>
        <v>3685.4512081499997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3228.4500000000003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258.27600000000001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2970.1740000000004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696.94163000000003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3667.1156300000002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18.33557815</v>
      </c>
    </row>
    <row r="35" spans="2:16" ht="15.75" customHeight="1" thickBot="1" x14ac:dyDescent="0.4">
      <c r="N35" s="219" t="s">
        <v>92</v>
      </c>
      <c r="O35" s="220"/>
      <c r="P35" s="160">
        <f>P33+P34</f>
        <v>3685.4512081500002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35202031216927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19" t="s">
        <v>92</v>
      </c>
      <c r="O35" s="220"/>
      <c r="P35" s="160">
        <f>P33+P34</f>
        <v>440.11411245000005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2026-06-29T13:00:17Z</dcterms:modified>
</cp:coreProperties>
</file>