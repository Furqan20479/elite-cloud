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42CB1BA-9556-40AB-945C-6430F4A483B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M21" i="25" s="1"/>
  <c r="N21" i="25" s="1"/>
  <c r="O21" i="25" s="1"/>
  <c r="P21" i="25" s="1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25" l="1"/>
  <c r="P30" i="25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<sst xmlns="http://schemas.openxmlformats.org/spreadsheetml/2006/main" count="1581" uniqueCount="128">
  <si>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</si>
  <si>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</si>
  <si>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</si>
  <si>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</si>
  <si>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</si>
  <si>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</si>
  <si>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</si>
  <si>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</si>
  <si>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</si>
  <si>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</si>
  <si>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</si>
  <si>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</si>
  <si>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</si>
  <si>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</si>
  <si>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</si>
  <si>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</si>
  <si>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</si>
  <si>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</si>
  <si>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</si>
  <si>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</si>
  <si>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</si>
  <si>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</si>
  <si>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</si>
  <si>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</si>
  <si>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</si>
  <si>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</si>
  <si>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</si>
  <si>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</si>
  <si>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</si>
  <si>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</si>
  <si>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</si>
  <si>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</si>
  <si>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</si>
  <si>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</si>
  <si>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</si>
  <si>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</si>
  <si>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</si>
  <si>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</si>
  <si>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</si>
  <si>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</si>
  <si>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</si>
  <si>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</si>
  <si>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</si>
  <si>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</si>
  <si>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</si>
  <si>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</si>
  <si>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</si>
  <si>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</si>
  <si>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</si>
  <si>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</si>
  <si>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</si>
  <si>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</si>
  <si>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</si>
  <si>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</si>
  <si>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</si>
  <si>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</si>
  <si>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</si>
  <si>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</si>
  <si>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</si>
  <si>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</si>
  <si>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</si>
  <si>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</si>
  <si>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</si>
  <si>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</si>
  <si>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</si>
  <si>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</si>
  <si>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</si>
  <si>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</si>
  <si>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</si>
  <si>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</si>
  <si>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</si>
  <si>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</si>
  <si>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</si>
  <si>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</si>
  <si>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</si>
  <si>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</si>
  <si>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</si>
  <si>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</si>
  <si>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</si>
  <si>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</si>
  <si>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</si>
  <si>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</si>
  <si>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</si>
  <si>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</si>
  <si>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</si>
  <si>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</si>
  <si>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</si>
  <si>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</si>
  <si>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</si>
  <si>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</si>
  <si>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</si>
  <si>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</si>
  <si>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</si>
  <si>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</si>
  <si>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</si>
  <si>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</si>
  <si>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</si>
  <si>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</si>
  <si>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</si>
  <si>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</si>
  <si>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</si>
  <si>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</si>
  <si>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</si>
  <si>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</si>
  <si>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</si>
  <si>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</si>
  <si>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Umair </t>
  </si>
  <si>
    <t>Shop Bill Summary (Umair)</t>
  </si>
  <si>
    <t xml:space="preserve">Customer Name : Somroo Sweet </t>
  </si>
  <si>
    <t xml:space="preserve">Address: Kanchi bazar </t>
  </si>
  <si>
    <t xml:space="preserve">Customer Name : Kashmir Bakey </t>
  </si>
  <si>
    <t xml:space="preserve">Address: Kanchi amer Sadu Pind </t>
  </si>
  <si>
    <t xml:space="preserve">Customer Name : Haaji Chiragh Din </t>
  </si>
  <si>
    <t xml:space="preserve">Address: Kanchi Landa Bazar </t>
  </si>
  <si>
    <t>Customer Name : Ali subhan GS</t>
  </si>
  <si>
    <t xml:space="preserve">Address: Shangai Raod </t>
  </si>
  <si>
    <t xml:space="preserve">Address: Shangai Road </t>
  </si>
  <si>
    <t xml:space="preserve">Customer Name : Agrow Store </t>
  </si>
  <si>
    <t xml:space="preserve">Customer Name : DVA Mart </t>
  </si>
  <si>
    <t xml:space="preserve">Address: DVA Apartment </t>
  </si>
  <si>
    <t xml:space="preserve">Customer Name : Ajwa Mart </t>
  </si>
  <si>
    <t xml:space="preserve">Address: Shahngai Road </t>
  </si>
  <si>
    <t>Customer Name : Palace Sweets</t>
  </si>
  <si>
    <t xml:space="preserve">Address: Kacha Jail Road </t>
  </si>
  <si>
    <t>Customer Name : Ghosia Store</t>
  </si>
  <si>
    <t xml:space="preserve">Address: Abid Market Kanchi </t>
  </si>
  <si>
    <t xml:space="preserve">Customer Name : MN Mart </t>
  </si>
  <si>
    <t xml:space="preserve">Address: Abid Market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</si>
</sst>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8" zoomScale="70" zoomScaleNormal="70" workbookViewId="0">
      <selection activeCell="H27" sqref="H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106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107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Somroo Sweet </v>
      </c>
      <c r="U14" s="164">
        <f>+'1'!P35</f>
        <v>538.64712270000007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Kashmir Bakey 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35</v>
      </c>
      <c r="I16" s="1">
        <f>(G16*D16)*F16+H16*F16</f>
        <v>1836.1875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146.89499999999998</v>
      </c>
      <c r="M16" s="106">
        <f>I16-K16-L16</f>
        <v>1689.2925</v>
      </c>
      <c r="N16" s="101">
        <f>+'1'!N16+'2'!N16+'4'!N16+'3'!N16+'5'!N16+'6'!N16+'7'!N16+'8'!N16+'9'!N16+'10'!N16</f>
        <v>383.18610000000001</v>
      </c>
      <c r="O16" s="101">
        <f>+'1'!O16+'2'!O16+'4'!O16+'3'!O16+'5'!O16+'6'!O16+'7'!O16+'8'!O16+'9'!O16+'10'!O16</f>
        <v>10.362393000000001</v>
      </c>
      <c r="P16" s="105">
        <f t="shared" ref="P16:P24" si="0">M16+N16+O16</f>
        <v>2082.8409929999998</v>
      </c>
      <c r="Q16" s="108"/>
      <c r="T16" s="163" t="str">
        <f>+'3'!A5</f>
        <v xml:space="preserve">Customer Name : Haaji Chiragh Din </v>
      </c>
      <c r="U16" s="164">
        <f>+'3'!P35</f>
        <v>2227.0634577000001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35</v>
      </c>
      <c r="I17" s="1">
        <f t="shared" ref="I17:I23" si="1">(G17*D17)*F17+H17*F17</f>
        <v>1836.1875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146.89499999999998</v>
      </c>
      <c r="M17" s="118">
        <f t="shared" ref="M17:M23" si="2">I17-K17-L17</f>
        <v>1689.2925</v>
      </c>
      <c r="N17" s="101">
        <f>+'1'!N17+'2'!N17+'4'!N17+'3'!N17+'5'!N17+'6'!N17+'7'!N17+'8'!N17+'9'!N17+'10'!N17</f>
        <v>394.72784999999999</v>
      </c>
      <c r="O17" s="101">
        <f>+'1'!O17+'2'!O17+'4'!O17+'3'!O17+'5'!O17+'6'!O17+'7'!O17+'8'!O17+'9'!O17+'10'!O17</f>
        <v>10.420101750000001</v>
      </c>
      <c r="P17" s="120">
        <f t="shared" si="0"/>
        <v>2094.4404517499997</v>
      </c>
      <c r="S17" s="64"/>
      <c r="T17" s="163" t="str">
        <f>+'4'!A5</f>
        <v>Customer Name : Ali subhan GS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Agrow Store </v>
      </c>
      <c r="U18" s="164">
        <f>+'5'!P35</f>
        <v>1795.4904090000002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116.224</v>
      </c>
      <c r="M19" s="118">
        <f t="shared" si="2"/>
        <v>1336.576</v>
      </c>
      <c r="N19" s="101">
        <f>+'1'!N19+'2'!N19+'4'!N19+'3'!N19+'5'!N19+'6'!N19+'7'!N19+'8'!N19+'9'!N19+'10'!N19</f>
        <v>310.02751999999998</v>
      </c>
      <c r="O19" s="101">
        <f>+'1'!O19+'2'!O19+'4'!O19+'3'!O19+'5'!O19+'6'!O19+'7'!O19+'8'!O19+'9'!O19+'10'!O19</f>
        <v>8.2330176000000002</v>
      </c>
      <c r="P19" s="120">
        <f t="shared" si="0"/>
        <v>1654.8365376000002</v>
      </c>
      <c r="T19" s="163" t="str">
        <f>+'6'!A5</f>
        <v xml:space="preserve">Customer Name : DVA Mart </v>
      </c>
      <c r="U19" s="164">
        <f>+'6'!P35</f>
        <v>1795.4904090000002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116.224</v>
      </c>
      <c r="M20" s="118">
        <f t="shared" si="2"/>
        <v>1336.576</v>
      </c>
      <c r="N20" s="101">
        <f>+'1'!N20+'2'!N20+'4'!N20+'3'!N20+'5'!N20+'6'!N20+'7'!N20+'8'!N20+'9'!N20+'10'!N20</f>
        <v>310.02751999999998</v>
      </c>
      <c r="O20" s="101">
        <f>+'1'!O20+'2'!O20+'4'!O20+'3'!O20+'5'!O20+'6'!O20+'7'!O20+'8'!O20+'9'!O20+'10'!O20</f>
        <v>8.2330176000000002</v>
      </c>
      <c r="P20" s="120">
        <f t="shared" si="0"/>
        <v>1654.8365376000002</v>
      </c>
      <c r="T20" s="163" t="str">
        <f>+'7'!A5</f>
        <v xml:space="preserve">Customer Name : Ajwa Mart </v>
      </c>
      <c r="U20" s="164">
        <f>+'7'!P35</f>
        <v>1760.4564498000002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20</v>
      </c>
      <c r="I21" s="1">
        <f t="shared" si="1"/>
        <v>1452.8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116.224</v>
      </c>
      <c r="M21" s="118">
        <f t="shared" si="2"/>
        <v>1336.576</v>
      </c>
      <c r="N21" s="101">
        <f>+'1'!N21+'2'!N21+'4'!N21+'3'!N21+'5'!N21+'6'!N21+'7'!N21+'8'!N21+'9'!N21+'10'!N21</f>
        <v>310.02751999999998</v>
      </c>
      <c r="O21" s="101">
        <f>+'1'!O21+'2'!O21+'4'!O21+'3'!O21+'5'!O21+'6'!O21+'7'!O21+'8'!O21+'9'!O21+'10'!O21</f>
        <v>8.2330176000000002</v>
      </c>
      <c r="P21" s="120">
        <f t="shared" si="0"/>
        <v>1654.8365376000002</v>
      </c>
      <c r="T21" s="163" t="str">
        <f>+'8'!A5</f>
        <v>Customer Name : Palace Sweets</v>
      </c>
      <c r="U21" s="164">
        <f>+'8'!P35</f>
        <v>1760.4564498000002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352</v>
      </c>
      <c r="I22" s="1">
        <f t="shared" si="1"/>
        <v>13808.960000000001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483.31360000000018</v>
      </c>
      <c r="L22" s="175">
        <f>+'1'!L22+'2'!L22+'4'!L22+'3'!L22+'5'!L22+'6'!L22+'7'!L22+'8'!L22+'9'!L22+'10'!L22</f>
        <v>690.44800000000021</v>
      </c>
      <c r="M22" s="118">
        <f t="shared" si="2"/>
        <v>12635.198400000001</v>
      </c>
      <c r="N22" s="101">
        <f>+'1'!N22+'2'!N22+'4'!N22+'3'!N22+'5'!N22+'6'!N22+'7'!N22+'8'!N22+'9'!N22+'10'!N22</f>
        <v>2779.7436480000001</v>
      </c>
      <c r="O22" s="101">
        <f>+'1'!O22+'2'!O22+'4'!O22+'3'!O22+'5'!O22+'6'!O22+'7'!O22+'8'!O22+'9'!O22+'10'!O22</f>
        <v>201.44526540000004</v>
      </c>
      <c r="P22" s="120">
        <f t="shared" si="0"/>
        <v>15616.3873134</v>
      </c>
      <c r="T22" s="163" t="str">
        <f>+'9'!A5</f>
        <v>Customer Name : Ghosia Store</v>
      </c>
      <c r="U22" s="164">
        <f>+'9'!P35</f>
        <v>3520.9128996000004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MN Mart </v>
      </c>
      <c r="U23" s="164">
        <f>+'10'!P35</f>
        <v>9115.2981620999999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12.05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482</v>
      </c>
      <c r="I25" s="178">
        <f t="shared" si="3"/>
        <v>21839.735000000001</v>
      </c>
      <c r="J25" s="177">
        <f t="shared" si="3"/>
        <v>6</v>
      </c>
      <c r="K25" s="178">
        <f t="shared" si="3"/>
        <v>483.31360000000018</v>
      </c>
      <c r="L25" s="179">
        <f t="shared" si="3"/>
        <v>1332.9100000000003</v>
      </c>
      <c r="M25" s="141">
        <f t="shared" si="3"/>
        <v>20023.511400000003</v>
      </c>
      <c r="N25" s="142">
        <f>SUM(N16:N24)</f>
        <v>4487.7401580000005</v>
      </c>
      <c r="O25" s="143">
        <f>SUM(O16:O24)</f>
        <v>246.92681295000006</v>
      </c>
      <c r="P25" s="144">
        <f>SUM(P16:P24)</f>
        <v>24758.178370950001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24758.178370950001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21839.735000000001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1332.9100000000003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483.31360000000018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20023.511399999999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4487.7401580000005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24511.251558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612.78128894999998</v>
      </c>
    </row>
    <row r="39" spans="2:16" ht="15.75" customHeight="1" thickBot="1" x14ac:dyDescent="0.4">
      <c r="N39" s="203" t="s">
        <v>92</v>
      </c>
      <c r="O39" s="204"/>
      <c r="P39" s="160">
        <f>P37+P38</f>
        <v>25124.032846949998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13.137734700000003</v>
      </c>
      <c r="P22" s="120">
        <f t="shared" si="2"/>
        <v>538.64712270000007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03" t="s">
        <v>92</v>
      </c>
      <c r="O35" s="204"/>
      <c r="P35" s="160">
        <f>P33+P34</f>
        <v>538.64712270000007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3520122322765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4.4162932499999998</v>
      </c>
      <c r="P16" s="105">
        <f t="shared" ref="P16:P24" si="1">M16+N16+O16</f>
        <v>887.67494324999996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1</v>
      </c>
      <c r="K17" s="1">
        <f t="shared" ref="K17:K21" si="3">I17*$K$13</f>
        <v>0</v>
      </c>
      <c r="L17" s="105">
        <f t="shared" ref="L17:L21" si="4">I17*8%</f>
        <v>62.954999999999998</v>
      </c>
      <c r="M17" s="118">
        <f t="shared" ref="M17:M23" si="5">I17-K17-L17</f>
        <v>723.98249999999996</v>
      </c>
      <c r="N17" s="118">
        <f t="shared" si="0"/>
        <v>170.81790000000001</v>
      </c>
      <c r="O17" s="119">
        <f t="shared" ref="O17:O24" si="6">(N17+M17)*$O$15</f>
        <v>4.4740019999999996</v>
      </c>
      <c r="P17" s="120">
        <f t="shared" si="1"/>
        <v>899.27440200000001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1966.1750000000002</v>
      </c>
      <c r="J25" s="138"/>
      <c r="K25" s="139">
        <f t="shared" si="9"/>
        <v>13.730500000000003</v>
      </c>
      <c r="L25" s="140">
        <f t="shared" si="9"/>
        <v>145.52500000000001</v>
      </c>
      <c r="M25" s="141">
        <f t="shared" si="9"/>
        <v>1806.9195</v>
      </c>
      <c r="N25" s="142">
        <f>SUM(N16:N24)</f>
        <v>409.06404000000003</v>
      </c>
      <c r="O25" s="143">
        <f>SUM(O16:O24)</f>
        <v>11.079917699999999</v>
      </c>
      <c r="P25" s="144">
        <f>SUM(P16:P24)</f>
        <v>2227.0634577000001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1966.1750000000002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145.52500000000001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1806.9195000000002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409.06404000000003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2215.9835400000002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11.079917700000001</v>
      </c>
    </row>
    <row r="35" spans="2:16" ht="15.75" customHeight="1" thickBot="1" x14ac:dyDescent="0.4">
      <c r="N35" s="203" t="s">
        <v>92</v>
      </c>
      <c r="O35" s="204"/>
      <c r="P35" s="160">
        <f>P33+P34</f>
        <v>2227.0634577000001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117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116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119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121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3" t="s">
        <v>92</v>
      </c>
      <c r="O35" s="204"/>
      <c r="P35" s="160">
        <f>P33+P34</f>
        <v>1760.4564498000002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123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3520127602341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03" t="s">
        <v>92</v>
      </c>
      <c r="O35" s="204"/>
      <c r="P35" s="160">
        <f>P33+P34</f>
        <v>1760.4564498000002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125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1720162142491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3138.4000000000005</v>
      </c>
      <c r="J25" s="138"/>
      <c r="K25" s="139">
        <f t="shared" si="9"/>
        <v>109.84400000000002</v>
      </c>
      <c r="L25" s="140">
        <f t="shared" si="9"/>
        <v>156.92000000000004</v>
      </c>
      <c r="M25" s="141">
        <f t="shared" si="9"/>
        <v>2871.6360000000004</v>
      </c>
      <c r="N25" s="142">
        <f>SUM(N16:N24)</f>
        <v>631.75992000000008</v>
      </c>
      <c r="O25" s="143">
        <f>SUM(O16:O24)</f>
        <v>17.516979600000003</v>
      </c>
      <c r="P25" s="144">
        <f>SUM(P16:P24)</f>
        <v>3520.9128996000004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3138.4000000000005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156.92000000000004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2871.6360000000004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631.75992000000008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3503.3959200000004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17.516979600000003</v>
      </c>
    </row>
    <row r="35" spans="2:16" ht="15.75" customHeight="1" thickBot="1" x14ac:dyDescent="0.4">
      <c r="N35" s="203" t="s">
        <v>92</v>
      </c>
      <c r="O35" s="204"/>
      <c r="P35" s="160">
        <f>P33+P34</f>
        <v>3520.9128996000004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I21" sqref="I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127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4743204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5.9460997500000001</v>
      </c>
      <c r="P16" s="105">
        <f t="shared" ref="P16:P24" si="1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5.9460997500000001</v>
      </c>
      <c r="P17" s="120">
        <f t="shared" si="1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8.2330176000000002</v>
      </c>
      <c r="P21" s="120">
        <f t="shared" si="1"/>
        <v>1654.8365376000002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140</v>
      </c>
      <c r="I25" s="137">
        <f t="shared" si="9"/>
        <v>8026.1</v>
      </c>
      <c r="J25" s="138"/>
      <c r="K25" s="139">
        <f t="shared" si="9"/>
        <v>54.922000000000011</v>
      </c>
      <c r="L25" s="140">
        <f t="shared" si="9"/>
        <v>595.01200000000006</v>
      </c>
      <c r="M25" s="141">
        <f t="shared" si="9"/>
        <v>7376.1660000000002</v>
      </c>
      <c r="N25" s="142">
        <f>SUM(N16:N24)</f>
        <v>1693.7824200000002</v>
      </c>
      <c r="O25" s="143">
        <f>SUM(O16:O24)</f>
        <v>45.3497421</v>
      </c>
      <c r="P25" s="144">
        <f>SUM(P16:P24)</f>
        <v>9115.2981620999999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8026.1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595.01200000000006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7376.1660000000011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1693.7824200000002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9069.9484200000006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45.349742100000007</v>
      </c>
    </row>
    <row r="35" spans="2:16" ht="15.75" customHeight="1" thickBot="1" x14ac:dyDescent="0.4">
      <c r="N35" s="203" t="s">
        <v>92</v>
      </c>
      <c r="O35" s="204"/>
      <c r="P35" s="160">
        <f>P33+P34</f>
        <v>9115.2981620999999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2026-06-29T12:52:38Z</dcterms:modified>
</cp:coreProperties>
</file>