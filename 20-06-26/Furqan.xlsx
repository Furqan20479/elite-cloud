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966771E8-CFFB-4514-BC1B-AC35F48A0477}" xr6:coauthVersionLast="47" xr6:coauthVersionMax="47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24" i="33" l="1"/>
  <c r="I16" i="35"/>
  <c r="I17" i="35"/>
  <c r="I18" i="35"/>
  <c r="K18" i="35" s="1"/>
  <c r="I19" i="35"/>
  <c r="I20" i="35"/>
  <c r="I21" i="35"/>
  <c r="I22" i="35"/>
  <c r="K22" i="35" s="1"/>
  <c r="I23" i="35"/>
  <c r="I24" i="35"/>
  <c r="I16" i="32"/>
  <c r="I17" i="32"/>
  <c r="I25" i="32" s="1"/>
  <c r="P28" i="32" s="1"/>
  <c r="I18" i="32"/>
  <c r="I19" i="32"/>
  <c r="I20" i="32"/>
  <c r="I21" i="32"/>
  <c r="L21" i="32" s="1"/>
  <c r="I16" i="33"/>
  <c r="L16" i="33" s="1"/>
  <c r="I16" i="31"/>
  <c r="I17" i="31"/>
  <c r="I18" i="31"/>
  <c r="K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K22" i="33" s="1"/>
  <c r="M22" i="33" s="1"/>
  <c r="I16" i="34"/>
  <c r="I17" i="34"/>
  <c r="I18" i="34"/>
  <c r="I19" i="34"/>
  <c r="K19" i="34" s="1"/>
  <c r="I20" i="34"/>
  <c r="K20" i="34" s="1"/>
  <c r="I21" i="34"/>
  <c r="I22" i="34"/>
  <c r="I23" i="34"/>
  <c r="K23" i="34" s="1"/>
  <c r="I24" i="34"/>
  <c r="L24" i="34" s="1"/>
  <c r="I16" i="29"/>
  <c r="I17" i="29"/>
  <c r="I18" i="29"/>
  <c r="K18" i="29" s="1"/>
  <c r="I19" i="29"/>
  <c r="K19" i="29" s="1"/>
  <c r="I20" i="29"/>
  <c r="I21" i="29"/>
  <c r="I22" i="29"/>
  <c r="L22" i="29" s="1"/>
  <c r="I23" i="29"/>
  <c r="L23" i="29" s="1"/>
  <c r="I24" i="29"/>
  <c r="I24" i="32"/>
  <c r="I19" i="33"/>
  <c r="K19" i="33" s="1"/>
  <c r="I23" i="33"/>
  <c r="L23" i="33" s="1"/>
  <c r="L17" i="33"/>
  <c r="L18" i="33"/>
  <c r="I25" i="35"/>
  <c r="P28" i="35" s="1"/>
  <c r="K16" i="35"/>
  <c r="L16" i="35"/>
  <c r="K17" i="35"/>
  <c r="M17" i="35"/>
  <c r="L17" i="35"/>
  <c r="K19" i="35"/>
  <c r="L19" i="35"/>
  <c r="K20" i="35"/>
  <c r="L20" i="35"/>
  <c r="K21" i="35"/>
  <c r="M21" i="35" s="1"/>
  <c r="L21" i="35"/>
  <c r="K23" i="35"/>
  <c r="L23" i="35"/>
  <c r="K24" i="35"/>
  <c r="L24" i="35"/>
  <c r="L16" i="34"/>
  <c r="K17" i="34"/>
  <c r="L17" i="34"/>
  <c r="K18" i="34"/>
  <c r="L18" i="34"/>
  <c r="L20" i="34"/>
  <c r="K21" i="34"/>
  <c r="L21" i="34"/>
  <c r="K22" i="34"/>
  <c r="L22" i="34"/>
  <c r="K24" i="34"/>
  <c r="K21" i="33"/>
  <c r="L21" i="33"/>
  <c r="L22" i="33"/>
  <c r="K20" i="33"/>
  <c r="L20" i="33"/>
  <c r="K24" i="33"/>
  <c r="L24" i="33"/>
  <c r="M17" i="33"/>
  <c r="M18" i="33"/>
  <c r="K16" i="33"/>
  <c r="K24" i="32"/>
  <c r="L24" i="32"/>
  <c r="K16" i="32"/>
  <c r="L16" i="32"/>
  <c r="K17" i="32"/>
  <c r="K18" i="32"/>
  <c r="L18" i="32"/>
  <c r="K19" i="32"/>
  <c r="L19" i="32"/>
  <c r="K20" i="32"/>
  <c r="L20" i="32"/>
  <c r="K21" i="32"/>
  <c r="K23" i="32"/>
  <c r="L23" i="32"/>
  <c r="M23" i="32" s="1"/>
  <c r="K22" i="32"/>
  <c r="L22" i="32"/>
  <c r="K17" i="31"/>
  <c r="L17" i="31"/>
  <c r="M17" i="31" s="1"/>
  <c r="L19" i="31"/>
  <c r="K21" i="31"/>
  <c r="L21" i="31"/>
  <c r="L22" i="31"/>
  <c r="K24" i="31"/>
  <c r="L24" i="31"/>
  <c r="K16" i="31"/>
  <c r="L16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L24" i="30"/>
  <c r="K16" i="29"/>
  <c r="L16" i="29"/>
  <c r="K21" i="29"/>
  <c r="L21" i="29"/>
  <c r="K24" i="29"/>
  <c r="M24" i="29" s="1"/>
  <c r="L24" i="29"/>
  <c r="K17" i="29"/>
  <c r="L17" i="29"/>
  <c r="K20" i="29"/>
  <c r="L20" i="29"/>
  <c r="K22" i="29"/>
  <c r="K23" i="29"/>
  <c r="I25" i="28"/>
  <c r="P28" i="28" s="1"/>
  <c r="K16" i="28"/>
  <c r="L16" i="28"/>
  <c r="K17" i="28"/>
  <c r="L17" i="28"/>
  <c r="K18" i="28"/>
  <c r="L18" i="28"/>
  <c r="K19" i="28"/>
  <c r="L19" i="28"/>
  <c r="K20" i="28"/>
  <c r="L20" i="28"/>
  <c r="K21" i="28"/>
  <c r="L21" i="28"/>
  <c r="K22" i="28"/>
  <c r="L22" i="28"/>
  <c r="K23" i="28"/>
  <c r="M23" i="28" s="1"/>
  <c r="L23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29" l="1"/>
  <c r="M22" i="31"/>
  <c r="M24" i="28"/>
  <c r="N24" i="28" s="1"/>
  <c r="O24" i="28" s="1"/>
  <c r="P24" i="28" s="1"/>
  <c r="L18" i="29"/>
  <c r="M24" i="30"/>
  <c r="M24" i="32"/>
  <c r="K23" i="33"/>
  <c r="K25" i="33" s="1"/>
  <c r="P30" i="33" s="1"/>
  <c r="L23" i="34"/>
  <c r="L19" i="34"/>
  <c r="M24" i="35"/>
  <c r="L22" i="35"/>
  <c r="M22" i="35" s="1"/>
  <c r="N22" i="35" s="1"/>
  <c r="O22" i="35" s="1"/>
  <c r="L18" i="35"/>
  <c r="M18" i="35" s="1"/>
  <c r="L18" i="31"/>
  <c r="M24" i="31"/>
  <c r="M24" i="33"/>
  <c r="L19" i="33"/>
  <c r="M23" i="34"/>
  <c r="M23" i="35"/>
  <c r="M17" i="28"/>
  <c r="N17" i="28" s="1"/>
  <c r="O17" i="28" s="1"/>
  <c r="L17" i="32"/>
  <c r="M24" i="34"/>
  <c r="I25" i="34"/>
  <c r="P28" i="34" s="1"/>
  <c r="M23" i="33"/>
  <c r="N23" i="33" s="1"/>
  <c r="O23" i="33" s="1"/>
  <c r="I16" i="26"/>
  <c r="I17" i="26"/>
  <c r="I18" i="26"/>
  <c r="K18" i="26" s="1"/>
  <c r="I19" i="26"/>
  <c r="L19" i="26" s="1"/>
  <c r="I20" i="26"/>
  <c r="I21" i="26"/>
  <c r="I22" i="26"/>
  <c r="K22" i="26" s="1"/>
  <c r="I23" i="26"/>
  <c r="K23" i="26" s="1"/>
  <c r="I24" i="26"/>
  <c r="I21" i="27"/>
  <c r="M18" i="28"/>
  <c r="N18" i="28" s="1"/>
  <c r="O18" i="28" s="1"/>
  <c r="P18" i="28" s="1"/>
  <c r="M20" i="29"/>
  <c r="N20" i="29" s="1"/>
  <c r="O20" i="29" s="1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N19" i="34" s="1"/>
  <c r="O19" i="34" s="1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19" i="31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N21" i="35"/>
  <c r="O21" i="35" s="1"/>
  <c r="N17" i="35"/>
  <c r="O17" i="35" s="1"/>
  <c r="K25" i="35"/>
  <c r="P30" i="35" s="1"/>
  <c r="N23" i="35"/>
  <c r="O23" i="35" s="1"/>
  <c r="M16" i="35"/>
  <c r="N24" i="34"/>
  <c r="O24" i="34" s="1"/>
  <c r="L25" i="34"/>
  <c r="P29" i="34" s="1"/>
  <c r="K25" i="34"/>
  <c r="P30" i="34" s="1"/>
  <c r="N23" i="34"/>
  <c r="O23" i="34" s="1"/>
  <c r="P23" i="34" s="1"/>
  <c r="N16" i="34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4" i="29"/>
  <c r="O24" i="29" s="1"/>
  <c r="P24" i="29" s="1"/>
  <c r="L25" i="29"/>
  <c r="P29" i="29" s="1"/>
  <c r="K25" i="29"/>
  <c r="P30" i="29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22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L25" i="35" l="1"/>
  <c r="P29" i="35" s="1"/>
  <c r="P24" i="31"/>
  <c r="P24" i="34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K23" i="20"/>
  <c r="K20" i="19"/>
  <c r="L20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4" i="25" l="1"/>
  <c r="L24" i="20"/>
  <c r="K18" i="19"/>
  <c r="L18" i="17"/>
  <c r="M18" i="17" s="1"/>
  <c r="N18" i="17" s="1"/>
  <c r="O18" i="17" s="1"/>
  <c r="K23" i="19"/>
  <c r="M23" i="19" s="1"/>
  <c r="N23" i="19" s="1"/>
  <c r="O23" i="19" s="1"/>
  <c r="K19" i="19"/>
  <c r="L23" i="22"/>
  <c r="L25" i="22" s="1"/>
  <c r="P29" i="22" s="1"/>
  <c r="K19" i="25"/>
  <c r="K25" i="25" s="1"/>
  <c r="P30" i="25" s="1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M24" i="24" s="1"/>
  <c r="N24" i="24" s="1"/>
  <c r="O24" i="24" s="1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22" i="25"/>
  <c r="N22" i="25" s="1"/>
  <c r="O22" i="25" s="1"/>
  <c r="M20" i="25"/>
  <c r="N20" i="25" s="1"/>
  <c r="O20" i="25" s="1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M21" i="25"/>
  <c r="N21" i="25" s="1"/>
  <c r="O21" i="25" s="1"/>
  <c r="P21" i="25" s="1"/>
  <c r="N17" i="25"/>
  <c r="O17" i="25" s="1"/>
  <c r="M16" i="25"/>
  <c r="N23" i="25"/>
  <c r="O23" i="25" s="1"/>
  <c r="P23" i="25" s="1"/>
  <c r="N23" i="24"/>
  <c r="O23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L25" i="19"/>
  <c r="P29" i="19" s="1"/>
  <c r="N24" i="18"/>
  <c r="O24" i="18" s="1"/>
  <c r="N18" i="18"/>
  <c r="O18" i="18" s="1"/>
  <c r="N22" i="18"/>
  <c r="O22" i="18" s="1"/>
  <c r="I23" i="15"/>
  <c r="M19" i="25" l="1"/>
  <c r="N19" i="25" s="1"/>
  <c r="O19" i="25" s="1"/>
  <c r="K25" i="22"/>
  <c r="P30" i="22" s="1"/>
  <c r="K22" i="15"/>
  <c r="M19" i="18"/>
  <c r="N19" i="18" s="1"/>
  <c r="O19" i="18" s="1"/>
  <c r="P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6" l="1"/>
  <c r="N16" i="16" s="1"/>
  <c r="O16" i="16" s="1"/>
  <c r="P22" i="20"/>
  <c r="M25" i="20"/>
  <c r="M25" i="18"/>
  <c r="M24" i="16"/>
  <c r="N24" i="16" s="1"/>
  <c r="N24" i="15" s="1"/>
  <c r="M18" i="15"/>
  <c r="N16" i="18"/>
  <c r="M18" i="16"/>
  <c r="N18" i="16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7"/>
  <c r="O25" i="17" s="1"/>
  <c r="N25" i="17"/>
  <c r="P32" i="17" s="1"/>
  <c r="N16" i="15" l="1"/>
  <c r="N22" i="15"/>
  <c r="P22" i="15" s="1"/>
  <c r="O16" i="18"/>
  <c r="P16" i="18" s="1"/>
  <c r="P25" i="18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34" i="18"/>
  <c r="P35" i="18" s="1"/>
  <c r="U16" i="15" s="1"/>
  <c r="P16" i="17"/>
  <c r="P25" i="17" s="1"/>
  <c r="P16" i="16"/>
  <c r="O16" i="15" l="1"/>
  <c r="P16" i="15" s="1"/>
  <c r="O25" i="18"/>
  <c r="P33" i="16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<sst xmlns="http://schemas.openxmlformats.org/spreadsheetml/2006/main" count="1580" uniqueCount="113">
  <si>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</si>
  <si>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</si>
  <si>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</si>
  <si>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</si>
  <si>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</si>
  <si>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</si>
  <si>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</si>
  <si>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</si>
  <si>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</si>
  <si>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</si>
  <si>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</si>
  <si>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</si>
  <si>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</si>
  <si>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</si>
  <si>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</si>
  <si>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</si>
  <si>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</si>
  <si>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</si>
  <si>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</si>
  <si>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</si>
  <si>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</si>
  <si>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</si>
  <si>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</si>
  <si>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</si>
  <si>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</si>
  <si>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</si>
  <si>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</si>
  <si>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</si>
  <si>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</si>
  <si>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</si>
  <si>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</si>
  <si>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</si>
  <si>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</si>
  <si>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</si>
  <si>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</si>
  <si>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</si>
  <si>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</si>
  <si>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</si>
  <si>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</si>
  <si>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</si>
  <si>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</si>
  <si>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</si>
  <si>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</si>
  <si>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</si>
  <si>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</si>
  <si>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</si>
  <si>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</si>
  <si>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</si>
  <si>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</si>
  <si>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</si>
  <si>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</si>
  <si>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</si>
  <si>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</si>
  <si>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</si>
  <si>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</si>
  <si>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</si>
  <si>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</si>
  <si>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</si>
  <si>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</si>
  <si>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</si>
  <si>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</si>
  <si>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</si>
  <si>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</si>
  <si>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</si>
  <si>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</si>
  <si>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</si>
  <si>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</si>
  <si>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</si>
  <si>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</si>
  <si>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</si>
  <si>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</si>
  <si>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</si>
  <si>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</si>
  <si>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</si>
  <si>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</si>
  <si>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</si>
  <si>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</si>
  <si>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</si>
  <si>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</si>
  <si>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</si>
  <si>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</si>
  <si>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</si>
  <si>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</si>
  <si>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</si>
  <si>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</si>
  <si>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</si>
  <si>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</si>
  <si>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</si>
  <si>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</si>
  <si>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</si>
  <si>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</si>
  <si>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</si>
  <si>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</si>
  <si>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</si>
  <si>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</si>
  <si>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</si>
  <si>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</si>
  <si>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</si>
  <si>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</si>
  <si>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</si>
  <si>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</si>
  <si>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</si>
  <si>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</si>
  <si>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</si>
  <si>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Shop Bill Summary (Furqan)</t>
  </si>
  <si>
    <t>Customer Name : Brand Bakers Mart</t>
  </si>
  <si>
    <t>Address: Railway Road Kila gujjer Sing</t>
  </si>
  <si>
    <t>Customer Name : Tofail Store</t>
  </si>
  <si>
    <t>Address: Railway Road</t>
  </si>
  <si>
    <t>Customer Name : Nazeer Son Store</t>
  </si>
  <si>
    <t>Customer Name : Euro Store</t>
  </si>
  <si>
    <t>Address: Ghari Shahu</t>
  </si>
  <si>
    <t>E7576863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</si>
</sst>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6" zoomScale="70" zoomScaleNormal="70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96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104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Brand Bakers Mart</v>
      </c>
      <c r="U14" s="164">
        <f>+'1'!P35</f>
        <v>0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Tofail Store</v>
      </c>
      <c r="U15" s="164">
        <f>+'2'!P35</f>
        <v>2390.3320994999999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25</v>
      </c>
      <c r="I16" s="1">
        <f>(G16*D16)*F16+H16*F16</f>
        <v>1311.5625</v>
      </c>
      <c r="J16" s="172">
        <f>+'1'!J16+'2'!J16+'4'!J16+'3'!J16+'5'!J16+'6'!J16+'7'!J16+'8'!J16+'9'!J16+'10'!J16+'11'!J16+'12'!J16+'13'!J16+'14'!J16+'15'!J16+'16'!J16+'17'!J16+'18'!J16</f>
        <v>1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104.925</v>
      </c>
      <c r="M16" s="106">
        <f>I16-K16-L16</f>
        <v>1206.6375</v>
      </c>
      <c r="N16" s="101">
        <f>+'1'!N16+'2'!N16+'4'!N16+'3'!N16+'5'!N16+'6'!N16+'7'!N16+'8'!N16+'9'!N16+'10'!N16</f>
        <v>277.00200000000001</v>
      </c>
      <c r="O16" s="101">
        <f>+'1'!O16+'2'!O16+'4'!O16+'3'!O16+'5'!O16+'6'!O16+'7'!O16+'8'!O16+'9'!O16+'10'!O16</f>
        <v>7.4181974999999998</v>
      </c>
      <c r="P16" s="105">
        <f t="shared" ref="P16:P24" si="0">M16+N16+O16</f>
        <v>1491.0576974999999</v>
      </c>
      <c r="Q16" s="108"/>
      <c r="T16" s="163" t="str">
        <f>+'4'!A5</f>
        <v>Customer Name : Euro Store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10</v>
      </c>
      <c r="I17" s="1">
        <f t="shared" ref="I17:I23" si="1">(G17*D17)*F17+H17*F17</f>
        <v>524.625</v>
      </c>
      <c r="J17" s="172">
        <f>+'1'!J17+'2'!J17+'4'!J17+'3'!J17+'5'!J17+'6'!J17+'7'!J17+'8'!J17+'9'!J17+'10'!J17+'11'!J17+'12'!J17+'13'!J17+'14'!J17+'15'!J17+'16'!J17+'17'!J17+'18'!J17</f>
        <v>1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41.97</v>
      </c>
      <c r="M17" s="118">
        <f t="shared" ref="M17:M23" si="2">I17-K17-L17</f>
        <v>482.65499999999997</v>
      </c>
      <c r="N17" s="101">
        <f>+'1'!N17+'2'!N17+'4'!N17+'3'!N17+'5'!N17+'6'!N17+'7'!N17+'8'!N17+'9'!N17+'10'!N17</f>
        <v>117.72585000000001</v>
      </c>
      <c r="O17" s="101">
        <f>+'1'!O17+'2'!O17+'4'!O17+'3'!O17+'5'!O17+'6'!O17+'7'!O17+'8'!O17+'9'!O17+'10'!O17</f>
        <v>3.0019042499999999</v>
      </c>
      <c r="P17" s="120">
        <f t="shared" si="0"/>
        <v>603.38275425000006</v>
      </c>
      <c r="S17" s="64"/>
      <c r="T17" s="163" t="str">
        <f>+'3'!A5</f>
        <v>Customer Name : Nazeer Son Store</v>
      </c>
      <c r="U17" s="164">
        <f>+'3'!P35</f>
        <v>1195.16604975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25</v>
      </c>
      <c r="I18" s="1">
        <f t="shared" si="1"/>
        <v>1311.5625</v>
      </c>
      <c r="J18" s="172">
        <f>+'1'!J18+'2'!J18+'4'!J18+'3'!J18+'5'!J18+'6'!J18+'7'!J18+'8'!J18+'9'!J18+'10'!J18+'11'!J18+'12'!J18+'13'!J18+'14'!J18+'15'!J18+'16'!J18+'17'!J18+'18'!J18</f>
        <v>1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104.925</v>
      </c>
      <c r="M18" s="118">
        <f t="shared" si="2"/>
        <v>1206.6375</v>
      </c>
      <c r="N18" s="101">
        <f>+'1'!N18+'2'!N18+'4'!N18+'3'!N18+'5'!N18+'6'!N18+'7'!N18+'8'!N18+'9'!N18+'10'!N18</f>
        <v>277.00200000000001</v>
      </c>
      <c r="O18" s="101">
        <f>+'1'!O18+'2'!O18+'4'!O18+'3'!O18+'5'!O18+'6'!O18+'7'!O18+'8'!O18+'9'!O18+'10'!O18</f>
        <v>7.4181974999999998</v>
      </c>
      <c r="P18" s="120">
        <f t="shared" si="0"/>
        <v>1491.0576974999999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0</v>
      </c>
      <c r="I19" s="1">
        <f t="shared" si="1"/>
        <v>0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0</v>
      </c>
      <c r="M19" s="118">
        <f t="shared" si="2"/>
        <v>0</v>
      </c>
      <c r="N19" s="101">
        <f>+'1'!N19+'2'!N19+'4'!N19+'3'!N19+'5'!N19+'6'!N19+'7'!N19+'8'!N19+'9'!N19+'10'!N19</f>
        <v>0</v>
      </c>
      <c r="O19" s="101">
        <f>+'1'!O19+'2'!O19+'4'!O19+'3'!O19+'5'!O19+'6'!O19+'7'!O19+'8'!O19+'9'!O19+'10'!O19</f>
        <v>0</v>
      </c>
      <c r="P19" s="120">
        <f t="shared" si="0"/>
        <v>0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0</v>
      </c>
      <c r="I20" s="1">
        <f t="shared" si="1"/>
        <v>0</v>
      </c>
      <c r="J20" s="172">
        <f>+'1'!J20+'2'!J20+'4'!J20+'3'!J20+'5'!J20+'6'!J20+'7'!J20+'8'!J20+'9'!J20+'10'!J20+'11'!J20+'12'!J20+'13'!J20+'14'!J20+'15'!J20+'16'!J20+'17'!J20+'18'!J20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0</v>
      </c>
      <c r="M20" s="118">
        <f t="shared" si="2"/>
        <v>0</v>
      </c>
      <c r="N20" s="101">
        <f>+'1'!N20+'2'!N20+'4'!N20+'3'!N20+'5'!N20+'6'!N20+'7'!N20+'8'!N20+'9'!N20+'10'!N20</f>
        <v>0</v>
      </c>
      <c r="O20" s="101">
        <f>+'1'!O20+'2'!O20+'4'!O20+'3'!O20+'5'!O20+'6'!O20+'7'!O20+'8'!O20+'9'!O20+'10'!O20</f>
        <v>0</v>
      </c>
      <c r="P20" s="120">
        <f t="shared" si="0"/>
        <v>0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0</v>
      </c>
      <c r="I21" s="1">
        <f t="shared" si="1"/>
        <v>0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0</v>
      </c>
      <c r="M21" s="118">
        <f t="shared" si="2"/>
        <v>0</v>
      </c>
      <c r="N21" s="101">
        <f>+'1'!N21+'2'!N21+'4'!N21+'3'!N21+'5'!N21+'6'!N21+'7'!N21+'8'!N21+'9'!N21+'10'!N21</f>
        <v>0</v>
      </c>
      <c r="O21" s="101">
        <f>+'1'!O21+'2'!O21+'4'!O21+'3'!O21+'5'!O21+'6'!O21+'7'!O21+'8'!O21+'9'!O21+'10'!O21</f>
        <v>0</v>
      </c>
      <c r="P21" s="120">
        <f t="shared" si="0"/>
        <v>0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1.5</v>
      </c>
      <c r="D25" s="221"/>
      <c r="E25" s="221"/>
      <c r="F25" s="221"/>
      <c r="G25" s="176">
        <f t="shared" ref="G25:M25" si="3">SUM(G16:G24)</f>
        <v>0</v>
      </c>
      <c r="H25" s="177">
        <f t="shared" si="3"/>
        <v>60</v>
      </c>
      <c r="I25" s="178">
        <f t="shared" si="3"/>
        <v>3147.75</v>
      </c>
      <c r="J25" s="177">
        <f t="shared" si="3"/>
        <v>3</v>
      </c>
      <c r="K25" s="178">
        <f t="shared" si="3"/>
        <v>0</v>
      </c>
      <c r="L25" s="179">
        <f t="shared" si="3"/>
        <v>251.82</v>
      </c>
      <c r="M25" s="141">
        <f t="shared" si="3"/>
        <v>2895.9300000000003</v>
      </c>
      <c r="N25" s="142">
        <f>SUM(N16:N24)</f>
        <v>671.72984999999994</v>
      </c>
      <c r="O25" s="143">
        <f>SUM(O16:O24)</f>
        <v>17.838299249999999</v>
      </c>
      <c r="P25" s="144">
        <f>SUM(P16:P24)</f>
        <v>3585.4981492499996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3585.4981492500001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3147.75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251.82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0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2895.93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671.72984999999994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3567.65985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89.19149625</v>
      </c>
    </row>
    <row r="39" spans="2:16" ht="15.75" customHeight="1" thickBot="1" x14ac:dyDescent="0.4">
      <c r="N39" s="219" t="s">
        <v>92</v>
      </c>
      <c r="O39" s="220"/>
      <c r="P39" s="160">
        <f>P37+P38</f>
        <v>3656.85134625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96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32777876136186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workbookViewId="0">
      <selection activeCell="E7" sqref="E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107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108</v>
      </c>
      <c r="B6" s="201"/>
      <c r="C6" s="201"/>
      <c r="F6" s="70"/>
      <c r="G6" s="74"/>
      <c r="K6" s="201" t="s">
        <v>52</v>
      </c>
      <c r="L6" s="201"/>
      <c r="M6" s="201"/>
      <c r="N6" s="203" t="s">
        <v>96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25065378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15</v>
      </c>
      <c r="I16" s="102">
        <f>(G16*D16)*F16+H16*F16</f>
        <v>786.9375</v>
      </c>
      <c r="J16" s="103">
        <v>1</v>
      </c>
      <c r="K16" s="104">
        <f>I16*$K$13</f>
        <v>0</v>
      </c>
      <c r="L16" s="105">
        <f>I16*8%</f>
        <v>62.954999999999998</v>
      </c>
      <c r="M16" s="106">
        <f>I16-K16-L16</f>
        <v>723.98249999999996</v>
      </c>
      <c r="N16" s="106">
        <f t="shared" ref="N16:N24" si="0">(M16*$N$15)+(J16*F16)*$N$15</f>
        <v>170.81790000000001</v>
      </c>
      <c r="O16" s="107">
        <f>(N16+M16)*$O$15</f>
        <v>4.4740019999999996</v>
      </c>
      <c r="P16" s="105">
        <f t="shared" ref="P16:P24" si="1">M16+N16+O16</f>
        <v>899.27440200000001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>
        <v>1</v>
      </c>
      <c r="K17" s="1">
        <f t="shared" ref="K17:K21" si="3">I17*$K$13</f>
        <v>0</v>
      </c>
      <c r="L17" s="105">
        <f t="shared" ref="L17:L21" si="4">I17*8%</f>
        <v>41.97</v>
      </c>
      <c r="M17" s="118">
        <f t="shared" ref="M17:M23" si="5">I17-K17-L17</f>
        <v>482.65499999999997</v>
      </c>
      <c r="N17" s="118">
        <f t="shared" si="0"/>
        <v>117.72585000000001</v>
      </c>
      <c r="O17" s="119">
        <f t="shared" ref="O17:O24" si="6">(N17+M17)*$O$15</f>
        <v>3.0019042499999999</v>
      </c>
      <c r="P17" s="120">
        <f t="shared" si="1"/>
        <v>603.38275425000006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15</v>
      </c>
      <c r="I18" s="116">
        <f t="shared" si="2"/>
        <v>786.9375</v>
      </c>
      <c r="J18" s="117"/>
      <c r="K18" s="1">
        <f t="shared" si="3"/>
        <v>0</v>
      </c>
      <c r="L18" s="105">
        <f t="shared" si="4"/>
        <v>62.954999999999998</v>
      </c>
      <c r="M18" s="118">
        <f t="shared" si="5"/>
        <v>723.98249999999996</v>
      </c>
      <c r="N18" s="118">
        <f t="shared" si="0"/>
        <v>159.27615</v>
      </c>
      <c r="O18" s="119">
        <f t="shared" si="6"/>
        <v>4.4162932499999998</v>
      </c>
      <c r="P18" s="120">
        <f t="shared" si="1"/>
        <v>887.67494324999996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0</v>
      </c>
      <c r="L25" s="140">
        <f t="shared" si="9"/>
        <v>167.88</v>
      </c>
      <c r="M25" s="141">
        <f t="shared" si="9"/>
        <v>1930.62</v>
      </c>
      <c r="N25" s="142">
        <f>SUM(N16:N24)</f>
        <v>447.81990000000008</v>
      </c>
      <c r="O25" s="143">
        <f>SUM(O16:O24)</f>
        <v>11.8921995</v>
      </c>
      <c r="P25" s="144">
        <f>SUM(P16:P24)</f>
        <v>2390.3320994999999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2098.5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167.88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1930.62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447.81990000000008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2378.4398999999999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11.8921995</v>
      </c>
    </row>
    <row r="35" spans="2:16" ht="15.75" customHeight="1" thickBot="1" x14ac:dyDescent="0.4">
      <c r="N35" s="219" t="s">
        <v>92</v>
      </c>
      <c r="O35" s="220"/>
      <c r="P35" s="160">
        <f>P33+P34</f>
        <v>2390.3320994999999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F10" sqref="F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109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108</v>
      </c>
      <c r="B6" s="201"/>
      <c r="C6" s="201"/>
      <c r="F6" s="70"/>
      <c r="G6" s="74"/>
      <c r="K6" s="201" t="s">
        <v>52</v>
      </c>
      <c r="L6" s="201"/>
      <c r="M6" s="201"/>
      <c r="N6" s="203" t="s">
        <v>96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858352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/>
      <c r="K16" s="104">
        <f>I16*$K$13</f>
        <v>0</v>
      </c>
      <c r="L16" s="105">
        <f>I16*8%</f>
        <v>41.97</v>
      </c>
      <c r="M16" s="106">
        <f>I16-K16-L16</f>
        <v>482.65499999999997</v>
      </c>
      <c r="N16" s="106">
        <f t="shared" ref="N16:N24" si="0">(M16*$N$15)+(J16*F16)*$N$15</f>
        <v>106.1841</v>
      </c>
      <c r="O16" s="107">
        <f>(N16+M16)*$O$15</f>
        <v>2.9441954999999997</v>
      </c>
      <c r="P16" s="105">
        <f t="shared" ref="P16:P24" si="1">M16+N16+O16</f>
        <v>591.78329549999989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10</v>
      </c>
      <c r="I18" s="116">
        <f t="shared" si="2"/>
        <v>524.625</v>
      </c>
      <c r="J18" s="117">
        <v>1</v>
      </c>
      <c r="K18" s="1">
        <f t="shared" si="3"/>
        <v>0</v>
      </c>
      <c r="L18" s="105">
        <f t="shared" si="4"/>
        <v>41.97</v>
      </c>
      <c r="M18" s="118">
        <f t="shared" si="5"/>
        <v>482.65499999999997</v>
      </c>
      <c r="N18" s="118">
        <f t="shared" si="0"/>
        <v>117.72585000000001</v>
      </c>
      <c r="O18" s="119">
        <f t="shared" si="6"/>
        <v>3.0019042499999999</v>
      </c>
      <c r="P18" s="120">
        <f t="shared" si="1"/>
        <v>603.38275425000006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20</v>
      </c>
      <c r="I25" s="137">
        <f t="shared" si="9"/>
        <v>1049.25</v>
      </c>
      <c r="J25" s="138"/>
      <c r="K25" s="139">
        <f t="shared" si="9"/>
        <v>0</v>
      </c>
      <c r="L25" s="140">
        <f t="shared" si="9"/>
        <v>83.94</v>
      </c>
      <c r="M25" s="141">
        <f t="shared" si="9"/>
        <v>965.31</v>
      </c>
      <c r="N25" s="142">
        <f>SUM(N16:N24)</f>
        <v>223.90995000000001</v>
      </c>
      <c r="O25" s="143">
        <f>SUM(O16:O24)</f>
        <v>5.9460997500000001</v>
      </c>
      <c r="P25" s="144">
        <f>SUM(P16:P24)</f>
        <v>1195.16604975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1049.25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83.94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965.31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223.90995000000001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1189.2199499999999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5.9460997500000001</v>
      </c>
    </row>
    <row r="35" spans="2:16" ht="15.75" customHeight="1" thickBot="1" x14ac:dyDescent="0.4">
      <c r="N35" s="219" t="s">
        <v>92</v>
      </c>
      <c r="O35" s="220"/>
      <c r="P35" s="160">
        <f>P33+P34</f>
        <v>1195.16604975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0" workbookViewId="0">
      <selection activeCell="J19" sqref="J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110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111</v>
      </c>
      <c r="B6" s="201"/>
      <c r="C6" s="201"/>
      <c r="F6" s="70"/>
      <c r="G6" s="74"/>
      <c r="K6" s="201" t="s">
        <v>52</v>
      </c>
      <c r="L6" s="201"/>
      <c r="M6" s="201"/>
      <c r="N6" s="203" t="s">
        <v>96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112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3277876353369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2026-06-22T06:57:08Z</dcterms:modified>
</cp:coreProperties>
</file>