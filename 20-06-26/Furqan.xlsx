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0B029E51-0949-4142-B1CD-4DDBF8AB3294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24" i="33" l="1"/>
  <c r="I16" i="35"/>
  <c r="I17" i="35"/>
  <c r="I18" i="35"/>
  <c r="K18" i="35" s="1"/>
  <c r="I19" i="35"/>
  <c r="I20" i="35"/>
  <c r="I21" i="35"/>
  <c r="I22" i="35"/>
  <c r="K22" i="35" s="1"/>
  <c r="I23" i="35"/>
  <c r="I24" i="35"/>
  <c r="I16" i="32"/>
  <c r="I17" i="32"/>
  <c r="I25" i="32" s="1"/>
  <c r="P28" i="32" s="1"/>
  <c r="I18" i="32"/>
  <c r="I19" i="32"/>
  <c r="I20" i="32"/>
  <c r="I21" i="32"/>
  <c r="L21" i="32" s="1"/>
  <c r="I16" i="33"/>
  <c r="L16" i="33" s="1"/>
  <c r="I16" i="3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K19" i="34" s="1"/>
  <c r="I20" i="34"/>
  <c r="K20" i="34" s="1"/>
  <c r="I21" i="34"/>
  <c r="I22" i="34"/>
  <c r="I23" i="34"/>
  <c r="K23" i="34" s="1"/>
  <c r="I24" i="34"/>
  <c r="L24" i="34" s="1"/>
  <c r="I16" i="29"/>
  <c r="I17" i="29"/>
  <c r="I18" i="29"/>
  <c r="K18" i="29" s="1"/>
  <c r="I19" i="29"/>
  <c r="K19" i="29" s="1"/>
  <c r="I20" i="29"/>
  <c r="I21" i="29"/>
  <c r="I22" i="29"/>
  <c r="L22" i="29" s="1"/>
  <c r="I23" i="29"/>
  <c r="L23" i="29" s="1"/>
  <c r="I24" i="29"/>
  <c r="I24" i="32"/>
  <c r="I19" i="33"/>
  <c r="K19" i="33" s="1"/>
  <c r="I23" i="33"/>
  <c r="L23" i="33" s="1"/>
  <c r="L17" i="33"/>
  <c r="L18" i="33"/>
  <c r="I25" i="35"/>
  <c r="P28" i="35" s="1"/>
  <c r="K16" i="35"/>
  <c r="L16" i="35"/>
  <c r="K17" i="35"/>
  <c r="M17" i="35"/>
  <c r="L17" i="35"/>
  <c r="K19" i="35"/>
  <c r="L19" i="35"/>
  <c r="K20" i="35"/>
  <c r="L20" i="35"/>
  <c r="K21" i="35"/>
  <c r="M21" i="35" s="1"/>
  <c r="L21" i="35"/>
  <c r="K23" i="35"/>
  <c r="L23" i="35"/>
  <c r="K24" i="35"/>
  <c r="L24" i="35"/>
  <c r="L16" i="34"/>
  <c r="K17" i="34"/>
  <c r="L17" i="34"/>
  <c r="K18" i="34"/>
  <c r="L18" i="34"/>
  <c r="L20" i="34"/>
  <c r="K21" i="34"/>
  <c r="L21" i="34"/>
  <c r="K22" i="34"/>
  <c r="L22" i="34"/>
  <c r="K24" i="34"/>
  <c r="K21" i="33"/>
  <c r="L21" i="33"/>
  <c r="L22" i="33"/>
  <c r="K20" i="33"/>
  <c r="L20" i="33"/>
  <c r="K24" i="33"/>
  <c r="L24" i="33"/>
  <c r="M17" i="33"/>
  <c r="M18" i="33"/>
  <c r="K16" i="33"/>
  <c r="K24" i="32"/>
  <c r="L24" i="32"/>
  <c r="K16" i="32"/>
  <c r="L16" i="32"/>
  <c r="K17" i="32"/>
  <c r="K18" i="32"/>
  <c r="L18" i="32"/>
  <c r="K19" i="32"/>
  <c r="L19" i="32"/>
  <c r="K20" i="32"/>
  <c r="L20" i="32"/>
  <c r="K21" i="32"/>
  <c r="K23" i="32"/>
  <c r="L23" i="32"/>
  <c r="M23" i="32" s="1"/>
  <c r="K22" i="32"/>
  <c r="L22" i="32"/>
  <c r="K17" i="31"/>
  <c r="L17" i="31"/>
  <c r="M17" i="31" s="1"/>
  <c r="L19" i="31"/>
  <c r="K21" i="31"/>
  <c r="L21" i="31"/>
  <c r="L22" i="31"/>
  <c r="K24" i="31"/>
  <c r="L24" i="31"/>
  <c r="K16" i="31"/>
  <c r="L16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L24" i="30"/>
  <c r="K16" i="29"/>
  <c r="L16" i="29"/>
  <c r="K21" i="29"/>
  <c r="L21" i="29"/>
  <c r="K24" i="29"/>
  <c r="M24" i="29" s="1"/>
  <c r="L24" i="29"/>
  <c r="K17" i="29"/>
  <c r="L17" i="29"/>
  <c r="K20" i="29"/>
  <c r="L20" i="29"/>
  <c r="K22" i="29"/>
  <c r="K23" i="29"/>
  <c r="I25" i="28"/>
  <c r="P28" i="28" s="1"/>
  <c r="K16" i="28"/>
  <c r="L16" i="28"/>
  <c r="K17" i="28"/>
  <c r="L17" i="28"/>
  <c r="K18" i="28"/>
  <c r="L18" i="28"/>
  <c r="K19" i="28"/>
  <c r="L19" i="28"/>
  <c r="K20" i="28"/>
  <c r="L20" i="28"/>
  <c r="K21" i="28"/>
  <c r="L21" i="28"/>
  <c r="K22" i="28"/>
  <c r="L22" i="28"/>
  <c r="K23" i="28"/>
  <c r="M23" i="28" s="1"/>
  <c r="L23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29" l="1"/>
  <c r="M22" i="31"/>
  <c r="M24" i="28"/>
  <c r="N24" i="28" s="1"/>
  <c r="O24" i="28" s="1"/>
  <c r="P24" i="28" s="1"/>
  <c r="L18" i="29"/>
  <c r="M24" i="30"/>
  <c r="M24" i="32"/>
  <c r="K23" i="33"/>
  <c r="K25" i="33" s="1"/>
  <c r="P30" i="33" s="1"/>
  <c r="L23" i="34"/>
  <c r="L19" i="34"/>
  <c r="M24" i="35"/>
  <c r="L22" i="35"/>
  <c r="M22" i="35" s="1"/>
  <c r="N22" i="35" s="1"/>
  <c r="O22" i="35" s="1"/>
  <c r="L18" i="35"/>
  <c r="M18" i="35" s="1"/>
  <c r="L18" i="31"/>
  <c r="M24" i="31"/>
  <c r="M24" i="33"/>
  <c r="L19" i="33"/>
  <c r="M23" i="34"/>
  <c r="M23" i="35"/>
  <c r="M17" i="28"/>
  <c r="N17" i="28" s="1"/>
  <c r="O17" i="28" s="1"/>
  <c r="L17" i="32"/>
  <c r="M24" i="34"/>
  <c r="I25" i="34"/>
  <c r="P28" i="34" s="1"/>
  <c r="M23" i="33"/>
  <c r="N23" i="33" s="1"/>
  <c r="O23" i="33" s="1"/>
  <c r="I16" i="26"/>
  <c r="I17" i="26"/>
  <c r="I18" i="26"/>
  <c r="K18" i="26" s="1"/>
  <c r="I19" i="26"/>
  <c r="L19" i="26" s="1"/>
  <c r="I20" i="26"/>
  <c r="I21" i="26"/>
  <c r="I22" i="26"/>
  <c r="K22" i="26" s="1"/>
  <c r="I23" i="26"/>
  <c r="K23" i="26" s="1"/>
  <c r="I24" i="26"/>
  <c r="I21" i="27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N19" i="34" s="1"/>
  <c r="O19" i="34" s="1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1" i="35"/>
  <c r="O21" i="35" s="1"/>
  <c r="N17" i="35"/>
  <c r="O17" i="35" s="1"/>
  <c r="K25" i="35"/>
  <c r="P30" i="35" s="1"/>
  <c r="N23" i="35"/>
  <c r="O23" i="35" s="1"/>
  <c r="M16" i="35"/>
  <c r="N24" i="34"/>
  <c r="O24" i="34" s="1"/>
  <c r="L25" i="34"/>
  <c r="P29" i="34" s="1"/>
  <c r="K25" i="34"/>
  <c r="P30" i="34" s="1"/>
  <c r="N23" i="34"/>
  <c r="O23" i="34" s="1"/>
  <c r="P23" i="34" s="1"/>
  <c r="N16" i="34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4" i="29"/>
  <c r="O24" i="29" s="1"/>
  <c r="P24" i="29" s="1"/>
  <c r="L25" i="29"/>
  <c r="P29" i="29" s="1"/>
  <c r="K25" i="29"/>
  <c r="P30" i="29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22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L25" i="35" l="1"/>
  <c r="P29" i="35" s="1"/>
  <c r="P24" i="31"/>
  <c r="P24" i="34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K23" i="20"/>
  <c r="K20" i="19"/>
  <c r="L20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4" i="25" l="1"/>
  <c r="L24" i="20"/>
  <c r="K18" i="19"/>
  <c r="L18" i="17"/>
  <c r="M18" i="17" s="1"/>
  <c r="N18" i="17" s="1"/>
  <c r="O18" i="17" s="1"/>
  <c r="K23" i="19"/>
  <c r="M23" i="19" s="1"/>
  <c r="N23" i="19" s="1"/>
  <c r="O23" i="19" s="1"/>
  <c r="K19" i="19"/>
  <c r="L23" i="22"/>
  <c r="L25" i="22" s="1"/>
  <c r="P29" i="22" s="1"/>
  <c r="K19" i="25"/>
  <c r="K25" i="25" s="1"/>
  <c r="P30" i="25" s="1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M24" i="24" s="1"/>
  <c r="N24" i="24" s="1"/>
  <c r="O24" i="24" s="1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21" i="25"/>
  <c r="N21" i="25" s="1"/>
  <c r="O21" i="25" s="1"/>
  <c r="P21" i="25" s="1"/>
  <c r="N17" i="25"/>
  <c r="O17" i="25" s="1"/>
  <c r="M16" i="25"/>
  <c r="N23" i="25"/>
  <c r="O23" i="25" s="1"/>
  <c r="P23" i="25" s="1"/>
  <c r="N23" i="24"/>
  <c r="O23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I23" i="15"/>
  <c r="M19" i="25" l="1"/>
  <c r="N19" i="25" s="1"/>
  <c r="O19" i="25" s="1"/>
  <c r="K25" i="22"/>
  <c r="P30" i="22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8"/>
  <c r="M24" i="16"/>
  <c r="N24" i="16" s="1"/>
  <c r="N24" i="15" s="1"/>
  <c r="M18" i="15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O16" i="16"/>
  <c r="N22" i="15" l="1"/>
  <c r="O16" i="18"/>
  <c r="P16" i="18" s="1"/>
  <c r="P25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O25" i="18" l="1"/>
  <c r="P33" i="16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<sst xmlns="http://schemas.openxmlformats.org/spreadsheetml/2006/main" count="1580" uniqueCount="113">
  <si>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</si>
  <si>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</si>
  <si>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</si>
  <si>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</si>
  <si>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</si>
  <si>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</si>
  <si>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</si>
  <si>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</si>
  <si>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</si>
  <si>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</si>
  <si>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</si>
  <si>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</si>
  <si>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</si>
  <si>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</si>
  <si>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</si>
  <si>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</si>
  <si>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</si>
  <si>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</si>
  <si>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</si>
  <si>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</si>
  <si>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</si>
  <si>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</si>
  <si>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</si>
  <si>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</si>
  <si>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</si>
  <si>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</si>
  <si>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</si>
  <si>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</si>
  <si>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</si>
  <si>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</si>
  <si>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</si>
  <si>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</si>
  <si>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</si>
  <si>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</si>
  <si>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</si>
  <si>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</si>
  <si>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</si>
  <si>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</si>
  <si>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</si>
  <si>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</si>
  <si>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</si>
  <si>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</si>
  <si>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</si>
  <si>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</si>
  <si>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</si>
  <si>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</si>
  <si>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</si>
  <si>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</si>
  <si>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</si>
  <si>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</si>
  <si>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</si>
  <si>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</si>
  <si>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</si>
  <si>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</si>
  <si>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</si>
  <si>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</si>
  <si>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</si>
  <si>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</si>
  <si>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</si>
  <si>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</si>
  <si>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</si>
  <si>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</si>
  <si>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</si>
  <si>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</si>
  <si>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</si>
  <si>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</si>
  <si>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</si>
  <si>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</si>
  <si>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</si>
  <si>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</si>
  <si>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</si>
  <si>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</si>
  <si>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</si>
  <si>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</si>
  <si>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</si>
  <si>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</si>
  <si>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</si>
  <si>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</si>
  <si>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</si>
  <si>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</si>
  <si>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</si>
  <si>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</si>
  <si>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</si>
  <si>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</si>
  <si>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</si>
  <si>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</si>
  <si>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</si>
  <si>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</si>
  <si>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</si>
  <si>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</si>
  <si>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</si>
  <si>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</si>
  <si>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</si>
  <si>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</si>
  <si>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</si>
  <si>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</si>
  <si>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</si>
  <si>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</si>
  <si>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</si>
  <si>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</si>
  <si>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</si>
  <si>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</si>
  <si>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</si>
  <si>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</si>
  <si>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(Furqan)</t>
  </si>
  <si>
    <t>Customer Name : Brand Bakers Mart</t>
  </si>
  <si>
    <t>Address: Railway Road Kila gujjer Sing</t>
  </si>
  <si>
    <t>Customer Name : Tofail Store</t>
  </si>
  <si>
    <t>Address: Railway Road</t>
  </si>
  <si>
    <t>Customer Name : Nazeer Son Store</t>
  </si>
  <si>
    <t>Customer Name : Euro Store</t>
  </si>
  <si>
    <t>Address: Ghari Shahu</t>
  </si>
  <si>
    <t>E7576863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</si>
</sst>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0" zoomScale="70" zoomScaleNormal="70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96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104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Brand Bakers Mart</v>
      </c>
      <c r="U14" s="164">
        <f>+'1'!P35</f>
        <v>2354.4435524999999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Tofail Store</v>
      </c>
      <c r="U15" s="164">
        <f>+'2'!P35</f>
        <v>2390.3320994999999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135</v>
      </c>
      <c r="I16" s="1">
        <f>(G16*D16)*F16+H16*F16</f>
        <v>7082.4375</v>
      </c>
      <c r="J16" s="172">
        <f>+'1'!J16+'2'!J16+'4'!J16+'3'!J16+'5'!J16+'6'!J16+'7'!J16+'8'!J16+'9'!J16+'10'!J16+'11'!J16+'12'!J16+'13'!J16+'14'!J16+'15'!J16+'16'!J16+'17'!J16+'18'!J16</f>
        <v>7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566.59500000000003</v>
      </c>
      <c r="M16" s="106">
        <f>I16-K16-L16</f>
        <v>6515.8424999999997</v>
      </c>
      <c r="N16" s="101">
        <f>+'1'!N16+'2'!N16+'4'!N16+'3'!N16+'5'!N16+'6'!N16+'7'!N16+'8'!N16+'9'!N16+'10'!N16</f>
        <v>1289.3183999999999</v>
      </c>
      <c r="O16" s="101">
        <f>+'1'!O16+'2'!O16+'4'!O16+'3'!O16+'5'!O16+'6'!O16+'7'!O16+'8'!O16+'9'!O16+'10'!O16</f>
        <v>73.575508499999998</v>
      </c>
      <c r="P16" s="105">
        <f t="shared" ref="P16:P24" si="0">M16+N16+O16</f>
        <v>7878.7364084999999</v>
      </c>
      <c r="Q16" s="108"/>
      <c r="T16" s="163" t="str">
        <f>+'4'!A5</f>
        <v>Customer Name : Euro Store</v>
      </c>
      <c r="U16" s="164">
        <f>+'4'!P35</f>
        <v>45977.121136199989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130</v>
      </c>
      <c r="I17" s="1">
        <f t="shared" ref="I17:I23" si="1">(G17*D17)*F17+H17*F17</f>
        <v>6820.125</v>
      </c>
      <c r="J17" s="172">
        <f>+'1'!J17+'2'!J17+'4'!J17+'3'!J17+'5'!J17+'6'!J17+'7'!J17+'8'!J17+'9'!J17+'10'!J17+'11'!J17+'12'!J17+'13'!J17+'14'!J17+'15'!J17+'16'!J17+'17'!J17+'18'!J17</f>
        <v>7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545.61</v>
      </c>
      <c r="M17" s="118">
        <f t="shared" ref="M17:M23" si="2">I17-K17-L17</f>
        <v>6274.5150000000003</v>
      </c>
      <c r="N17" s="101">
        <f>+'1'!N17+'2'!N17+'4'!N17+'3'!N17+'5'!N17+'6'!N17+'7'!N17+'8'!N17+'9'!N17+'10'!N17</f>
        <v>1216.9201499999999</v>
      </c>
      <c r="O17" s="101">
        <f>+'1'!O17+'2'!O17+'4'!O17+'3'!O17+'5'!O17+'6'!O17+'7'!O17+'8'!O17+'9'!O17+'10'!O17</f>
        <v>37.457175750000005</v>
      </c>
      <c r="P17" s="120">
        <f t="shared" si="0"/>
        <v>7528.8923257500001</v>
      </c>
      <c r="S17" s="64"/>
      <c r="T17" s="163" t="str">
        <f>+'3'!A5</f>
        <v>Customer Name : Nazeer Son Store</v>
      </c>
      <c r="U17" s="164">
        <f>+'3'!P35</f>
        <v>1195.16604975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155</v>
      </c>
      <c r="I18" s="1">
        <f t="shared" si="1"/>
        <v>8131.6875</v>
      </c>
      <c r="J18" s="172">
        <f>+'1'!J18+'2'!J18+'4'!J18+'3'!J18+'5'!J18+'6'!J18+'7'!J18+'8'!J18+'9'!J18+'10'!J18+'11'!J18+'12'!J18+'13'!J18+'14'!J18+'15'!J18+'16'!J18+'17'!J18+'18'!J18</f>
        <v>7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650.53499999999997</v>
      </c>
      <c r="M18" s="118">
        <f t="shared" si="2"/>
        <v>7481.1525000000001</v>
      </c>
      <c r="N18" s="101">
        <f>+'1'!N18+'2'!N18+'4'!N18+'3'!N18+'5'!N18+'6'!N18+'7'!N18+'8'!N18+'9'!N18+'10'!N18</f>
        <v>1463.0741999999998</v>
      </c>
      <c r="O18" s="101">
        <f>+'1'!O18+'2'!O18+'4'!O18+'3'!O18+'5'!O18+'6'!O18+'7'!O18+'8'!O18+'9'!O18+'10'!O18</f>
        <v>56.111791500000002</v>
      </c>
      <c r="P18" s="120">
        <f t="shared" si="0"/>
        <v>9000.3384914999988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120</v>
      </c>
      <c r="I19" s="1">
        <f t="shared" si="1"/>
        <v>8716.7999999999993</v>
      </c>
      <c r="J19" s="172">
        <f>+'1'!J19+'2'!J19+'4'!J19+'3'!J19+'5'!J19+'6'!J19+'7'!J19+'8'!J19+'9'!J19+'10'!J19+'11'!J19+'12'!J19+'13'!J19+'14'!J19+'15'!J19+'16'!J19+'17'!J19+'18'!J19</f>
        <v>6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697.34399999999994</v>
      </c>
      <c r="M19" s="118">
        <f t="shared" si="2"/>
        <v>8019.4559999999992</v>
      </c>
      <c r="N19" s="101">
        <f>+'1'!N19+'2'!N19+'4'!N19+'3'!N19+'5'!N19+'6'!N19+'7'!N19+'8'!N19+'9'!N19+'10'!N19</f>
        <v>1521.9532799999997</v>
      </c>
      <c r="O19" s="101">
        <f>+'1'!O19+'2'!O19+'4'!O19+'3'!O19+'5'!O19+'6'!O19+'7'!O19+'8'!O19+'9'!O19+'10'!O19</f>
        <v>47.707046400000003</v>
      </c>
      <c r="P19" s="120">
        <f t="shared" si="0"/>
        <v>9589.1163264000006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2">
        <f>+'1'!J20+'2'!J20+'4'!J20+'3'!J20+'5'!J20+'6'!J20+'7'!J20+'8'!J20+'9'!J20+'10'!J20+'11'!J20+'12'!J20+'13'!J20+'14'!J20+'15'!J20+'16'!J20+'17'!J20+'18'!J20</f>
        <v>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464.89600000000002</v>
      </c>
      <c r="M20" s="118">
        <f t="shared" si="2"/>
        <v>5346.3040000000001</v>
      </c>
      <c r="N20" s="101">
        <f>+'1'!N20+'2'!N20+'4'!N20+'3'!N20+'5'!N20+'6'!N20+'7'!N20+'8'!N20+'9'!N20+'10'!N20</f>
        <v>1014.6355199999999</v>
      </c>
      <c r="O20" s="101">
        <f>+'1'!O20+'2'!O20+'4'!O20+'3'!O20+'5'!O20+'6'!O20+'7'!O20+'8'!O20+'9'!O20+'10'!O20</f>
        <v>31.804697600000001</v>
      </c>
      <c r="P20" s="120">
        <f t="shared" si="0"/>
        <v>6392.7442175999995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2">
        <f>+'1'!J21+'2'!J21+'4'!J21+'3'!J21+'5'!J21+'6'!J21+'7'!J21+'8'!J21+'9'!J21+'10'!J21+'11'!J21+'12'!J21+'13'!J21+'14'!J21+'15'!J21+'16'!J21+'17'!J21+'18'!J21</f>
        <v>6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464.89600000000002</v>
      </c>
      <c r="M21" s="118">
        <f t="shared" si="2"/>
        <v>5346.3040000000001</v>
      </c>
      <c r="N21" s="101">
        <f>+'1'!N21+'2'!N21+'4'!N21+'3'!N21+'5'!N21+'6'!N21+'7'!N21+'8'!N21+'9'!N21+'10'!N21</f>
        <v>1040.78592</v>
      </c>
      <c r="O21" s="101">
        <f>+'1'!O21+'2'!O21+'4'!O21+'3'!O21+'5'!O21+'6'!O21+'7'!O21+'8'!O21+'9'!O21+'10'!O21</f>
        <v>31.935449600000002</v>
      </c>
      <c r="P21" s="120">
        <f t="shared" si="0"/>
        <v>6419.0253696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120</v>
      </c>
      <c r="I22" s="1">
        <f t="shared" si="1"/>
        <v>4707.6000000000004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164.76600000000002</v>
      </c>
      <c r="L22" s="175">
        <f>+'1'!L22+'2'!L22+'4'!L22+'3'!L22+'5'!L22+'6'!L22+'7'!L22+'8'!L22+'9'!L22+'10'!L22</f>
        <v>235.38000000000002</v>
      </c>
      <c r="M22" s="118">
        <f t="shared" si="2"/>
        <v>4307.4540000000006</v>
      </c>
      <c r="N22" s="101">
        <f>+'1'!N22+'2'!N22+'4'!N22+'3'!N22+'5'!N22+'6'!N22+'7'!N22+'8'!N22+'9'!N22+'10'!N22</f>
        <v>775.34172000000012</v>
      </c>
      <c r="O22" s="101">
        <f>+'1'!O22+'2'!O22+'4'!O22+'3'!O22+'5'!O22+'6'!O22+'7'!O22+'8'!O22+'9'!O22+'10'!O22</f>
        <v>25.413978600000007</v>
      </c>
      <c r="P22" s="120">
        <f t="shared" si="0"/>
        <v>5108.2096986000006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20.5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820</v>
      </c>
      <c r="I25" s="178">
        <f t="shared" si="3"/>
        <v>47081.049999999996</v>
      </c>
      <c r="J25" s="177">
        <f t="shared" si="3"/>
        <v>37</v>
      </c>
      <c r="K25" s="178">
        <f t="shared" si="3"/>
        <v>164.76600000000002</v>
      </c>
      <c r="L25" s="179">
        <f t="shared" si="3"/>
        <v>3625.2560000000003</v>
      </c>
      <c r="M25" s="141">
        <f t="shared" si="3"/>
        <v>43291.028000000006</v>
      </c>
      <c r="N25" s="142">
        <f>SUM(N16:N24)</f>
        <v>8322.0291899999993</v>
      </c>
      <c r="O25" s="143">
        <f>SUM(O16:O24)</f>
        <v>304.00564795000003</v>
      </c>
      <c r="P25" s="144">
        <f>SUM(P16:P24)</f>
        <v>51917.062837949998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51917.062837949983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47081.049999999996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3625.2560000000003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164.76600000000002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43291.027999999991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8322.0291899999993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51613.057189999992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1290.32642975</v>
      </c>
    </row>
    <row r="39" spans="2:16" ht="15.75" customHeight="1" thickBot="1" x14ac:dyDescent="0.4">
      <c r="N39" s="219" t="s">
        <v>92</v>
      </c>
      <c r="O39" s="220"/>
      <c r="P39" s="160">
        <f>P37+P38</f>
        <v>52903.383619749991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activeCell="G21" sqref="G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32777876136186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30</v>
      </c>
      <c r="I16" s="102">
        <f>(G16*D16)*F16+H16*F16</f>
        <v>1573.875</v>
      </c>
      <c r="J16" s="103">
        <v>2</v>
      </c>
      <c r="K16" s="104">
        <f>I16*$K$13</f>
        <v>0</v>
      </c>
      <c r="L16" s="105">
        <f>I16*8%</f>
        <v>125.91</v>
      </c>
      <c r="M16" s="106">
        <f>I16-K16-L16</f>
        <v>1447.9649999999999</v>
      </c>
      <c r="N16" s="106">
        <f t="shared" ref="N16:N24" si="0">(M16*$N$15)+(J16*F16)*$N$15</f>
        <v>279.52019999999999</v>
      </c>
      <c r="O16" s="107">
        <f t="shared" ref="O16:O24" si="1">(N16+M16)*$O$15</f>
        <v>43.187129999999996</v>
      </c>
      <c r="P16" s="105">
        <f t="shared" ref="P16:P24" si="2">M16+N16+O16</f>
        <v>1770.6723299999999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3"/>
        <v>524.625</v>
      </c>
      <c r="J18" s="117"/>
      <c r="K18" s="1">
        <f t="shared" si="4"/>
        <v>0</v>
      </c>
      <c r="L18" s="105">
        <f t="shared" si="5"/>
        <v>41.97</v>
      </c>
      <c r="M18" s="118">
        <f t="shared" si="6"/>
        <v>482.65499999999997</v>
      </c>
      <c r="N18" s="118">
        <f t="shared" si="0"/>
        <v>86.877899999999997</v>
      </c>
      <c r="O18" s="119">
        <f t="shared" si="1"/>
        <v>14.238322499999999</v>
      </c>
      <c r="P18" s="120">
        <f t="shared" si="2"/>
        <v>583.77122249999991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366.3981</v>
      </c>
      <c r="O25" s="143">
        <f>SUM(O16:O24)</f>
        <v>57.425452499999992</v>
      </c>
      <c r="P25" s="144">
        <f>SUM(P16:P24)</f>
        <v>2354.4435524999999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2098.5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167.88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1930.62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366.3981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2297.0180999999998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57.425452499999999</v>
      </c>
    </row>
    <row r="35" spans="2:16" ht="15.75" customHeight="1" thickBot="1" x14ac:dyDescent="0.4">
      <c r="N35" s="219" t="s">
        <v>92</v>
      </c>
      <c r="O35" s="220"/>
      <c r="P35" s="160">
        <f>P33+P34</f>
        <v>2354.4435524999999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108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25065378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>
        <v>1</v>
      </c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170.81790000000001</v>
      </c>
      <c r="O16" s="107">
        <f>(N16+M16)*$O$15</f>
        <v>4.4740019999999996</v>
      </c>
      <c r="P16" s="105">
        <f t="shared" ref="P16:P24" si="1">M16+N16+O16</f>
        <v>899.27440200000001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4.4162932499999998</v>
      </c>
      <c r="P18" s="120">
        <f t="shared" si="1"/>
        <v>887.67494324999996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447.81990000000008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2098.5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167.88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1930.62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447.81990000000008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2378.4398999999999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19" t="s">
        <v>92</v>
      </c>
      <c r="O35" s="220"/>
      <c r="P35" s="160">
        <f>P33+P34</f>
        <v>2390.3320994999999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J17" sqref="J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108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858352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2.9441954999999997</v>
      </c>
      <c r="P16" s="105">
        <f t="shared" ref="P16:P24" si="1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>
        <v>1</v>
      </c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117.72585000000001</v>
      </c>
      <c r="O18" s="119">
        <f t="shared" si="6"/>
        <v>3.0019042499999999</v>
      </c>
      <c r="P18" s="120">
        <f t="shared" si="1"/>
        <v>603.38275425000006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1049.25</v>
      </c>
      <c r="J25" s="138"/>
      <c r="K25" s="139">
        <f t="shared" si="9"/>
        <v>0</v>
      </c>
      <c r="L25" s="140">
        <f t="shared" si="9"/>
        <v>83.94</v>
      </c>
      <c r="M25" s="141">
        <f t="shared" si="9"/>
        <v>965.31</v>
      </c>
      <c r="N25" s="142">
        <f>SUM(N16:N24)</f>
        <v>223.90995000000001</v>
      </c>
      <c r="O25" s="143">
        <f>SUM(O16:O24)</f>
        <v>5.9460997500000001</v>
      </c>
      <c r="P25" s="144">
        <f>SUM(P16:P24)</f>
        <v>1195.16604975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1049.25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83.94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965.31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223.90995000000001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1189.2199499999999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5.9460997500000001</v>
      </c>
    </row>
    <row r="35" spans="2:16" ht="15.75" customHeight="1" thickBot="1" x14ac:dyDescent="0.4">
      <c r="N35" s="219" t="s">
        <v>92</v>
      </c>
      <c r="O35" s="220"/>
      <c r="P35" s="160">
        <f>P33+P34</f>
        <v>1195.16604975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3277876353369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>
        <v>4</v>
      </c>
      <c r="K16" s="104">
        <f>I16*$K$13</f>
        <v>0</v>
      </c>
      <c r="L16" s="105">
        <f>I16*8%</f>
        <v>335.76</v>
      </c>
      <c r="M16" s="106">
        <f>I16-K16-L16</f>
        <v>3861.24</v>
      </c>
      <c r="N16" s="106">
        <f t="shared" ref="N16:N24" si="0">(M16*$N$15)+(J16*F16)*$N$15</f>
        <v>732.7962</v>
      </c>
      <c r="O16" s="107">
        <f>(N16+M16)*$O$15</f>
        <v>22.970180999999997</v>
      </c>
      <c r="P16" s="105">
        <f t="shared" ref="P16:P24" si="1">M16+N16+O16</f>
        <v>4617.0063809999992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120</v>
      </c>
      <c r="I17" s="116">
        <f t="shared" ref="I17:I23" si="2">(G17*D17)*F17+H17*F17</f>
        <v>6295.5</v>
      </c>
      <c r="J17" s="117">
        <v>6</v>
      </c>
      <c r="K17" s="1">
        <f t="shared" ref="K17:K21" si="3">I17*$K$13</f>
        <v>0</v>
      </c>
      <c r="L17" s="105">
        <f t="shared" ref="L17:L21" si="4">I17*8%</f>
        <v>503.64</v>
      </c>
      <c r="M17" s="118">
        <f t="shared" ref="M17:M23" si="5">I17-K17-L17</f>
        <v>5791.86</v>
      </c>
      <c r="N17" s="118">
        <f t="shared" si="0"/>
        <v>1099.1942999999999</v>
      </c>
      <c r="O17" s="119">
        <f t="shared" ref="O17:O24" si="6">(N17+M17)*$O$15</f>
        <v>34.455271500000002</v>
      </c>
      <c r="P17" s="120">
        <f t="shared" si="1"/>
        <v>6925.5095714999998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</v>
      </c>
      <c r="I18" s="116">
        <f t="shared" si="2"/>
        <v>6295.5</v>
      </c>
      <c r="J18" s="117">
        <v>6</v>
      </c>
      <c r="K18" s="1">
        <f t="shared" si="3"/>
        <v>0</v>
      </c>
      <c r="L18" s="105">
        <f t="shared" si="4"/>
        <v>503.64</v>
      </c>
      <c r="M18" s="118">
        <f t="shared" si="5"/>
        <v>5791.86</v>
      </c>
      <c r="N18" s="118">
        <f t="shared" si="0"/>
        <v>1099.1942999999999</v>
      </c>
      <c r="O18" s="119">
        <f t="shared" si="6"/>
        <v>34.455271500000002</v>
      </c>
      <c r="P18" s="120">
        <f t="shared" si="1"/>
        <v>6925.5095714999998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120</v>
      </c>
      <c r="I19" s="116">
        <f t="shared" si="2"/>
        <v>8716.7999999999993</v>
      </c>
      <c r="J19" s="117">
        <v>6</v>
      </c>
      <c r="K19" s="1">
        <f t="shared" si="3"/>
        <v>0</v>
      </c>
      <c r="L19" s="105">
        <f t="shared" si="4"/>
        <v>697.34399999999994</v>
      </c>
      <c r="M19" s="118">
        <f t="shared" si="5"/>
        <v>8019.4559999999992</v>
      </c>
      <c r="N19" s="118">
        <f t="shared" si="0"/>
        <v>1521.9532799999997</v>
      </c>
      <c r="O19" s="119">
        <f t="shared" si="6"/>
        <v>47.707046400000003</v>
      </c>
      <c r="P19" s="120">
        <f t="shared" si="1"/>
        <v>9589.1163264000006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>
        <v>4</v>
      </c>
      <c r="K20" s="1">
        <f t="shared" si="3"/>
        <v>0</v>
      </c>
      <c r="L20" s="105">
        <f t="shared" si="4"/>
        <v>464.89600000000002</v>
      </c>
      <c r="M20" s="118">
        <f t="shared" si="5"/>
        <v>5346.3040000000001</v>
      </c>
      <c r="N20" s="118">
        <f t="shared" si="0"/>
        <v>1014.6355199999999</v>
      </c>
      <c r="O20" s="119">
        <f t="shared" si="6"/>
        <v>31.804697600000001</v>
      </c>
      <c r="P20" s="120">
        <f t="shared" si="1"/>
        <v>6392.7442175999995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6</v>
      </c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1040.78592</v>
      </c>
      <c r="O21" s="119">
        <f t="shared" si="6"/>
        <v>31.935449600000002</v>
      </c>
      <c r="P21" s="120">
        <f t="shared" si="1"/>
        <v>6419.0253696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120</v>
      </c>
      <c r="I22" s="116">
        <f t="shared" si="2"/>
        <v>4707.6000000000004</v>
      </c>
      <c r="J22" s="117"/>
      <c r="K22" s="1">
        <f>I22*3.5%</f>
        <v>164.76600000000002</v>
      </c>
      <c r="L22" s="120">
        <f>I22*5%</f>
        <v>235.38000000000002</v>
      </c>
      <c r="M22" s="118">
        <f t="shared" si="5"/>
        <v>4307.4540000000006</v>
      </c>
      <c r="N22" s="118">
        <f t="shared" si="0"/>
        <v>775.34172000000012</v>
      </c>
      <c r="O22" s="119">
        <f t="shared" si="6"/>
        <v>25.413978600000007</v>
      </c>
      <c r="P22" s="120">
        <f t="shared" si="1"/>
        <v>5108.2096986000006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720</v>
      </c>
      <c r="I25" s="137">
        <f t="shared" si="9"/>
        <v>41834.799999999996</v>
      </c>
      <c r="J25" s="138"/>
      <c r="K25" s="139">
        <f t="shared" si="9"/>
        <v>164.76600000000002</v>
      </c>
      <c r="L25" s="140">
        <f t="shared" si="9"/>
        <v>3205.5560000000005</v>
      </c>
      <c r="M25" s="141">
        <f t="shared" si="9"/>
        <v>38464.477999999996</v>
      </c>
      <c r="N25" s="142">
        <f>SUM(N16:N24)</f>
        <v>7283.9012400000001</v>
      </c>
      <c r="O25" s="143">
        <f>SUM(O16:O24)</f>
        <v>228.74189620000001</v>
      </c>
      <c r="P25" s="144">
        <f>SUM(P16:P24)</f>
        <v>45977.121136199996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41834.799999999996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3205.5560000000005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164.76600000000002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38464.477999999988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7283.9012400000001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45748.379239999987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228.74189619999993</v>
      </c>
    </row>
    <row r="35" spans="2:16" ht="15.75" customHeight="1" thickBot="1" x14ac:dyDescent="0.4">
      <c r="N35" s="219" t="s">
        <v>92</v>
      </c>
      <c r="O35" s="220"/>
      <c r="P35" s="160">
        <f>P33+P34</f>
        <v>45977.121136199989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2026-06-19T13:00:31Z</dcterms:modified>
</cp:coreProperties>
</file>