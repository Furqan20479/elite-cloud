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4EC2058-3977-4055-B584-B022351204F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4" l="1"/>
  <c r="L18" i="24"/>
  <c r="L19" i="24"/>
  <c r="L20" i="24"/>
  <c r="L21" i="24"/>
  <c r="L16" i="24"/>
  <c r="L17" i="25"/>
  <c r="L18" i="25"/>
  <c r="L19" i="25"/>
  <c r="L20" i="25"/>
  <c r="L21" i="25"/>
  <c r="L16" i="25"/>
  <c r="H19" i="25"/>
  <c r="I19" i="17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K20" i="26" s="1"/>
  <c r="I21" i="26"/>
  <c r="L21" i="26" s="1"/>
  <c r="I22" i="26"/>
  <c r="K22" i="26" s="1"/>
  <c r="I23" i="26"/>
  <c r="I24" i="26"/>
  <c r="I21" i="27"/>
  <c r="K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L18" i="26"/>
  <c r="L20" i="26"/>
  <c r="K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L22" i="26" l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K19" i="17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M20" i="24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4" l="1"/>
  <c r="P30" i="24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2" i="15"/>
  <c r="M16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<sst xmlns="http://schemas.openxmlformats.org/spreadsheetml/2006/main" count="1584" uniqueCount="129">
  <si>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</si>
  <si>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</si>
  <si>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</si>
  <si>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</si>
  <si>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</si>
  <si>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</si>
  <si>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</si>
  <si>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</si>
  <si>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</si>
  <si>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</si>
  <si>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</si>
  <si>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</si>
  <si>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</si>
  <si>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</si>
  <si>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</si>
  <si>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</si>
  <si>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</si>
  <si>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</si>
  <si>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</si>
  <si>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</si>
  <si>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</si>
  <si>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</si>
  <si>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</si>
  <si>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</si>
  <si>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</si>
  <si>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</si>
  <si>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</si>
  <si>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</si>
  <si>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</si>
  <si>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</si>
  <si>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</si>
  <si>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</si>
  <si>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</si>
  <si>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</si>
  <si>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</si>
  <si>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</si>
  <si>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</si>
  <si>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</si>
  <si>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</si>
  <si>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</si>
  <si>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</si>
  <si>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</si>
  <si>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</si>
  <si>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</si>
  <si>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</si>
  <si>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</si>
  <si>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</si>
  <si>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</si>
  <si>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</si>
  <si>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</si>
  <si>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</si>
  <si>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</si>
  <si>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</si>
  <si>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</si>
  <si>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</si>
  <si>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</si>
  <si>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</si>
  <si>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</si>
  <si>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</si>
  <si>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</si>
  <si>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</si>
  <si>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</si>
  <si>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</si>
  <si>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</si>
  <si>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</si>
  <si>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</si>
  <si>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</si>
  <si>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</si>
  <si>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</si>
  <si>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</si>
  <si>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</si>
  <si>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</si>
  <si>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</si>
  <si>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</si>
  <si>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</si>
  <si>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</si>
  <si>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</si>
  <si>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</si>
  <si>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</si>
  <si>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</si>
  <si>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</si>
  <si>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</si>
  <si>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</si>
  <si>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</si>
  <si>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</si>
  <si>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</si>
  <si>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</si>
  <si>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</si>
  <si>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</si>
  <si>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</si>
  <si>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</si>
  <si>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</si>
  <si>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</si>
  <si>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</si>
  <si>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</si>
  <si>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</si>
  <si>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</si>
  <si>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</si>
  <si>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</si>
  <si>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</si>
  <si>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</si>
  <si>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</si>
  <si>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</si>
  <si>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</si>
  <si>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(Zeshan)</t>
  </si>
  <si>
    <t>Zeshan</t>
  </si>
  <si>
    <t>Customer Name : 24/7</t>
  </si>
  <si>
    <t>Address: DHA</t>
  </si>
  <si>
    <t>Customer Name : Hafiz Store</t>
  </si>
  <si>
    <t>8965059-6</t>
  </si>
  <si>
    <t>Customer Name : Shop 4</t>
  </si>
  <si>
    <t xml:space="preserve">Customer Name : Urban Mart </t>
  </si>
  <si>
    <t>d371988-0</t>
  </si>
  <si>
    <t xml:space="preserve">Customer Name : MM Mart </t>
  </si>
  <si>
    <t>3535394-4</t>
  </si>
  <si>
    <t xml:space="preserve">Customer Name : Captain mart </t>
  </si>
  <si>
    <t xml:space="preserve">Address: Suigas Society </t>
  </si>
  <si>
    <t>Customer Name : Ajwa Bakery</t>
  </si>
  <si>
    <t>Address: Statelife</t>
  </si>
  <si>
    <t>Customer Name : Al Jalil Mart</t>
  </si>
  <si>
    <t>Address: state life</t>
  </si>
  <si>
    <t xml:space="preserve">Customer Name : Al Rehmat Mart </t>
  </si>
  <si>
    <t>Address: State Life</t>
  </si>
  <si>
    <t>764939-8</t>
  </si>
  <si>
    <t>81101512066-7</t>
  </si>
  <si>
    <t xml:space="preserve">Customer Name : Omega Mart </t>
  </si>
  <si>
    <t>h534575-2</t>
  </si>
  <si>
    <t>Customer Name : Fresh hill</t>
  </si>
  <si>
    <t>Customer Name : Smart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</si>
</sst>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T22" sqref="T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105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104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24/7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Hafiz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 xml:space="preserve">Customer Name : Urban Mart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Shop 4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MM Mart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800</v>
      </c>
      <c r="I19" s="1">
        <f t="shared" si="1"/>
        <v>58112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6973.44</v>
      </c>
      <c r="M19" s="118">
        <f t="shared" si="2"/>
        <v>51138.559999999998</v>
      </c>
      <c r="N19" s="101">
        <f>+'1'!N19+'2'!N19+'4'!N19+'3'!N19+'5'!N19+'6'!N19+'7'!N19+'8'!N19+'9'!N19+'10'!N19</f>
        <v>9204.9407999999985</v>
      </c>
      <c r="O19" s="101">
        <f>+'1'!O19+'2'!O19+'4'!O19+'3'!O19+'5'!O19+'6'!O19+'7'!O19+'8'!O19+'9'!O19+'10'!O19</f>
        <v>301.71750399999996</v>
      </c>
      <c r="P19" s="120">
        <f t="shared" si="0"/>
        <v>60645.218303999995</v>
      </c>
      <c r="T19" s="163" t="str">
        <f>+'6'!A5</f>
        <v xml:space="preserve">Customer Name : Captain mart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400</v>
      </c>
      <c r="I20" s="1">
        <f t="shared" si="1"/>
        <v>29056</v>
      </c>
      <c r="J20" s="172">
        <f>+'1'!J20+'2'!J20+'4'!J20+'3'!J20+'5'!J20+'6'!J20+'7'!J20+'8'!J20+'9'!J20+'10'!J20+'11'!J20+'12'!J20+'13'!J20+'14'!J20+'15'!J20+'16'!J20+'17'!J20+'18'!J20</f>
        <v>100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3486.72</v>
      </c>
      <c r="M20" s="118">
        <f t="shared" si="2"/>
        <v>25569.279999999999</v>
      </c>
      <c r="N20" s="101">
        <f>+'1'!N20+'2'!N20+'4'!N20+'3'!N20+'5'!N20+'6'!N20+'7'!N20+'8'!N20+'9'!N20+'10'!N20</f>
        <v>5909.9903999999988</v>
      </c>
      <c r="O20" s="101">
        <f>+'1'!O20+'2'!O20+'4'!O20+'3'!O20+'5'!O20+'6'!O20+'7'!O20+'8'!O20+'9'!O20+'10'!O20</f>
        <v>157.39635199999998</v>
      </c>
      <c r="P20" s="120">
        <f t="shared" si="0"/>
        <v>31636.666751999997</v>
      </c>
      <c r="T20" s="163" t="str">
        <f>+'7'!A5</f>
        <v>Customer Name : Ajwa Bakery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800</v>
      </c>
      <c r="I21" s="1">
        <f t="shared" si="1"/>
        <v>58112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6973.44</v>
      </c>
      <c r="M21" s="118">
        <f t="shared" si="2"/>
        <v>51138.559999999998</v>
      </c>
      <c r="N21" s="101">
        <f>+'1'!N21+'2'!N21+'4'!N21+'3'!N21+'5'!N21+'6'!N21+'7'!N21+'8'!N21+'9'!N21+'10'!N21</f>
        <v>9204.9407999999985</v>
      </c>
      <c r="O21" s="101">
        <f>+'1'!O21+'2'!O21+'4'!O21+'3'!O21+'5'!O21+'6'!O21+'7'!O21+'8'!O21+'9'!O21+'10'!O21</f>
        <v>301.71750399999996</v>
      </c>
      <c r="P21" s="120">
        <f t="shared" si="0"/>
        <v>60645.218303999995</v>
      </c>
      <c r="T21" s="163" t="str">
        <f>+'8'!A5</f>
        <v>Customer Name : Al Jalil Mart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Al Rehmat Mart </v>
      </c>
      <c r="U22" s="164">
        <f>+'9'!P35</f>
        <v>76463.551680000004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Omega Mart </v>
      </c>
      <c r="U23" s="164">
        <f>+'10'!P35</f>
        <v>76463.551680000004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Fresh hill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50</v>
      </c>
      <c r="D25" s="206"/>
      <c r="E25" s="206"/>
      <c r="F25" s="206"/>
      <c r="G25" s="176">
        <f t="shared" ref="G25:M25" si="3">SUM(G16:G24)</f>
        <v>0</v>
      </c>
      <c r="H25" s="177">
        <f t="shared" si="3"/>
        <v>2000</v>
      </c>
      <c r="I25" s="178">
        <f t="shared" si="3"/>
        <v>145280</v>
      </c>
      <c r="J25" s="177">
        <f t="shared" si="3"/>
        <v>100</v>
      </c>
      <c r="K25" s="178">
        <f t="shared" si="3"/>
        <v>0</v>
      </c>
      <c r="L25" s="179">
        <f t="shared" si="3"/>
        <v>17433.599999999999</v>
      </c>
      <c r="M25" s="141">
        <f t="shared" si="3"/>
        <v>127846.39999999999</v>
      </c>
      <c r="N25" s="142">
        <f>SUM(N16:N24)</f>
        <v>24319.871999999996</v>
      </c>
      <c r="O25" s="143">
        <f>SUM(O16:O24)</f>
        <v>760.8313599999999</v>
      </c>
      <c r="P25" s="144">
        <f>SUM(P16:P24)</f>
        <v>152927.10336000001</v>
      </c>
      <c r="T25" s="163" t="str">
        <f>+'12'!A5</f>
        <v>Customer Name : Smart Mart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152927.10336000001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145280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17433.599999999999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0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127846.39999999999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24319.871999999996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152166.272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3804.1568000000002</v>
      </c>
    </row>
    <row r="39" spans="2:16" ht="15.75" customHeight="1" thickBot="1" x14ac:dyDescent="0.4">
      <c r="N39" s="204" t="s">
        <v>92</v>
      </c>
      <c r="O39" s="205"/>
      <c r="P39" s="160">
        <f>P37+P38</f>
        <v>155970.42879999999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109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110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111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112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114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116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118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119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120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121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122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 t="s">
        <v>123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124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200</v>
      </c>
      <c r="I19" s="116">
        <f t="shared" si="2"/>
        <v>14528</v>
      </c>
      <c r="J19" s="117"/>
      <c r="K19" s="1">
        <f t="shared" si="3"/>
        <v>0</v>
      </c>
      <c r="L19" s="105">
        <f t="shared" si="4"/>
        <v>1743.36</v>
      </c>
      <c r="M19" s="118">
        <f t="shared" si="5"/>
        <v>12784.64</v>
      </c>
      <c r="N19" s="118">
        <f t="shared" si="0"/>
        <v>2301.2351999999996</v>
      </c>
      <c r="O19" s="119">
        <f t="shared" si="6"/>
        <v>75.429375999999991</v>
      </c>
      <c r="P19" s="120">
        <f t="shared" si="1"/>
        <v>15161.304575999999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200</v>
      </c>
      <c r="I20" s="116">
        <f t="shared" si="2"/>
        <v>14528</v>
      </c>
      <c r="J20" s="117">
        <v>50</v>
      </c>
      <c r="K20" s="1">
        <f t="shared" si="3"/>
        <v>0</v>
      </c>
      <c r="L20" s="105">
        <f t="shared" si="4"/>
        <v>1743.36</v>
      </c>
      <c r="M20" s="118">
        <f t="shared" si="5"/>
        <v>12784.64</v>
      </c>
      <c r="N20" s="118">
        <f t="shared" si="0"/>
        <v>2954.9951999999994</v>
      </c>
      <c r="O20" s="119">
        <f t="shared" si="6"/>
        <v>78.698175999999989</v>
      </c>
      <c r="P20" s="120">
        <f t="shared" si="1"/>
        <v>15818.333375999999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600</v>
      </c>
      <c r="I21" s="116">
        <f t="shared" si="2"/>
        <v>43584</v>
      </c>
      <c r="J21" s="117"/>
      <c r="K21" s="1">
        <f t="shared" si="3"/>
        <v>0</v>
      </c>
      <c r="L21" s="105">
        <f t="shared" si="4"/>
        <v>5230.08</v>
      </c>
      <c r="M21" s="118">
        <f t="shared" si="5"/>
        <v>38353.919999999998</v>
      </c>
      <c r="N21" s="118">
        <f t="shared" si="0"/>
        <v>6903.7055999999993</v>
      </c>
      <c r="O21" s="119">
        <f t="shared" si="6"/>
        <v>226.288128</v>
      </c>
      <c r="P21" s="120">
        <f t="shared" si="1"/>
        <v>45483.913728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1000</v>
      </c>
      <c r="I25" s="137">
        <f t="shared" si="9"/>
        <v>72640</v>
      </c>
      <c r="J25" s="138"/>
      <c r="K25" s="139">
        <f t="shared" si="9"/>
        <v>0</v>
      </c>
      <c r="L25" s="140">
        <f t="shared" si="9"/>
        <v>8716.7999999999993</v>
      </c>
      <c r="M25" s="141">
        <f t="shared" si="9"/>
        <v>63923.199999999997</v>
      </c>
      <c r="N25" s="142">
        <f>SUM(N16:N24)</f>
        <v>12159.935999999998</v>
      </c>
      <c r="O25" s="143">
        <f>SUM(O16:O24)</f>
        <v>380.41567999999995</v>
      </c>
      <c r="P25" s="144">
        <f>SUM(P16:P24)</f>
        <v>76463.551680000004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72640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8716.7999999999993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63923.199999999997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12159.935999999998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76083.135999999999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380.41568000000001</v>
      </c>
    </row>
    <row r="35" spans="2:16" ht="15.75" customHeight="1" thickBot="1" x14ac:dyDescent="0.4">
      <c r="N35" s="204" t="s">
        <v>92</v>
      </c>
      <c r="O35" s="205"/>
      <c r="P35" s="160">
        <f>P33+P34</f>
        <v>76463.551680000004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125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122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126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126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40*15</f>
        <v>600</v>
      </c>
      <c r="I19" s="116">
        <f t="shared" si="2"/>
        <v>43584</v>
      </c>
      <c r="J19" s="117"/>
      <c r="K19" s="1">
        <f t="shared" si="3"/>
        <v>0</v>
      </c>
      <c r="L19" s="105">
        <f t="shared" si="4"/>
        <v>5230.08</v>
      </c>
      <c r="M19" s="118">
        <f t="shared" si="5"/>
        <v>38353.919999999998</v>
      </c>
      <c r="N19" s="118">
        <f t="shared" si="0"/>
        <v>6903.7055999999993</v>
      </c>
      <c r="O19" s="119">
        <f t="shared" si="6"/>
        <v>226.288128</v>
      </c>
      <c r="P19" s="120">
        <f t="shared" si="1"/>
        <v>45483.913728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200</v>
      </c>
      <c r="I20" s="116">
        <f t="shared" si="2"/>
        <v>14528</v>
      </c>
      <c r="J20" s="117">
        <v>50</v>
      </c>
      <c r="K20" s="1">
        <f t="shared" si="3"/>
        <v>0</v>
      </c>
      <c r="L20" s="105">
        <f t="shared" si="4"/>
        <v>1743.36</v>
      </c>
      <c r="M20" s="118">
        <f t="shared" si="5"/>
        <v>12784.64</v>
      </c>
      <c r="N20" s="118">
        <f t="shared" si="0"/>
        <v>2954.9951999999994</v>
      </c>
      <c r="O20" s="119">
        <f t="shared" si="6"/>
        <v>78.698175999999989</v>
      </c>
      <c r="P20" s="120">
        <f t="shared" si="1"/>
        <v>15818.333375999999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200</v>
      </c>
      <c r="I21" s="116">
        <f t="shared" si="2"/>
        <v>14528</v>
      </c>
      <c r="J21" s="117"/>
      <c r="K21" s="1">
        <f t="shared" si="3"/>
        <v>0</v>
      </c>
      <c r="L21" s="105">
        <f t="shared" si="4"/>
        <v>1743.36</v>
      </c>
      <c r="M21" s="118">
        <f t="shared" si="5"/>
        <v>12784.64</v>
      </c>
      <c r="N21" s="118">
        <f t="shared" si="0"/>
        <v>2301.2351999999996</v>
      </c>
      <c r="O21" s="119">
        <f t="shared" si="6"/>
        <v>75.429375999999991</v>
      </c>
      <c r="P21" s="120">
        <f t="shared" si="1"/>
        <v>15161.304575999999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1000</v>
      </c>
      <c r="I25" s="137">
        <f t="shared" si="9"/>
        <v>72640</v>
      </c>
      <c r="J25" s="138"/>
      <c r="K25" s="139">
        <f t="shared" si="9"/>
        <v>0</v>
      </c>
      <c r="L25" s="140">
        <f t="shared" si="9"/>
        <v>8716.7999999999993</v>
      </c>
      <c r="M25" s="141">
        <f t="shared" si="9"/>
        <v>63923.199999999997</v>
      </c>
      <c r="N25" s="142">
        <f>SUM(N16:N24)</f>
        <v>12159.935999999998</v>
      </c>
      <c r="O25" s="143">
        <f>SUM(O16:O24)</f>
        <v>380.41568000000001</v>
      </c>
      <c r="P25" s="144">
        <f>SUM(P16:P24)</f>
        <v>76463.55167999999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72640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8716.7999999999993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63923.199999999997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12159.935999999998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76083.135999999999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380.41568000000001</v>
      </c>
    </row>
    <row r="35" spans="2:16" ht="15.75" customHeight="1" thickBot="1" x14ac:dyDescent="0.4">
      <c r="N35" s="204" t="s">
        <v>92</v>
      </c>
      <c r="O35" s="205"/>
      <c r="P35" s="160">
        <f>P33+P34</f>
        <v>76463.551680000004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127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122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128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122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G10" sqref="G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F6" sqref="F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2026-06-24T07:45:06Z</dcterms:modified>
</cp:coreProperties>
</file>