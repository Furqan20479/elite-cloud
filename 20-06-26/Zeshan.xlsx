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B97735D-0EEB-4A5D-8495-CDF0EDCC123D}" xr6:coauthVersionLast="47" xr6:coauthVersionMax="47" xr10:uidLastSave="{00000000-0000-0000-0000-000000000000}"/>
  <bookViews>
    <workbookView xWindow="-110" yWindow="-110" windowWidth="19420" windowHeight="10420" tabRatio="949" activeTab="1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20" i="25" l="1"/>
  <c r="J21" i="25"/>
  <c r="J19" i="25"/>
  <c r="H19" i="25"/>
  <c r="I19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L21" i="26" s="1"/>
  <c r="I22" i="26"/>
  <c r="K22" i="26" s="1"/>
  <c r="I23" i="26"/>
  <c r="I24" i="26"/>
  <c r="I21" i="27"/>
  <c r="K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L18" i="26"/>
  <c r="K20" i="26"/>
  <c r="L20" i="26"/>
  <c r="K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L22" i="26" l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K19" i="17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M21" i="25" s="1"/>
  <c r="N21" i="25" s="1"/>
  <c r="O21" i="25" s="1"/>
  <c r="P21" i="25" s="1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24" l="1"/>
  <c r="P30" i="24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<sst xmlns="http://schemas.openxmlformats.org/spreadsheetml/2006/main" count="1585" uniqueCount="129">
  <si>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</si>
  <si>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</si>
  <si>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</si>
  <si>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</si>
  <si>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</si>
  <si>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</si>
  <si>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</si>
  <si>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</si>
  <si>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</si>
  <si>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</si>
  <si>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</si>
  <si>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</si>
  <si>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</si>
  <si>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</si>
  <si>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</si>
  <si>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</si>
  <si>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</si>
  <si>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</si>
  <si>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</si>
  <si>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</si>
  <si>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</si>
  <si>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</si>
  <si>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</si>
  <si>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</si>
  <si>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</si>
  <si>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</si>
  <si>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</si>
  <si>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</si>
  <si>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</si>
  <si>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</si>
  <si>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</si>
  <si>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</si>
  <si>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</si>
  <si>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</si>
  <si>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</si>
  <si>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</si>
  <si>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</si>
  <si>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</si>
  <si>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</si>
  <si>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</si>
  <si>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</si>
  <si>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</si>
  <si>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</si>
  <si>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</si>
  <si>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</si>
  <si>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</si>
  <si>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</si>
  <si>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</si>
  <si>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</si>
  <si>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</si>
  <si>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</si>
  <si>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</si>
  <si>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</si>
  <si>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</si>
  <si>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</si>
  <si>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</si>
  <si>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</si>
  <si>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</si>
  <si>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</si>
  <si>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</si>
  <si>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</si>
  <si>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</si>
  <si>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</si>
  <si>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</si>
  <si>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</si>
  <si>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</si>
  <si>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</si>
  <si>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</si>
  <si>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</si>
  <si>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</si>
  <si>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</si>
  <si>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</si>
  <si>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</si>
  <si>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</si>
  <si>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</si>
  <si>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</si>
  <si>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</si>
  <si>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</si>
  <si>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</si>
  <si>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</si>
  <si>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</si>
  <si>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</si>
  <si>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</si>
  <si>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</si>
  <si>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</si>
  <si>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</si>
  <si>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</si>
  <si>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</si>
  <si>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</si>
  <si>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</si>
  <si>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</si>
  <si>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</si>
  <si>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</si>
  <si>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</si>
  <si>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</si>
  <si>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</si>
  <si>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</si>
  <si>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</si>
  <si>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</si>
  <si>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</si>
  <si>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</si>
  <si>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</si>
  <si>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</si>
  <si>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</si>
  <si>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(Zeshan)</t>
  </si>
  <si>
    <t>Zeshan</t>
  </si>
  <si>
    <t>Customer Name : 24/7</t>
  </si>
  <si>
    <t>Address: DHA</t>
  </si>
  <si>
    <t>Customer Name : Hafiz Store</t>
  </si>
  <si>
    <t>8965059-6</t>
  </si>
  <si>
    <t>Customer Name : Shop 4</t>
  </si>
  <si>
    <t xml:space="preserve">Customer Name : Urban Mart </t>
  </si>
  <si>
    <t>d371988-0</t>
  </si>
  <si>
    <t xml:space="preserve">Customer Name : MM Mart </t>
  </si>
  <si>
    <t>3535394-4</t>
  </si>
  <si>
    <t xml:space="preserve">Customer Name : Captain mart </t>
  </si>
  <si>
    <t xml:space="preserve">Address: Suigas Society </t>
  </si>
  <si>
    <t>Customer Name : Ajwa Bakery</t>
  </si>
  <si>
    <t>Address: Statelife</t>
  </si>
  <si>
    <t>Customer Name : Al Jalil Mart</t>
  </si>
  <si>
    <t>Address: state life</t>
  </si>
  <si>
    <t xml:space="preserve">Customer Name : Al Rehmat Mart </t>
  </si>
  <si>
    <t>Address: State Life</t>
  </si>
  <si>
    <t>764939-8</t>
  </si>
  <si>
    <t>81101512066-7</t>
  </si>
  <si>
    <t xml:space="preserve">Customer Name : Omega Mart </t>
  </si>
  <si>
    <t>h534575-2</t>
  </si>
  <si>
    <t>Customer Name : Fresh hill</t>
  </si>
  <si>
    <t>Customer Name : Smart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</si>
</sst>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U15" sqref="U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105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104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24/7</v>
      </c>
      <c r="U14" s="164">
        <f>+'1'!P35</f>
        <v>1687.7686080000001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Hafiz Store</v>
      </c>
      <c r="U15" s="164">
        <f>+'2'!P35</f>
        <v>1654.8365376000002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</v>
      </c>
      <c r="I16" s="1">
        <f>(G16*D16)*F16+H16*F16</f>
        <v>1049.25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83.94</v>
      </c>
      <c r="M16" s="106">
        <f>I16-K16-L16</f>
        <v>965.31</v>
      </c>
      <c r="N16" s="101">
        <f>+'1'!N16+'2'!N16+'4'!N16+'3'!N16+'5'!N16+'6'!N16+'7'!N16+'8'!N16+'9'!N16+'10'!N16</f>
        <v>223.90995000000001</v>
      </c>
      <c r="O16" s="101">
        <f>+'1'!O16+'2'!O16+'4'!O16+'3'!O16+'5'!O16+'6'!O16+'7'!O16+'8'!O16+'9'!O16+'10'!O16</f>
        <v>29.730498749999999</v>
      </c>
      <c r="P16" s="105">
        <f t="shared" ref="P16:P24" si="0">M16+N16+O16</f>
        <v>1218.9504487499999</v>
      </c>
      <c r="Q16" s="108"/>
      <c r="T16" s="163" t="str">
        <f>+'4'!A5</f>
        <v xml:space="preserve">Customer Name : Urban Mart </v>
      </c>
      <c r="U16" s="164">
        <f>+'4'!P35</f>
        <v>1183.5665909999998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20</v>
      </c>
      <c r="I17" s="1">
        <f t="shared" ref="I17:I23" si="1">(G17*D17)*F17+H17*F17</f>
        <v>1049.25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83.94</v>
      </c>
      <c r="M17" s="118">
        <f t="shared" ref="M17:M23" si="2">I17-K17-L17</f>
        <v>965.31</v>
      </c>
      <c r="N17" s="101">
        <f>+'1'!N17+'2'!N17+'4'!N17+'3'!N17+'5'!N17+'6'!N17+'7'!N17+'8'!N17+'9'!N17+'10'!N17</f>
        <v>212.3682</v>
      </c>
      <c r="O17" s="101">
        <f>+'1'!O17+'2'!O17+'4'!O17+'3'!O17+'5'!O17+'6'!O17+'7'!O17+'8'!O17+'9'!O17+'10'!O17</f>
        <v>5.8883909999999995</v>
      </c>
      <c r="P17" s="120">
        <f t="shared" si="0"/>
        <v>1183.5665909999998</v>
      </c>
      <c r="S17" s="64"/>
      <c r="T17" s="163" t="str">
        <f>+'3'!A5</f>
        <v>Customer Name : Shop 4</v>
      </c>
      <c r="U17" s="164">
        <f>+'3'!P35</f>
        <v>1218.9504487499999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MM Mart </v>
      </c>
      <c r="U18" s="164">
        <f>+'5'!P35</f>
        <v>440.11411245000005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635</v>
      </c>
      <c r="I19" s="1">
        <f t="shared" si="1"/>
        <v>46126.400000000001</v>
      </c>
      <c r="J19" s="172">
        <f>+'1'!J19+'2'!J19+'4'!J19+'3'!J19+'5'!J19+'6'!J19+'7'!J19+'8'!J19+'9'!J19+'10'!J19+'11'!J19+'12'!J19+'13'!J19+'14'!J19+'15'!J19+'16'!J19+'17'!J19+'18'!J19</f>
        <v>30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3573.8880000000004</v>
      </c>
      <c r="M19" s="118">
        <f t="shared" si="2"/>
        <v>42552.512000000002</v>
      </c>
      <c r="N19" s="101">
        <f>+'1'!N19+'2'!N19+'4'!N19+'3'!N19+'5'!N19+'6'!N19+'7'!N19+'8'!N19+'9'!N19+'10'!N19</f>
        <v>9507.9948800000002</v>
      </c>
      <c r="O19" s="101">
        <f>+'1'!O19+'2'!O19+'4'!O19+'3'!O19+'5'!O19+'6'!O19+'7'!O19+'8'!O19+'9'!O19+'10'!O19</f>
        <v>253.03853439999997</v>
      </c>
      <c r="P19" s="120">
        <f t="shared" si="0"/>
        <v>52313.545414400003</v>
      </c>
      <c r="T19" s="163" t="str">
        <f>+'6'!A5</f>
        <v xml:space="preserve">Customer Name : Captain mart </v>
      </c>
      <c r="U19" s="164">
        <f>+'6'!P35</f>
        <v>448.87260225000006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225</v>
      </c>
      <c r="I20" s="1">
        <f t="shared" si="1"/>
        <v>16344</v>
      </c>
      <c r="J20" s="172">
        <f>+'1'!J20+'2'!J20+'4'!J20+'3'!J20+'5'!J20+'6'!J20+'7'!J20+'8'!J20+'9'!J20+'10'!J20+'11'!J20+'12'!J20+'13'!J20+'14'!J20+'15'!J20+'16'!J20+'17'!J20+'18'!J20</f>
        <v>12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1249.4079999999999</v>
      </c>
      <c r="M20" s="118">
        <f t="shared" si="2"/>
        <v>15094.592000000001</v>
      </c>
      <c r="N20" s="101">
        <f>+'1'!N20+'2'!N20+'4'!N20+'3'!N20+'5'!N20+'6'!N20+'7'!N20+'8'!N20+'9'!N20+'10'!N20</f>
        <v>3336.5004800000002</v>
      </c>
      <c r="O20" s="101">
        <f>+'1'!O20+'2'!O20+'4'!O20+'3'!O20+'5'!O20+'6'!O20+'7'!O20+'8'!O20+'9'!O20+'10'!O20</f>
        <v>88.5234624</v>
      </c>
      <c r="P20" s="120">
        <f t="shared" si="0"/>
        <v>18519.6159424</v>
      </c>
      <c r="T20" s="163" t="str">
        <f>+'7'!A5</f>
        <v>Customer Name : Ajwa Bakery</v>
      </c>
      <c r="U20" s="164">
        <f>+'7'!P35</f>
        <v>448.87260225000006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265</v>
      </c>
      <c r="I21" s="1">
        <f t="shared" si="1"/>
        <v>19249.599999999999</v>
      </c>
      <c r="J21" s="172">
        <f>+'1'!J21+'2'!J21+'4'!J21+'3'!J21+'5'!J21+'6'!J21+'7'!J21+'8'!J21+'9'!J21+'10'!J21+'11'!J21+'12'!J21+'13'!J21+'14'!J21+'15'!J21+'16'!J21+'17'!J21+'18'!J21</f>
        <v>12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1365.6320000000001</v>
      </c>
      <c r="M21" s="118">
        <f t="shared" si="2"/>
        <v>17883.967999999997</v>
      </c>
      <c r="N21" s="101">
        <f>+'1'!N21+'2'!N21+'4'!N21+'3'!N21+'5'!N21+'6'!N21+'7'!N21+'8'!N21+'9'!N21+'10'!N21</f>
        <v>3590.7404799999999</v>
      </c>
      <c r="O21" s="101">
        <f>+'1'!O21+'2'!O21+'4'!O21+'3'!O21+'5'!O21+'6'!O21+'7'!O21+'8'!O21+'9'!O21+'10'!O21</f>
        <v>129.40961279999999</v>
      </c>
      <c r="P21" s="120">
        <f t="shared" si="0"/>
        <v>21604.118092799996</v>
      </c>
      <c r="T21" s="163" t="str">
        <f>+'8'!A5</f>
        <v>Customer Name : Al Jalil Mart</v>
      </c>
      <c r="U21" s="164">
        <f>+'8'!P35</f>
        <v>448.87260225000006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120</v>
      </c>
      <c r="I22" s="1">
        <f t="shared" si="1"/>
        <v>4707.6000000000004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4574.2180000000008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35.033959200000005</v>
      </c>
      <c r="P22" s="120">
        <f t="shared" si="0"/>
        <v>4925.131919200001</v>
      </c>
      <c r="T22" s="163" t="str">
        <f>+'9'!A5</f>
        <v xml:space="preserve">Customer Name : Al Rehmat Mart </v>
      </c>
      <c r="U22" s="164">
        <f>+'9'!P35</f>
        <v>1994.4474240000002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Omega Mart </v>
      </c>
      <c r="U23" s="164">
        <f>+'10'!P35</f>
        <v>82741.826880000008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Fresh hill</v>
      </c>
      <c r="U24" s="164">
        <f>+'11'!P35</f>
        <v>5278.7494260000003</v>
      </c>
    </row>
    <row r="25" spans="1:21 16384:16384" ht="26.5" thickBot="1" x14ac:dyDescent="0.65">
      <c r="A25" s="209" t="s">
        <v>84</v>
      </c>
      <c r="B25" s="210"/>
      <c r="C25" s="211">
        <f>H25/40</f>
        <v>32.125</v>
      </c>
      <c r="D25" s="205"/>
      <c r="E25" s="205"/>
      <c r="F25" s="205"/>
      <c r="G25" s="176">
        <f t="shared" ref="G25:M25" si="3">SUM(G16:G24)</f>
        <v>0</v>
      </c>
      <c r="H25" s="177">
        <f t="shared" si="3"/>
        <v>1285</v>
      </c>
      <c r="I25" s="178">
        <f t="shared" si="3"/>
        <v>88526.1</v>
      </c>
      <c r="J25" s="177">
        <f t="shared" si="3"/>
        <v>55</v>
      </c>
      <c r="K25" s="178">
        <f t="shared" si="3"/>
        <v>54.922000000000011</v>
      </c>
      <c r="L25" s="179">
        <f t="shared" si="3"/>
        <v>6435.2680000000009</v>
      </c>
      <c r="M25" s="141">
        <f t="shared" si="3"/>
        <v>82035.91</v>
      </c>
      <c r="N25" s="142">
        <f>SUM(N16:N24)</f>
        <v>17187.393949999998</v>
      </c>
      <c r="O25" s="143">
        <f>SUM(O16:O24)</f>
        <v>541.62445854999999</v>
      </c>
      <c r="P25" s="144">
        <f>SUM(P16:P24)</f>
        <v>99764.928408550011</v>
      </c>
      <c r="T25" s="163" t="str">
        <f>+'12'!A5</f>
        <v>Customer Name : Smart Mart</v>
      </c>
      <c r="U25" s="164">
        <f>+'12'!P35</f>
        <v>3342.7765760000002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100889.65441055001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88526.1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6435.2680000000009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54.922000000000011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82035.91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17187.393949999998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99223.303950000001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2480.5825987500002</v>
      </c>
    </row>
    <row r="39" spans="2:16" ht="15.75" customHeight="1" thickBot="1" x14ac:dyDescent="0.4">
      <c r="N39" s="203" t="s">
        <v>92</v>
      </c>
      <c r="O39" s="204"/>
      <c r="P39" s="160">
        <f>P37+P38</f>
        <v>101703.88654875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activeCell="G12" sqref="G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>
        <v>1</v>
      </c>
      <c r="K21" s="1">
        <f t="shared" si="4"/>
        <v>0</v>
      </c>
      <c r="L21" s="105">
        <f t="shared" si="5"/>
        <v>116.224</v>
      </c>
      <c r="M21" s="118">
        <f t="shared" si="6"/>
        <v>1336.576</v>
      </c>
      <c r="N21" s="118">
        <f t="shared" si="0"/>
        <v>310.02751999999998</v>
      </c>
      <c r="O21" s="119">
        <f t="shared" si="1"/>
        <v>41.165088000000004</v>
      </c>
      <c r="P21" s="120">
        <f t="shared" si="2"/>
        <v>1687.7686080000001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1452.8</v>
      </c>
      <c r="J25" s="138"/>
      <c r="K25" s="139">
        <f t="shared" si="9"/>
        <v>0</v>
      </c>
      <c r="L25" s="140">
        <f t="shared" si="9"/>
        <v>116.224</v>
      </c>
      <c r="M25" s="141">
        <f t="shared" si="9"/>
        <v>1336.576</v>
      </c>
      <c r="N25" s="142">
        <f>SUM(N16:N24)</f>
        <v>310.02751999999998</v>
      </c>
      <c r="O25" s="143">
        <f>SUM(O16:O24)</f>
        <v>41.165088000000004</v>
      </c>
      <c r="P25" s="144">
        <f>SUM(P16:P24)</f>
        <v>1687.7686080000001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1452.8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116.224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1336.576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310.02751999999998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1646.6035200000001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41.165088000000004</v>
      </c>
    </row>
    <row r="35" spans="2:16" ht="15.75" customHeight="1" thickBot="1" x14ac:dyDescent="0.4">
      <c r="N35" s="203" t="s">
        <v>92</v>
      </c>
      <c r="O35" s="204"/>
      <c r="P35" s="160">
        <f>P33+P34</f>
        <v>1687.7686080000001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" workbookViewId="0">
      <selection activeCell="H18" sqref="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109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4.0765568000000005</v>
      </c>
      <c r="P19" s="120">
        <f t="shared" si="1"/>
        <v>819.38791680000008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1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163.00415999999998</v>
      </c>
      <c r="O20" s="119">
        <f t="shared" si="6"/>
        <v>4.1564607999999996</v>
      </c>
      <c r="P20" s="120">
        <f t="shared" si="1"/>
        <v>835.44862079999996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1452.8</v>
      </c>
      <c r="J25" s="138"/>
      <c r="K25" s="139">
        <f t="shared" si="9"/>
        <v>0</v>
      </c>
      <c r="L25" s="140">
        <f t="shared" si="9"/>
        <v>116.224</v>
      </c>
      <c r="M25" s="141">
        <f t="shared" si="9"/>
        <v>1336.576</v>
      </c>
      <c r="N25" s="142">
        <f>SUM(N16:N24)</f>
        <v>310.02751999999998</v>
      </c>
      <c r="O25" s="143">
        <f>SUM(O16:O24)</f>
        <v>8.2330176000000002</v>
      </c>
      <c r="P25" s="144">
        <f>SUM(P16:P24)</f>
        <v>1654.8365376000002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1452.8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116.224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1336.576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310.02751999999998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1646.6035200000001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8.2330176000000002</v>
      </c>
    </row>
    <row r="35" spans="2:16" ht="15.75" customHeight="1" thickBot="1" x14ac:dyDescent="0.4">
      <c r="N35" s="203" t="s">
        <v>92</v>
      </c>
      <c r="O35" s="204"/>
      <c r="P35" s="160">
        <f>P33+P34</f>
        <v>1654.8365376000002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J16" sqref="J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29.730498749999999</v>
      </c>
      <c r="P16" s="105">
        <f t="shared" ref="P16:P24" si="1">M16+N16+O16</f>
        <v>1218.9504487499999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1049.25</v>
      </c>
      <c r="J25" s="138"/>
      <c r="K25" s="139">
        <f t="shared" si="9"/>
        <v>0</v>
      </c>
      <c r="L25" s="140">
        <f t="shared" si="9"/>
        <v>83.94</v>
      </c>
      <c r="M25" s="141">
        <f t="shared" si="9"/>
        <v>965.31</v>
      </c>
      <c r="N25" s="142">
        <f>SUM(N16:N24)</f>
        <v>223.90995000000001</v>
      </c>
      <c r="O25" s="143">
        <f>SUM(O16:O24)</f>
        <v>29.730498749999999</v>
      </c>
      <c r="P25" s="144">
        <f>SUM(P16:P24)</f>
        <v>1218.9504487499999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1049.25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83.94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965.31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223.90995000000001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1189.2199499999999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29.730498749999999</v>
      </c>
    </row>
    <row r="35" spans="2:16" ht="15.75" customHeight="1" thickBot="1" x14ac:dyDescent="0.4">
      <c r="N35" s="203" t="s">
        <v>92</v>
      </c>
      <c r="O35" s="204"/>
      <c r="P35" s="160">
        <f>P33+P34</f>
        <v>1218.9504487499999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212.3682</v>
      </c>
      <c r="O17" s="119">
        <f t="shared" ref="O17:O24" si="6">(N17+M17)*$O$15</f>
        <v>5.8883909999999995</v>
      </c>
      <c r="P17" s="120">
        <f t="shared" si="1"/>
        <v>1183.5665909999998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1049.25</v>
      </c>
      <c r="J25" s="138"/>
      <c r="K25" s="139">
        <f t="shared" si="9"/>
        <v>0</v>
      </c>
      <c r="L25" s="140">
        <f t="shared" si="9"/>
        <v>83.94</v>
      </c>
      <c r="M25" s="141">
        <f t="shared" si="9"/>
        <v>965.31</v>
      </c>
      <c r="N25" s="142">
        <f>SUM(N16:N24)</f>
        <v>212.3682</v>
      </c>
      <c r="O25" s="143">
        <f>SUM(O16:O24)</f>
        <v>5.8883909999999995</v>
      </c>
      <c r="P25" s="144">
        <f>SUM(P16:P24)</f>
        <v>1183.5665909999998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1049.25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83.94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965.31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212.3682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1177.6781999999998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5.8883909999999995</v>
      </c>
    </row>
    <row r="35" spans="2:16" ht="15.75" customHeight="1" thickBot="1" x14ac:dyDescent="0.4">
      <c r="N35" s="203" t="s">
        <v>92</v>
      </c>
      <c r="O35" s="204"/>
      <c r="P35" s="160">
        <f>P33+P34</f>
        <v>1183.5665909999998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2.1896224500000003</v>
      </c>
      <c r="P22" s="120">
        <f t="shared" si="1"/>
        <v>440.11411245000005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2.1896224500000003</v>
      </c>
      <c r="P25" s="144">
        <f>SUM(P16:P24)</f>
        <v>440.11411245000005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2.1896224500000003</v>
      </c>
    </row>
    <row r="35" spans="2:16" ht="15.75" customHeight="1" thickBot="1" x14ac:dyDescent="0.4">
      <c r="N35" s="203" t="s">
        <v>92</v>
      </c>
      <c r="O35" s="204"/>
      <c r="P35" s="160">
        <f>P33+P34</f>
        <v>440.11411245000005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116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118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120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3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122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 t="s">
        <v>123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5</v>
      </c>
      <c r="I19" s="116">
        <f t="shared" si="2"/>
        <v>363.2</v>
      </c>
      <c r="J19" s="117"/>
      <c r="K19" s="1">
        <f t="shared" si="3"/>
        <v>0</v>
      </c>
      <c r="L19" s="105">
        <f t="shared" si="4"/>
        <v>29.056000000000001</v>
      </c>
      <c r="M19" s="118">
        <f t="shared" si="5"/>
        <v>334.14400000000001</v>
      </c>
      <c r="N19" s="118">
        <f t="shared" si="0"/>
        <v>60.145919999999997</v>
      </c>
      <c r="O19" s="119">
        <f t="shared" si="6"/>
        <v>1.9714495999999999</v>
      </c>
      <c r="P19" s="120">
        <f t="shared" si="1"/>
        <v>396.26136960000002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>
        <v>1</v>
      </c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73.221119999999999</v>
      </c>
      <c r="O20" s="119">
        <f t="shared" si="6"/>
        <v>2.0368255999999998</v>
      </c>
      <c r="P20" s="120">
        <f t="shared" si="1"/>
        <v>409.40194559999998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180.43775999999997</v>
      </c>
      <c r="O21" s="119">
        <f t="shared" si="6"/>
        <v>5.9143487999999991</v>
      </c>
      <c r="P21" s="120">
        <f t="shared" si="1"/>
        <v>1188.7841087999998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25</v>
      </c>
      <c r="I25" s="137">
        <f t="shared" si="9"/>
        <v>1816</v>
      </c>
      <c r="J25" s="138"/>
      <c r="K25" s="139">
        <f t="shared" si="9"/>
        <v>0</v>
      </c>
      <c r="L25" s="140">
        <f t="shared" si="9"/>
        <v>145.28</v>
      </c>
      <c r="M25" s="141">
        <f t="shared" si="9"/>
        <v>1670.7199999999998</v>
      </c>
      <c r="N25" s="142">
        <f>SUM(N16:N24)</f>
        <v>313.8048</v>
      </c>
      <c r="O25" s="143">
        <f>SUM(O16:O24)</f>
        <v>9.922623999999999</v>
      </c>
      <c r="P25" s="144">
        <f>SUM(P16:P24)</f>
        <v>1994.4474239999997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1816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145.28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1670.72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313.8048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1984.5248000000001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9.9226240000000008</v>
      </c>
    </row>
    <row r="35" spans="2:16" ht="15.75" customHeight="1" thickBot="1" x14ac:dyDescent="0.4">
      <c r="N35" s="203" t="s">
        <v>92</v>
      </c>
      <c r="O35" s="204"/>
      <c r="P35" s="160">
        <f>P33+P34</f>
        <v>1994.4474240000002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122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126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40*15</f>
        <v>600</v>
      </c>
      <c r="I19" s="116">
        <f t="shared" si="2"/>
        <v>43584</v>
      </c>
      <c r="J19" s="117">
        <f>H19/20</f>
        <v>30</v>
      </c>
      <c r="K19" s="1">
        <f t="shared" si="3"/>
        <v>0</v>
      </c>
      <c r="L19" s="105">
        <f t="shared" si="4"/>
        <v>3486.7200000000003</v>
      </c>
      <c r="M19" s="118">
        <f t="shared" si="5"/>
        <v>40097.279999999999</v>
      </c>
      <c r="N19" s="118">
        <f t="shared" si="0"/>
        <v>9300.8256000000001</v>
      </c>
      <c r="O19" s="119">
        <f t="shared" si="6"/>
        <v>246.99052799999998</v>
      </c>
      <c r="P19" s="120">
        <f t="shared" si="1"/>
        <v>49645.096127999997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2"/>
        <v>14528</v>
      </c>
      <c r="J20" s="117">
        <f t="shared" ref="J20:J21" si="7">H20/20</f>
        <v>10</v>
      </c>
      <c r="K20" s="1">
        <f t="shared" si="3"/>
        <v>0</v>
      </c>
      <c r="L20" s="105">
        <f t="shared" si="4"/>
        <v>1162.24</v>
      </c>
      <c r="M20" s="118">
        <f t="shared" si="5"/>
        <v>13365.76</v>
      </c>
      <c r="N20" s="118">
        <f t="shared" si="0"/>
        <v>3100.2752</v>
      </c>
      <c r="O20" s="119">
        <f t="shared" si="6"/>
        <v>82.330175999999994</v>
      </c>
      <c r="P20" s="120">
        <f t="shared" si="1"/>
        <v>16548.365375999998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200</v>
      </c>
      <c r="I21" s="116">
        <f t="shared" si="2"/>
        <v>14528</v>
      </c>
      <c r="J21" s="117">
        <f t="shared" si="7"/>
        <v>10</v>
      </c>
      <c r="K21" s="1">
        <f t="shared" si="3"/>
        <v>0</v>
      </c>
      <c r="L21" s="105">
        <f t="shared" si="4"/>
        <v>1162.24</v>
      </c>
      <c r="M21" s="118">
        <f t="shared" si="5"/>
        <v>13365.76</v>
      </c>
      <c r="N21" s="118">
        <f t="shared" si="0"/>
        <v>3100.2752</v>
      </c>
      <c r="O21" s="119">
        <f t="shared" si="6"/>
        <v>82.330175999999994</v>
      </c>
      <c r="P21" s="120">
        <f t="shared" si="1"/>
        <v>16548.365375999998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10">SUM(G16:G24)</f>
        <v>0</v>
      </c>
      <c r="H25" s="136">
        <f t="shared" si="10"/>
        <v>1000</v>
      </c>
      <c r="I25" s="137">
        <f t="shared" si="10"/>
        <v>72640</v>
      </c>
      <c r="J25" s="138"/>
      <c r="K25" s="139">
        <f t="shared" si="10"/>
        <v>0</v>
      </c>
      <c r="L25" s="140">
        <f t="shared" si="10"/>
        <v>5811.2</v>
      </c>
      <c r="M25" s="141">
        <f t="shared" si="10"/>
        <v>66828.800000000003</v>
      </c>
      <c r="N25" s="142">
        <f>SUM(N16:N24)</f>
        <v>15501.376</v>
      </c>
      <c r="O25" s="143">
        <f>SUM(O16:O24)</f>
        <v>411.65087999999997</v>
      </c>
      <c r="P25" s="144">
        <f>SUM(P16:P24)</f>
        <v>82741.826879999993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72640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5811.2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66828.800000000003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15501.376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82330.176000000007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411.65088000000003</v>
      </c>
    </row>
    <row r="35" spans="2:16" ht="15.75" customHeight="1" thickBot="1" x14ac:dyDescent="0.4">
      <c r="N35" s="203" t="s">
        <v>92</v>
      </c>
      <c r="O35" s="204"/>
      <c r="P35" s="160">
        <f>P33+P34</f>
        <v>82741.826880000008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I21" sqref="I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122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>
        <v>1</v>
      </c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310.02751999999998</v>
      </c>
      <c r="O21" s="119">
        <f t="shared" si="6"/>
        <v>41.165088000000004</v>
      </c>
      <c r="P21" s="120">
        <f t="shared" si="1"/>
        <v>1687.7686080000001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5"/>
        <v>2871.6360000000004</v>
      </c>
      <c r="N22" s="118">
        <f t="shared" si="0"/>
        <v>631.75992000000008</v>
      </c>
      <c r="O22" s="119">
        <f t="shared" si="6"/>
        <v>87.58489800000001</v>
      </c>
      <c r="P22" s="120">
        <f t="shared" si="1"/>
        <v>3590.9808180000005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100</v>
      </c>
      <c r="I25" s="137">
        <f t="shared" si="9"/>
        <v>4591.2000000000007</v>
      </c>
      <c r="J25" s="138"/>
      <c r="K25" s="139">
        <f t="shared" si="9"/>
        <v>109.84400000000002</v>
      </c>
      <c r="L25" s="140">
        <f t="shared" si="9"/>
        <v>273.14400000000006</v>
      </c>
      <c r="M25" s="141">
        <f t="shared" si="9"/>
        <v>4208.2120000000004</v>
      </c>
      <c r="N25" s="142">
        <f>SUM(N16:N24)</f>
        <v>941.78744000000006</v>
      </c>
      <c r="O25" s="143">
        <f>SUM(O16:O24)</f>
        <v>128.74998600000001</v>
      </c>
      <c r="P25" s="144">
        <f>SUM(P16:P24)</f>
        <v>5278.7494260000003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4591.2000000000007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273.14400000000006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109.84400000000002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4208.2120000000004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941.78744000000006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5149.9994400000005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128.74998600000001</v>
      </c>
    </row>
    <row r="35" spans="2:16" ht="15.75" customHeight="1" thickBot="1" x14ac:dyDescent="0.4">
      <c r="N35" s="203" t="s">
        <v>92</v>
      </c>
      <c r="O35" s="204"/>
      <c r="P35" s="160">
        <f>P33+P34</f>
        <v>5278.7494260000003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abSelected="1" topLeftCell="A2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122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294.04671999999999</v>
      </c>
      <c r="O19" s="119">
        <f t="shared" si="6"/>
        <v>40.765568000000002</v>
      </c>
      <c r="P19" s="120">
        <f t="shared" si="1"/>
        <v>1671.3882880000001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20.382784000000001</v>
      </c>
      <c r="P20" s="120">
        <f t="shared" si="1"/>
        <v>835.69414400000005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588.09343999999999</v>
      </c>
      <c r="O25" s="143">
        <f>SUM(O16:O24)</f>
        <v>81.531136000000004</v>
      </c>
      <c r="P25" s="144">
        <f>SUM(P16:P24)</f>
        <v>3342.7765760000002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588.09343999999999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3261.2454400000001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81.531136000000004</v>
      </c>
    </row>
    <row r="35" spans="2:16" ht="15.75" customHeight="1" thickBot="1" x14ac:dyDescent="0.4">
      <c r="N35" s="203" t="s">
        <v>92</v>
      </c>
      <c r="O35" s="204"/>
      <c r="P35" s="160">
        <f>P33+P34</f>
        <v>3342.7765760000002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F6" sqref="F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2026-06-19T13:13:55Z</dcterms:modified>
</cp:coreProperties>
</file>