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E25219B-6844-467F-B08F-84CB62ECD08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<sst xmlns="http://schemas.openxmlformats.org/spreadsheetml/2006/main" count="1580" uniqueCount="115">
  <si>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</si>
  <si>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</si>
  <si>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</si>
  <si>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</si>
  <si>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</si>
  <si>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</si>
  <si>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</si>
  <si>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</si>
  <si>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</si>
  <si>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</si>
  <si>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</si>
  <si>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</si>
  <si>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</si>
  <si>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</si>
  <si>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</si>
  <si>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</si>
  <si>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</si>
  <si>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</si>
  <si>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</si>
  <si>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</si>
  <si>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</si>
  <si>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</si>
  <si>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</si>
  <si>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</si>
  <si>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</si>
  <si>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</si>
  <si>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</si>
  <si>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</si>
  <si>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</si>
  <si>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</si>
  <si>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</si>
  <si>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</si>
  <si>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</si>
  <si>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</si>
  <si>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</si>
  <si>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</si>
  <si>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</si>
  <si>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</si>
  <si>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</si>
  <si>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</si>
  <si>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</si>
  <si>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</si>
  <si>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</si>
  <si>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</si>
  <si>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</si>
  <si>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</si>
  <si>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</si>
  <si>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</si>
  <si>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</si>
  <si>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</si>
  <si>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</si>
  <si>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</si>
  <si>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</si>
  <si>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</si>
  <si>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</si>
  <si>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</si>
  <si>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</si>
  <si>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</si>
  <si>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</si>
  <si>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</si>
  <si>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</si>
  <si>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</si>
  <si>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</si>
  <si>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</si>
  <si>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</si>
  <si>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</si>
  <si>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</si>
  <si>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</si>
  <si>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</si>
  <si>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</si>
  <si>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</si>
  <si>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</si>
  <si>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</si>
  <si>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</si>
  <si>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</si>
  <si>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</si>
  <si>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</si>
  <si>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</si>
  <si>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</si>
  <si>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</si>
  <si>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</si>
  <si>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</si>
  <si>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</si>
  <si>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</si>
  <si>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</si>
  <si>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</si>
  <si>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</si>
  <si>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</si>
  <si>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</si>
  <si>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</si>
  <si>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</si>
  <si>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</si>
  <si>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</si>
  <si>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</si>
  <si>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</si>
  <si>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</si>
  <si>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</si>
  <si>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</si>
  <si>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</si>
  <si>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</si>
  <si>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</si>
  <si>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</si>
  <si>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</si>
  <si>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</si>
  <si>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(Umair Rehman)</t>
  </si>
  <si>
    <t>Umair Rehman</t>
  </si>
  <si>
    <t xml:space="preserve">Umair Rehman </t>
  </si>
  <si>
    <t>Customer Name : Palas Bakery</t>
  </si>
  <si>
    <t xml:space="preserve">Address: Chungi Amer Sadu </t>
  </si>
  <si>
    <t xml:space="preserve">Customer Name : Kashmir Bakery </t>
  </si>
  <si>
    <t xml:space="preserve">Address: Kanchi Amer Sadu </t>
  </si>
  <si>
    <t>Customer Name : Haji Chiragh din</t>
  </si>
  <si>
    <t>Address: Kanchi Amar Sadu Landa Bazar</t>
  </si>
  <si>
    <t>Customer Name : MN Mart</t>
  </si>
  <si>
    <t xml:space="preserve">Address: Abid Market Kanchi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</si>
</sst>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Palas Bakery</v>
      </c>
      <c r="U14" s="164">
        <f>+'1'!P35</f>
        <v>3375.5372160000002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Kashmir Bakery 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35</v>
      </c>
      <c r="I16" s="1">
        <f>(G16*D16)*F16+H16*F16</f>
        <v>1836.1875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146.89499999999998</v>
      </c>
      <c r="M16" s="106">
        <f>I16-K16-L16</f>
        <v>1689.2925</v>
      </c>
      <c r="N16" s="101">
        <f>+'1'!N16+'2'!N16+'4'!N16+'3'!N16+'5'!N16+'6'!N16+'7'!N16+'8'!N16+'9'!N16+'10'!N16</f>
        <v>383.18610000000001</v>
      </c>
      <c r="O16" s="101">
        <f>+'1'!O16+'2'!O16+'4'!O16+'3'!O16+'5'!O16+'6'!O16+'7'!O16+'8'!O16+'9'!O16+'10'!O16</f>
        <v>51.811965000000001</v>
      </c>
      <c r="P16" s="105">
        <f t="shared" ref="P16:P24" si="0">M16+N16+O16</f>
        <v>2124.2905649999998</v>
      </c>
      <c r="Q16" s="108"/>
      <c r="T16" s="163" t="str">
        <f>+'4'!A5</f>
        <v>Customer Name : MN Mart</v>
      </c>
      <c r="U16" s="164">
        <f>+'4'!P35</f>
        <v>9617.9023747500014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35</v>
      </c>
      <c r="I17" s="1">
        <f t="shared" ref="I17:I23" si="1">(G17*D17)*F17+H17*F17</f>
        <v>1836.1875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146.89499999999998</v>
      </c>
      <c r="M17" s="118">
        <f t="shared" ref="M17:M23" si="2">I17-K17-L17</f>
        <v>1689.2925</v>
      </c>
      <c r="N17" s="101">
        <f>+'1'!N17+'2'!N17+'4'!N17+'3'!N17+'5'!N17+'6'!N17+'7'!N17+'8'!N17+'9'!N17+'10'!N17</f>
        <v>383.18610000000001</v>
      </c>
      <c r="O17" s="101">
        <f>+'1'!O17+'2'!O17+'4'!O17+'3'!O17+'5'!O17+'6'!O17+'7'!O17+'8'!O17+'9'!O17+'10'!O17</f>
        <v>51.811965000000001</v>
      </c>
      <c r="P17" s="120">
        <f t="shared" si="0"/>
        <v>2124.2905649999998</v>
      </c>
      <c r="S17" s="64"/>
      <c r="T17" s="163" t="str">
        <f>+'3'!A5</f>
        <v>Customer Name : Haji Chiragh din</v>
      </c>
      <c r="U17" s="164">
        <f>+'3'!P35</f>
        <v>2437.9008974999997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30</v>
      </c>
      <c r="I18" s="1">
        <f t="shared" si="1"/>
        <v>1573.875</v>
      </c>
      <c r="J18" s="172">
        <f>+'1'!J18+'2'!J18+'4'!J18+'3'!J18+'5'!J18+'6'!J18+'7'!J18+'8'!J18+'9'!J18+'10'!J18+'11'!J18+'12'!J18+'13'!J18+'14'!J18+'15'!J18+'16'!J18+'17'!J18+'18'!J18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125.91</v>
      </c>
      <c r="M18" s="118">
        <f t="shared" si="2"/>
        <v>1447.9649999999999</v>
      </c>
      <c r="N18" s="101">
        <f>+'1'!N18+'2'!N18+'4'!N18+'3'!N18+'5'!N18+'6'!N18+'7'!N18+'8'!N18+'9'!N18+'10'!N18</f>
        <v>353.17755</v>
      </c>
      <c r="O18" s="101">
        <f>+'1'!O18+'2'!O18+'4'!O18+'3'!O18+'5'!O18+'6'!O18+'7'!O18+'8'!O18+'9'!O18+'10'!O18</f>
        <v>45.028563750000004</v>
      </c>
      <c r="P18" s="120">
        <f t="shared" si="0"/>
        <v>1846.1711137500001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620.05503999999996</v>
      </c>
      <c r="O19" s="101">
        <f>+'1'!O19+'2'!O19+'4'!O19+'3'!O19+'5'!O19+'6'!O19+'7'!O19+'8'!O19+'9'!O19+'10'!O19</f>
        <v>82.330176000000009</v>
      </c>
      <c r="P19" s="120">
        <f t="shared" si="0"/>
        <v>3375.5372160000002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82.330176000000009</v>
      </c>
      <c r="P20" s="120">
        <f t="shared" si="0"/>
        <v>3375.5372160000002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20</v>
      </c>
      <c r="I21" s="1">
        <f t="shared" si="1"/>
        <v>1452.8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116.224</v>
      </c>
      <c r="M21" s="118">
        <f t="shared" si="2"/>
        <v>1336.576</v>
      </c>
      <c r="N21" s="101">
        <f>+'1'!N21+'2'!N21+'4'!N21+'3'!N21+'5'!N21+'6'!N21+'7'!N21+'8'!N21+'9'!N21+'10'!N21</f>
        <v>310.02751999999998</v>
      </c>
      <c r="O21" s="101">
        <f>+'1'!O21+'2'!O21+'4'!O21+'3'!O21+'5'!O21+'6'!O21+'7'!O21+'8'!O21+'9'!O21+'10'!O21</f>
        <v>41.165088000000004</v>
      </c>
      <c r="P21" s="120">
        <f t="shared" si="0"/>
        <v>1687.7686080000001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32</v>
      </c>
      <c r="I22" s="1">
        <f t="shared" si="1"/>
        <v>1255.3600000000001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43.93760000000001</v>
      </c>
      <c r="L22" s="175">
        <f>+'1'!L22+'2'!L22+'4'!L22+'3'!L22+'5'!L22+'6'!L22+'7'!L22+'8'!L22+'9'!L22+'10'!L22</f>
        <v>62.768000000000015</v>
      </c>
      <c r="M22" s="118">
        <f t="shared" si="2"/>
        <v>1148.6544000000001</v>
      </c>
      <c r="N22" s="101">
        <f>+'1'!N22+'2'!N22+'4'!N22+'3'!N22+'5'!N22+'6'!N22+'7'!N22+'8'!N22+'9'!N22+'10'!N22</f>
        <v>252.70396800000003</v>
      </c>
      <c r="O22" s="101">
        <f>+'1'!O22+'2'!O22+'4'!O22+'3'!O22+'5'!O22+'6'!O22+'7'!O22+'8'!O22+'9'!O22+'10'!O22</f>
        <v>35.033959200000005</v>
      </c>
      <c r="P22" s="120">
        <f t="shared" si="0"/>
        <v>1436.3923272000002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5.8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232</v>
      </c>
      <c r="I25" s="178">
        <f t="shared" si="3"/>
        <v>13765.61</v>
      </c>
      <c r="J25" s="177">
        <f t="shared" si="3"/>
        <v>10</v>
      </c>
      <c r="K25" s="178">
        <f t="shared" si="3"/>
        <v>43.93760000000001</v>
      </c>
      <c r="L25" s="179">
        <f t="shared" si="3"/>
        <v>1063.588</v>
      </c>
      <c r="M25" s="141">
        <f t="shared" si="3"/>
        <v>12658.0844</v>
      </c>
      <c r="N25" s="142">
        <f>SUM(N16:N24)</f>
        <v>2922.391318</v>
      </c>
      <c r="O25" s="143">
        <f>SUM(O16:O24)</f>
        <v>389.51189295000006</v>
      </c>
      <c r="P25" s="144">
        <f>SUM(P16:P24)</f>
        <v>15969.98761095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15969.987610950002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13765.61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1063.588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43.93760000000001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12658.084400000002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2922.391318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15580.475718000002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389.51189295000006</v>
      </c>
    </row>
    <row r="39" spans="2:16" ht="15.75" customHeight="1" thickBot="1" x14ac:dyDescent="0.4">
      <c r="N39" s="219" t="s">
        <v>92</v>
      </c>
      <c r="O39" s="220"/>
      <c r="P39" s="160">
        <f>P37+P38</f>
        <v>15969.987610950002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41.165088000000004</v>
      </c>
      <c r="P20" s="120">
        <f t="shared" si="2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9" t="s">
        <v>92</v>
      </c>
      <c r="O35" s="220"/>
      <c r="P35" s="160">
        <f>P33+P34</f>
        <v>538.64712270000007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159.27615</v>
      </c>
      <c r="O17" s="119">
        <f t="shared" ref="O17:O24" si="6">(N17+M17)*$O$15</f>
        <v>22.081466250000002</v>
      </c>
      <c r="P17" s="120">
        <f t="shared" si="1"/>
        <v>905.34011624999994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>
        <v>2</v>
      </c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129.26760000000002</v>
      </c>
      <c r="O18" s="119">
        <f t="shared" si="6"/>
        <v>15.298065000000001</v>
      </c>
      <c r="P18" s="120">
        <f t="shared" si="1"/>
        <v>627.22066499999994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9" t="s">
        <v>92</v>
      </c>
      <c r="O35" s="220"/>
      <c r="P35" s="160">
        <f>P33+P34</f>
        <v>2437.9008974999997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140</v>
      </c>
      <c r="I25" s="137">
        <f t="shared" si="9"/>
        <v>8290.75</v>
      </c>
      <c r="J25" s="138"/>
      <c r="K25" s="139">
        <f t="shared" si="9"/>
        <v>27.461000000000006</v>
      </c>
      <c r="L25" s="140">
        <f t="shared" si="9"/>
        <v>639.72199999999998</v>
      </c>
      <c r="M25" s="141">
        <f t="shared" si="9"/>
        <v>7623.5669999999991</v>
      </c>
      <c r="N25" s="142">
        <f>SUM(N16:N24)</f>
        <v>1759.7523900000001</v>
      </c>
      <c r="O25" s="143">
        <f>SUM(O16:O24)</f>
        <v>234.58298474999998</v>
      </c>
      <c r="P25" s="144">
        <f>SUM(P16:P24)</f>
        <v>9617.9023747500014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8290.75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639.72199999999998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7623.567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1759.7523900000001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9383.3193900000006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234.58298475000004</v>
      </c>
    </row>
    <row r="35" spans="2:16" ht="15.75" customHeight="1" thickBot="1" x14ac:dyDescent="0.4">
      <c r="N35" s="219" t="s">
        <v>92</v>
      </c>
      <c r="O35" s="220"/>
      <c r="P35" s="160">
        <f>P33+P34</f>
        <v>9617.9023747500014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2026-06-19T11:58:50Z</dcterms:modified>
</cp:coreProperties>
</file>