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4C5930A-E025-4E32-A649-7A898098513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4" l="1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24" l="1"/>
  <c r="P30" i="24" s="1"/>
  <c r="L21" i="15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20" l="1"/>
  <c r="M18" i="15"/>
  <c r="M22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O16" i="18" l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<sst xmlns="http://schemas.openxmlformats.org/spreadsheetml/2006/main" count="1582" uniqueCount="124">
  <si>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</si>
  <si>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</si>
  <si>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</si>
  <si>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</si>
  <si>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</si>
  <si>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</si>
  <si>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</si>
  <si>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</si>
  <si>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</si>
  <si>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</si>
  <si>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</si>
  <si>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</si>
  <si>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</si>
  <si>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</si>
  <si>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</si>
  <si>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</si>
  <si>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</si>
  <si>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</si>
  <si>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</si>
  <si>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</si>
  <si>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</si>
  <si>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</si>
  <si>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</si>
  <si>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</si>
  <si>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</si>
  <si>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</si>
  <si>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</si>
  <si>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</si>
  <si>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</si>
  <si>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</si>
  <si>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</si>
  <si>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</si>
  <si>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</si>
  <si>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</si>
  <si>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</si>
  <si>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</si>
  <si>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</si>
  <si>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</si>
  <si>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</si>
  <si>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</si>
  <si>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</si>
  <si>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</si>
  <si>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</si>
  <si>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</si>
  <si>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</si>
  <si>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</si>
  <si>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</si>
  <si>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</si>
  <si>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</si>
  <si>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</si>
  <si>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</si>
  <si>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</si>
  <si>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</si>
  <si>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</si>
  <si>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</si>
  <si>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</si>
  <si>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</si>
  <si>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</si>
  <si>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</si>
  <si>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</si>
  <si>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</si>
  <si>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</si>
  <si>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</si>
  <si>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</si>
  <si>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</si>
  <si>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</si>
  <si>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</si>
  <si>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</si>
  <si>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</si>
  <si>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</si>
  <si>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</si>
  <si>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</si>
  <si>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</si>
  <si>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</si>
  <si>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</si>
  <si>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</si>
  <si>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</si>
  <si>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</si>
  <si>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</si>
  <si>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</si>
  <si>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</si>
  <si>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</si>
  <si>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</si>
  <si>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</si>
  <si>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</si>
  <si>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</si>
  <si>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</si>
  <si>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</si>
  <si>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</si>
  <si>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</si>
  <si>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</si>
  <si>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</si>
  <si>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</si>
  <si>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</si>
  <si>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</si>
  <si>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</si>
  <si>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</si>
  <si>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</si>
  <si>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</si>
  <si>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</si>
  <si>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</si>
  <si>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</si>
  <si>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</si>
  <si>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</si>
  <si>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(Mubeen)</t>
  </si>
  <si>
    <t>Mubeen</t>
  </si>
  <si>
    <t>Customer Name : Progresive Mart</t>
  </si>
  <si>
    <t>Address: Phase 6</t>
  </si>
  <si>
    <t>Customer Name : Premier Mart</t>
  </si>
  <si>
    <t>Address: phase 6</t>
  </si>
  <si>
    <t>D470937</t>
  </si>
  <si>
    <t>Customer Name : Imran Store</t>
  </si>
  <si>
    <t>Address: Dharampura</t>
  </si>
  <si>
    <t>Customer Name : Bravo Store</t>
  </si>
  <si>
    <t xml:space="preserve">Customer Name : Urban Mart </t>
  </si>
  <si>
    <t>D371198</t>
  </si>
  <si>
    <t>Customer Name : Al Ghani milk &amp; Store</t>
  </si>
  <si>
    <t xml:space="preserve">Customer Name : Al Zeeshan super Market </t>
  </si>
  <si>
    <t>Address: Phase 8 Eden</t>
  </si>
  <si>
    <t>F617325-6</t>
  </si>
  <si>
    <t>Customer Name : Al noor Store</t>
  </si>
  <si>
    <t>Address: Phase 8</t>
  </si>
  <si>
    <t>Customer Name : Binb Asghar Mart</t>
  </si>
  <si>
    <t>Address: Phasae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</si>
</sst>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3" zoomScale="70" zoomScaleNormal="70" workbookViewId="0">
      <selection activeCell="S22" sqref="S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105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104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Progresive Mart</v>
      </c>
      <c r="U14" s="164">
        <f>+'1'!P35</f>
        <v>3375.5372160000002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Premier Mart</v>
      </c>
      <c r="U15" s="164">
        <f>+'2'!P35</f>
        <v>5700.0051747000007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162</v>
      </c>
      <c r="I16" s="1">
        <f>(G16*D16)*F16+H16*F16</f>
        <v>8498.9249999999993</v>
      </c>
      <c r="J16" s="172">
        <f>+'1'!J16+'2'!J16+'4'!J16+'3'!J16+'5'!J16+'6'!J16+'7'!J16+'8'!J16+'9'!J16+'10'!J16+'11'!J16+'12'!J16+'13'!J16+'14'!J16+'15'!J16+'16'!J16+'17'!J16+'18'!J16</f>
        <v>7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679.91399999999999</v>
      </c>
      <c r="M16" s="106">
        <f>I16-K16-L16</f>
        <v>7819.0109999999995</v>
      </c>
      <c r="N16" s="101">
        <f>+'1'!N16+'2'!N16+'4'!N16+'3'!N16+'5'!N16+'6'!N16+'7'!N16+'8'!N16+'9'!N16+'10'!N16</f>
        <v>1556.7092699999998</v>
      </c>
      <c r="O16" s="101">
        <f>+'1'!O16+'2'!O16+'4'!O16+'3'!O16+'5'!O16+'6'!O16+'7'!O16+'8'!O16+'9'!O16+'10'!O16</f>
        <v>61.010739750000006</v>
      </c>
      <c r="P16" s="105">
        <f t="shared" ref="P16:P24" si="0">M16+N16+O16</f>
        <v>9436.7310097499994</v>
      </c>
      <c r="Q16" s="108"/>
      <c r="T16" s="163" t="str">
        <f>+'4'!A5</f>
        <v>Customer Name : Bravo Store</v>
      </c>
      <c r="U16" s="164">
        <f>+'4'!P35</f>
        <v>2723.2936954500001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202</v>
      </c>
      <c r="I17" s="1">
        <f t="shared" ref="I17:I23" si="1">(G17*D17)*F17+H17*F17</f>
        <v>10597.424999999999</v>
      </c>
      <c r="J17" s="172">
        <f>+'1'!J17+'2'!J17+'4'!J17+'3'!J17+'5'!J17+'6'!J17+'7'!J17+'8'!J17+'9'!J17+'10'!J17+'11'!J17+'12'!J17+'13'!J17+'14'!J17+'15'!J17+'16'!J17+'17'!J17+'18'!J17</f>
        <v>10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847.7940000000001</v>
      </c>
      <c r="M17" s="118">
        <f t="shared" ref="M17:M23" si="2">I17-K17-L17</f>
        <v>9749.6309999999994</v>
      </c>
      <c r="N17" s="101">
        <f>+'1'!N17+'2'!N17+'4'!N17+'3'!N17+'5'!N17+'6'!N17+'7'!N17+'8'!N17+'9'!N17+'10'!N17</f>
        <v>2016.0709199999997</v>
      </c>
      <c r="O17" s="101">
        <f>+'1'!O17+'2'!O17+'4'!O17+'3'!O17+'5'!O17+'6'!O17+'7'!O17+'8'!O17+'9'!O17+'10'!O17</f>
        <v>73.191482999999991</v>
      </c>
      <c r="P17" s="120">
        <f t="shared" si="0"/>
        <v>11838.893403</v>
      </c>
      <c r="S17" s="64"/>
      <c r="T17" s="163" t="str">
        <f>+'3'!A5</f>
        <v>Customer Name : Imran Store</v>
      </c>
      <c r="U17" s="164">
        <f>+'3'!P35</f>
        <v>6751.0744320000003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162</v>
      </c>
      <c r="I18" s="1">
        <f t="shared" si="1"/>
        <v>8498.9249999999993</v>
      </c>
      <c r="J18" s="172">
        <f>+'1'!J18+'2'!J18+'4'!J18+'3'!J18+'5'!J18+'6'!J18+'7'!J18+'8'!J18+'9'!J18+'10'!J18+'11'!J18+'12'!J18+'13'!J18+'14'!J18+'15'!J18+'16'!J18+'17'!J18+'18'!J18</f>
        <v>6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679.91399999999999</v>
      </c>
      <c r="M18" s="118">
        <f t="shared" si="2"/>
        <v>7819.0109999999995</v>
      </c>
      <c r="N18" s="101">
        <f>+'1'!N18+'2'!N18+'4'!N18+'3'!N18+'5'!N18+'6'!N18+'7'!N18+'8'!N18+'9'!N18+'10'!N18</f>
        <v>1545.16752</v>
      </c>
      <c r="O18" s="101">
        <f>+'1'!O18+'2'!O18+'4'!O18+'3'!O18+'5'!O18+'6'!O18+'7'!O18+'8'!O18+'9'!O18+'10'!O18</f>
        <v>60.953031000000003</v>
      </c>
      <c r="P18" s="120">
        <f t="shared" si="0"/>
        <v>9425.1315509999986</v>
      </c>
      <c r="T18" s="163" t="str">
        <f>+'5'!A5</f>
        <v xml:space="preserve">Customer Name : Urban Mart </v>
      </c>
      <c r="U18" s="164">
        <f>+'5'!P35</f>
        <v>5636.0134619700011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248</v>
      </c>
      <c r="I19" s="1">
        <f t="shared" si="1"/>
        <v>18014.72</v>
      </c>
      <c r="J19" s="172">
        <f>+'1'!J19+'2'!J19+'4'!J19+'3'!J19+'5'!J19+'6'!J19+'7'!J19+'8'!J19+'9'!J19+'10'!J19+'11'!J19+'12'!J19+'13'!J19+'14'!J19+'15'!J19+'16'!J19+'17'!J19+'18'!J19</f>
        <v>11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1441.1775999999998</v>
      </c>
      <c r="M19" s="118">
        <f t="shared" si="2"/>
        <v>16573.542400000002</v>
      </c>
      <c r="N19" s="101">
        <f>+'1'!N19+'2'!N19+'4'!N19+'3'!N19+'5'!N19+'6'!N19+'7'!N19+'8'!N19+'9'!N19+'10'!N19</f>
        <v>3483.7562879999996</v>
      </c>
      <c r="O19" s="101">
        <f>+'1'!O19+'2'!O19+'4'!O19+'3'!O19+'5'!O19+'6'!O19+'7'!O19+'8'!O19+'9'!O19+'10'!O19</f>
        <v>215.38893184</v>
      </c>
      <c r="P19" s="120">
        <f t="shared" si="0"/>
        <v>20272.687619840002</v>
      </c>
      <c r="T19" s="163" t="str">
        <f>+'6'!A5</f>
        <v>Customer Name : Al Ghani milk &amp; Store</v>
      </c>
      <c r="U19" s="164">
        <f>+'6'!P35</f>
        <v>3068.2451170800009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178</v>
      </c>
      <c r="I20" s="1">
        <f t="shared" si="1"/>
        <v>12929.92</v>
      </c>
      <c r="J20" s="172">
        <f>+'1'!J20+'2'!J20+'4'!J20+'3'!J20+'5'!J20+'6'!J20+'7'!J20+'8'!J20+'9'!J20+'10'!J20+'11'!J20+'12'!J20+'13'!J20+'14'!J20+'15'!J20+'16'!J20+'17'!J20+'18'!J20</f>
        <v>11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1034.3936000000001</v>
      </c>
      <c r="M20" s="118">
        <f t="shared" si="2"/>
        <v>11895.526400000001</v>
      </c>
      <c r="N20" s="101">
        <f>+'1'!N20+'2'!N20+'4'!N20+'3'!N20+'5'!N20+'6'!N20+'7'!N20+'8'!N20+'9'!N20+'10'!N20</f>
        <v>2454.5927679999995</v>
      </c>
      <c r="O20" s="101">
        <f>+'1'!O20+'2'!O20+'4'!O20+'3'!O20+'5'!O20+'6'!O20+'7'!O20+'8'!O20+'9'!O20+'10'!O20</f>
        <v>138.25396864000001</v>
      </c>
      <c r="P20" s="120">
        <f t="shared" si="0"/>
        <v>14488.373136640001</v>
      </c>
      <c r="T20" s="163" t="str">
        <f>+'7'!A5</f>
        <v xml:space="preserve">Customer Name : Al Zeeshan super Market </v>
      </c>
      <c r="U20" s="164">
        <f>+'7'!P35</f>
        <v>49543.877693699993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188</v>
      </c>
      <c r="I21" s="1">
        <f t="shared" si="1"/>
        <v>13656.32</v>
      </c>
      <c r="J21" s="172">
        <f>+'1'!J21+'2'!J21+'4'!J21+'3'!J21+'5'!J21+'6'!J21+'7'!J21+'8'!J21+'9'!J21+'10'!J21+'11'!J21+'12'!J21+'13'!J21+'14'!J21+'15'!J21+'16'!J21+'17'!J21+'18'!J21</f>
        <v>7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1092.5056</v>
      </c>
      <c r="M21" s="118">
        <f t="shared" si="2"/>
        <v>12563.814399999999</v>
      </c>
      <c r="N21" s="101">
        <f>+'1'!N21+'2'!N21+'4'!N21+'3'!N21+'5'!N21+'6'!N21+'7'!N21+'8'!N21+'9'!N21+'10'!N21</f>
        <v>2537.6929279999995</v>
      </c>
      <c r="O21" s="101">
        <f>+'1'!O21+'2'!O21+'4'!O21+'3'!O21+'5'!O21+'6'!O21+'7'!O21+'8'!O21+'9'!O21+'10'!O21</f>
        <v>157.35828864000001</v>
      </c>
      <c r="P21" s="120">
        <f t="shared" si="0"/>
        <v>15258.86561664</v>
      </c>
      <c r="T21" s="163" t="str">
        <f>+'8'!A5</f>
        <v>Customer Name : Al noor Store</v>
      </c>
      <c r="U21" s="164">
        <f>+'8'!P35</f>
        <v>3375.5372160000002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36</v>
      </c>
      <c r="I22" s="1">
        <f t="shared" si="1"/>
        <v>1412.2800000000002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49.429800000000014</v>
      </c>
      <c r="L22" s="175">
        <f>+'1'!L22+'2'!L22+'4'!L22+'3'!L22+'5'!L22+'6'!L22+'7'!L22+'8'!L22+'9'!L22+'10'!L22</f>
        <v>70.614000000000004</v>
      </c>
      <c r="M22" s="118">
        <f t="shared" si="2"/>
        <v>1292.2362000000001</v>
      </c>
      <c r="N22" s="101">
        <f>+'1'!N22+'2'!N22+'4'!N22+'3'!N22+'5'!N22+'6'!N22+'7'!N22+'8'!N22+'9'!N22+'10'!N22</f>
        <v>284.29196400000001</v>
      </c>
      <c r="O22" s="101">
        <f>+'1'!O22+'2'!O22+'4'!O22+'3'!O22+'5'!O22+'6'!O22+'7'!O22+'8'!O22+'9'!O22+'10'!O22</f>
        <v>18.392828580000003</v>
      </c>
      <c r="P22" s="120">
        <f t="shared" si="0"/>
        <v>1594.9209925800001</v>
      </c>
      <c r="T22" s="163" t="str">
        <f>+'9'!A5</f>
        <v>Customer Name : Binb Asghar Mart</v>
      </c>
      <c r="U22" s="164">
        <f>+'9'!P35</f>
        <v>2142.0193225499997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29.4</v>
      </c>
      <c r="D25" s="205"/>
      <c r="E25" s="205"/>
      <c r="F25" s="205"/>
      <c r="G25" s="176">
        <f t="shared" ref="G25:M25" si="3">SUM(G16:G24)</f>
        <v>0</v>
      </c>
      <c r="H25" s="177">
        <f t="shared" si="3"/>
        <v>1176</v>
      </c>
      <c r="I25" s="178">
        <f t="shared" si="3"/>
        <v>73608.514999999985</v>
      </c>
      <c r="J25" s="177">
        <f t="shared" si="3"/>
        <v>52</v>
      </c>
      <c r="K25" s="178">
        <f t="shared" si="3"/>
        <v>49.429800000000014</v>
      </c>
      <c r="L25" s="179">
        <f t="shared" si="3"/>
        <v>5846.3127999999997</v>
      </c>
      <c r="M25" s="141">
        <f t="shared" si="3"/>
        <v>67712.772400000002</v>
      </c>
      <c r="N25" s="142">
        <f>SUM(N16:N24)</f>
        <v>13878.281658</v>
      </c>
      <c r="O25" s="143">
        <f>SUM(O16:O24)</f>
        <v>724.54927145000011</v>
      </c>
      <c r="P25" s="144">
        <f>SUM(P16:P24)</f>
        <v>82315.603329449994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82315.603329449994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73608.514999999985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5846.3127999999997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49.429800000000014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67712.772399999987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13878.281658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81591.05405799998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2039.7763514499995</v>
      </c>
    </row>
    <row r="39" spans="2:16" ht="15.75" customHeight="1" thickBot="1" x14ac:dyDescent="0.4">
      <c r="N39" s="203" t="s">
        <v>92</v>
      </c>
      <c r="O39" s="204"/>
      <c r="P39" s="160">
        <f>P37+P38</f>
        <v>83630.830409449976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3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6284286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>
        <v>1</v>
      </c>
      <c r="K19" s="1">
        <f t="shared" si="4"/>
        <v>0</v>
      </c>
      <c r="L19" s="105">
        <f t="shared" si="5"/>
        <v>87.167999999999992</v>
      </c>
      <c r="M19" s="118">
        <f t="shared" si="6"/>
        <v>1002.4319999999999</v>
      </c>
      <c r="N19" s="118">
        <f t="shared" si="0"/>
        <v>236.51583999999997</v>
      </c>
      <c r="O19" s="119">
        <f t="shared" si="1"/>
        <v>30.973695999999997</v>
      </c>
      <c r="P19" s="120">
        <f t="shared" si="2"/>
        <v>1269.9215359999998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>
        <v>1</v>
      </c>
      <c r="K20" s="1">
        <f t="shared" si="4"/>
        <v>0</v>
      </c>
      <c r="L20" s="105">
        <f t="shared" si="5"/>
        <v>58.112000000000002</v>
      </c>
      <c r="M20" s="118">
        <f t="shared" si="6"/>
        <v>668.28800000000001</v>
      </c>
      <c r="N20" s="118">
        <f t="shared" si="0"/>
        <v>163.00415999999998</v>
      </c>
      <c r="O20" s="119">
        <f t="shared" si="1"/>
        <v>20.782304</v>
      </c>
      <c r="P20" s="120">
        <f t="shared" si="2"/>
        <v>852.07446399999992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">
        <f t="shared" si="4"/>
        <v>0</v>
      </c>
      <c r="L21" s="105">
        <f t="shared" si="5"/>
        <v>87.167999999999992</v>
      </c>
      <c r="M21" s="118">
        <f t="shared" si="6"/>
        <v>1002.4319999999999</v>
      </c>
      <c r="N21" s="118">
        <f t="shared" si="0"/>
        <v>220.53503999999998</v>
      </c>
      <c r="O21" s="119">
        <f t="shared" si="1"/>
        <v>30.574176000000001</v>
      </c>
      <c r="P21" s="120">
        <f t="shared" si="2"/>
        <v>1253.5412160000001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3375.5372159999997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400.32799999999997</v>
      </c>
      <c r="M25" s="141">
        <f t="shared" si="9"/>
        <v>4603.7719999999999</v>
      </c>
      <c r="N25" s="142">
        <f>SUM(N16:N24)</f>
        <v>1067.8749399999999</v>
      </c>
      <c r="O25" s="143">
        <f>SUM(O16:O24)</f>
        <v>28.358234700000001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5004.1000000000004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400.32799999999997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4603.7720000000008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5671.6469400000005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28.358234700000004</v>
      </c>
    </row>
    <row r="35" spans="2:16" ht="15.75" customHeight="1" thickBot="1" x14ac:dyDescent="0.4">
      <c r="N35" s="203" t="s">
        <v>92</v>
      </c>
      <c r="O35" s="204"/>
      <c r="P35" s="160">
        <f>P33+P34</f>
        <v>5700.0051747000007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5811.2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464.89600000000002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5346.3040000000001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6586.4140800000005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03" t="s">
        <v>92</v>
      </c>
      <c r="O35" s="204"/>
      <c r="P35" s="160">
        <f>P33+P34</f>
        <v>6751.0744320000003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17.665172999999999</v>
      </c>
      <c r="P16" s="105">
        <f t="shared" ref="P16:P24" si="1">M16+N16+O16</f>
        <v>724.27209299999993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>
        <v>1</v>
      </c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138.96266999999997</v>
      </c>
      <c r="O17" s="119">
        <f t="shared" ref="O17:O24" si="6">(N17+M17)*$O$15</f>
        <v>17.953716749999998</v>
      </c>
      <c r="P17" s="120">
        <f t="shared" si="1"/>
        <v>736.10238674999994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</v>
      </c>
      <c r="I18" s="116">
        <f t="shared" si="2"/>
        <v>629.54999999999995</v>
      </c>
      <c r="J18" s="117"/>
      <c r="K18" s="1">
        <f t="shared" si="3"/>
        <v>0</v>
      </c>
      <c r="L18" s="105">
        <f t="shared" si="4"/>
        <v>50.363999999999997</v>
      </c>
      <c r="M18" s="118">
        <f t="shared" si="5"/>
        <v>579.18599999999992</v>
      </c>
      <c r="N18" s="118">
        <f t="shared" si="0"/>
        <v>127.42091999999998</v>
      </c>
      <c r="O18" s="119">
        <f t="shared" si="6"/>
        <v>17.665172999999999</v>
      </c>
      <c r="P18" s="120">
        <f t="shared" si="1"/>
        <v>724.27209299999993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48</v>
      </c>
      <c r="I25" s="137">
        <f t="shared" si="9"/>
        <v>2359.41</v>
      </c>
      <c r="J25" s="138"/>
      <c r="K25" s="139">
        <f t="shared" si="9"/>
        <v>16.476600000000005</v>
      </c>
      <c r="L25" s="140">
        <f t="shared" si="9"/>
        <v>174.63</v>
      </c>
      <c r="M25" s="141">
        <f t="shared" si="9"/>
        <v>2168.3033999999998</v>
      </c>
      <c r="N25" s="142">
        <f>SUM(N16:N24)</f>
        <v>488.56849799999992</v>
      </c>
      <c r="O25" s="143">
        <f>SUM(O16:O24)</f>
        <v>66.421797449999985</v>
      </c>
      <c r="P25" s="144">
        <f>SUM(P16:P24)</f>
        <v>2723.2936954500001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2359.41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174.63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2168.3033999999998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488.56849799999992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2656.8718979999999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66.42179745</v>
      </c>
    </row>
    <row r="35" spans="2:16" ht="15.75" customHeight="1" thickBot="1" x14ac:dyDescent="0.4">
      <c r="N35" s="203" t="s">
        <v>92</v>
      </c>
      <c r="O35" s="204"/>
      <c r="P35" s="160">
        <f>P33+P34</f>
        <v>2723.2936954500001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>
        <v>1</v>
      </c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138.96266999999997</v>
      </c>
      <c r="O16" s="107">
        <f>(N16+M16)*$O$15</f>
        <v>3.5907433499999999</v>
      </c>
      <c r="P16" s="105">
        <f t="shared" ref="P16:P24" si="1">M16+N16+O16</f>
        <v>721.73941334999995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127.42091999999998</v>
      </c>
      <c r="O17" s="119">
        <f t="shared" ref="O17:O24" si="6">(N17+M17)*$O$15</f>
        <v>3.5330345999999997</v>
      </c>
      <c r="P17" s="120">
        <f t="shared" si="1"/>
        <v>710.1399545999999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</v>
      </c>
      <c r="I18" s="116">
        <f t="shared" si="2"/>
        <v>629.54999999999995</v>
      </c>
      <c r="J18" s="117"/>
      <c r="K18" s="1">
        <f t="shared" si="3"/>
        <v>0</v>
      </c>
      <c r="L18" s="105">
        <f t="shared" si="4"/>
        <v>50.363999999999997</v>
      </c>
      <c r="M18" s="118">
        <f t="shared" si="5"/>
        <v>579.18599999999992</v>
      </c>
      <c r="N18" s="118">
        <f t="shared" si="0"/>
        <v>127.42091999999998</v>
      </c>
      <c r="O18" s="119">
        <f t="shared" si="6"/>
        <v>3.5330345999999997</v>
      </c>
      <c r="P18" s="120">
        <f t="shared" si="1"/>
        <v>710.1399545999999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">
        <f t="shared" si="3"/>
        <v>0</v>
      </c>
      <c r="L19" s="105">
        <f t="shared" si="4"/>
        <v>69.734400000000008</v>
      </c>
      <c r="M19" s="118">
        <f t="shared" si="5"/>
        <v>801.94560000000001</v>
      </c>
      <c r="N19" s="118">
        <f t="shared" si="0"/>
        <v>176.428032</v>
      </c>
      <c r="O19" s="119">
        <f t="shared" si="6"/>
        <v>4.8918681600000005</v>
      </c>
      <c r="P19" s="120">
        <f t="shared" si="1"/>
        <v>983.26550015999999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>
        <v>1</v>
      </c>
      <c r="K20" s="1">
        <f t="shared" si="3"/>
        <v>0</v>
      </c>
      <c r="L20" s="105">
        <f t="shared" si="4"/>
        <v>69.734400000000008</v>
      </c>
      <c r="M20" s="118">
        <f t="shared" si="5"/>
        <v>801.94560000000001</v>
      </c>
      <c r="N20" s="118">
        <f t="shared" si="0"/>
        <v>192.40883199999999</v>
      </c>
      <c r="O20" s="119">
        <f t="shared" si="6"/>
        <v>4.9717721599999996</v>
      </c>
      <c r="P20" s="120">
        <f t="shared" si="1"/>
        <v>999.32620415999997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4.8918681600000005</v>
      </c>
      <c r="P21" s="120">
        <f t="shared" si="1"/>
        <v>983.26550015999999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84</v>
      </c>
      <c r="I25" s="137">
        <f t="shared" si="9"/>
        <v>4974.4500000000007</v>
      </c>
      <c r="J25" s="138"/>
      <c r="K25" s="139">
        <f t="shared" si="9"/>
        <v>16.476600000000005</v>
      </c>
      <c r="L25" s="140">
        <f t="shared" si="9"/>
        <v>383.83319999999998</v>
      </c>
      <c r="M25" s="141">
        <f t="shared" si="9"/>
        <v>4574.1401999999998</v>
      </c>
      <c r="N25" s="142">
        <f>SUM(N16:N24)</f>
        <v>1033.833394</v>
      </c>
      <c r="O25" s="143">
        <f>SUM(O16:O24)</f>
        <v>28.039867970000003</v>
      </c>
      <c r="P25" s="144">
        <f>SUM(P16:P24)</f>
        <v>5636.0134619699993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4974.4500000000007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383.83319999999998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4574.1402000000007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1033.833394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5607.973594000001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28.039867970000007</v>
      </c>
    </row>
    <row r="35" spans="2:16" ht="15.75" customHeight="1" thickBot="1" x14ac:dyDescent="0.4">
      <c r="N35" s="203" t="s">
        <v>92</v>
      </c>
      <c r="O35" s="204"/>
      <c r="P35" s="160">
        <f>P33+P34</f>
        <v>5636.0134619700011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3410458891533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1.7665172999999998</v>
      </c>
      <c r="P16" s="105">
        <f t="shared" ref="P16:P24" si="1">M16+N16+O16</f>
        <v>355.06997729999995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63.710459999999991</v>
      </c>
      <c r="O17" s="119">
        <f t="shared" ref="O17:O24" si="6">(N17+M17)*$O$15</f>
        <v>1.7665172999999998</v>
      </c>
      <c r="P17" s="120">
        <f t="shared" si="1"/>
        <v>355.06997729999995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6</v>
      </c>
      <c r="I18" s="116">
        <f t="shared" si="2"/>
        <v>314.77499999999998</v>
      </c>
      <c r="J18" s="117"/>
      <c r="K18" s="1">
        <f t="shared" si="3"/>
        <v>0</v>
      </c>
      <c r="L18" s="105">
        <f t="shared" si="4"/>
        <v>25.181999999999999</v>
      </c>
      <c r="M18" s="118">
        <f t="shared" si="5"/>
        <v>289.59299999999996</v>
      </c>
      <c r="N18" s="118">
        <f t="shared" si="0"/>
        <v>63.710459999999991</v>
      </c>
      <c r="O18" s="119">
        <f t="shared" si="6"/>
        <v>1.7665172999999998</v>
      </c>
      <c r="P18" s="120">
        <f t="shared" si="1"/>
        <v>355.06997729999995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2.4459340800000002</v>
      </c>
      <c r="P20" s="120">
        <f t="shared" si="1"/>
        <v>491.63275007999999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2.4459340800000002</v>
      </c>
      <c r="P21" s="120">
        <f t="shared" si="1"/>
        <v>491.63275007999999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48</v>
      </c>
      <c r="I25" s="137">
        <f t="shared" si="9"/>
        <v>2722.6050000000005</v>
      </c>
      <c r="J25" s="138"/>
      <c r="K25" s="139">
        <f t="shared" si="9"/>
        <v>16.476600000000005</v>
      </c>
      <c r="L25" s="140">
        <f t="shared" si="9"/>
        <v>203.68559999999999</v>
      </c>
      <c r="M25" s="141">
        <f t="shared" si="9"/>
        <v>2502.4427999999998</v>
      </c>
      <c r="N25" s="142">
        <f>SUM(N16:N24)</f>
        <v>550.53741600000001</v>
      </c>
      <c r="O25" s="143">
        <f>SUM(O16:O24)</f>
        <v>15.264901080000001</v>
      </c>
      <c r="P25" s="144">
        <f>SUM(P16:P24)</f>
        <v>3068.24511708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2722.6050000000005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203.68559999999999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2502.4428000000007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550.53741600000001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3052.9802160000008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15.264901080000005</v>
      </c>
    </row>
    <row r="35" spans="2:16" ht="15.75" customHeight="1" thickBot="1" x14ac:dyDescent="0.4">
      <c r="N35" s="203" t="s">
        <v>92</v>
      </c>
      <c r="O35" s="204"/>
      <c r="P35" s="160">
        <f>P33+P34</f>
        <v>3068.2451170800009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118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3277876357053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6</v>
      </c>
      <c r="K16" s="104">
        <f>I16*$K$13</f>
        <v>0</v>
      </c>
      <c r="L16" s="105">
        <f>I16*8%</f>
        <v>503.64</v>
      </c>
      <c r="M16" s="106">
        <f>I16-K16-L16</f>
        <v>5791.86</v>
      </c>
      <c r="N16" s="106">
        <f t="shared" ref="N16:N24" si="0">(M16*$N$15)+(J16*F16)*$N$15</f>
        <v>1099.1942999999999</v>
      </c>
      <c r="O16" s="107">
        <f>(N16+M16)*$O$15</f>
        <v>34.455271500000002</v>
      </c>
      <c r="P16" s="105">
        <f t="shared" ref="P16:P24" si="1">M16+N16+O16</f>
        <v>6925.5095714999998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2">(G17*D17)*F17+H17*F17</f>
        <v>6295.5</v>
      </c>
      <c r="J17" s="117">
        <v>6</v>
      </c>
      <c r="K17" s="1">
        <f t="shared" ref="K17:K21" si="3">I17*$K$13</f>
        <v>0</v>
      </c>
      <c r="L17" s="105">
        <f t="shared" ref="L17:L21" si="4">I17*8%</f>
        <v>503.64</v>
      </c>
      <c r="M17" s="118">
        <f t="shared" ref="M17:M23" si="5">I17-K17-L17</f>
        <v>5791.86</v>
      </c>
      <c r="N17" s="118">
        <f t="shared" si="0"/>
        <v>1099.1942999999999</v>
      </c>
      <c r="O17" s="119">
        <f t="shared" ref="O17:O24" si="6">(N17+M17)*$O$15</f>
        <v>34.455271500000002</v>
      </c>
      <c r="P17" s="120">
        <f t="shared" si="1"/>
        <v>6925.5095714999998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2"/>
        <v>6295.5</v>
      </c>
      <c r="J18" s="117">
        <v>6</v>
      </c>
      <c r="K18" s="1">
        <f t="shared" si="3"/>
        <v>0</v>
      </c>
      <c r="L18" s="105">
        <f t="shared" si="4"/>
        <v>503.64</v>
      </c>
      <c r="M18" s="118">
        <f t="shared" si="5"/>
        <v>5791.86</v>
      </c>
      <c r="N18" s="118">
        <f t="shared" si="0"/>
        <v>1099.1942999999999</v>
      </c>
      <c r="O18" s="119">
        <f t="shared" si="6"/>
        <v>34.455271500000002</v>
      </c>
      <c r="P18" s="120">
        <f t="shared" si="1"/>
        <v>6925.5095714999998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2"/>
        <v>8716.7999999999993</v>
      </c>
      <c r="J19" s="117">
        <v>6</v>
      </c>
      <c r="K19" s="1">
        <f t="shared" si="3"/>
        <v>0</v>
      </c>
      <c r="L19" s="105">
        <f t="shared" si="4"/>
        <v>697.34399999999994</v>
      </c>
      <c r="M19" s="118">
        <f t="shared" si="5"/>
        <v>8019.4559999999992</v>
      </c>
      <c r="N19" s="118">
        <f t="shared" si="0"/>
        <v>1521.9532799999997</v>
      </c>
      <c r="O19" s="119">
        <f t="shared" si="6"/>
        <v>47.707046400000003</v>
      </c>
      <c r="P19" s="120">
        <f t="shared" si="1"/>
        <v>9589.1163264000006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</v>
      </c>
      <c r="I20" s="116">
        <f t="shared" si="2"/>
        <v>8716.7999999999993</v>
      </c>
      <c r="J20" s="117">
        <v>6</v>
      </c>
      <c r="K20" s="1">
        <f t="shared" si="3"/>
        <v>0</v>
      </c>
      <c r="L20" s="105">
        <f t="shared" si="4"/>
        <v>697.34399999999994</v>
      </c>
      <c r="M20" s="118">
        <f t="shared" si="5"/>
        <v>8019.4559999999992</v>
      </c>
      <c r="N20" s="118">
        <f t="shared" si="0"/>
        <v>1521.9532799999997</v>
      </c>
      <c r="O20" s="119">
        <f t="shared" si="6"/>
        <v>47.707046400000003</v>
      </c>
      <c r="P20" s="120">
        <f t="shared" si="1"/>
        <v>9589.1163264000006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120</v>
      </c>
      <c r="I21" s="116">
        <f t="shared" si="2"/>
        <v>8716.7999999999993</v>
      </c>
      <c r="J21" s="117">
        <v>6</v>
      </c>
      <c r="K21" s="1">
        <f t="shared" si="3"/>
        <v>0</v>
      </c>
      <c r="L21" s="105">
        <f t="shared" si="4"/>
        <v>697.34399999999994</v>
      </c>
      <c r="M21" s="118">
        <f t="shared" si="5"/>
        <v>8019.4559999999992</v>
      </c>
      <c r="N21" s="118">
        <f t="shared" si="0"/>
        <v>1521.9532799999997</v>
      </c>
      <c r="O21" s="119">
        <f t="shared" si="6"/>
        <v>47.707046400000003</v>
      </c>
      <c r="P21" s="120">
        <f t="shared" si="1"/>
        <v>9589.1163264000006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720</v>
      </c>
      <c r="I25" s="137">
        <f t="shared" si="9"/>
        <v>45036.899999999994</v>
      </c>
      <c r="J25" s="138"/>
      <c r="K25" s="139">
        <f t="shared" si="9"/>
        <v>0</v>
      </c>
      <c r="L25" s="140">
        <f t="shared" si="9"/>
        <v>3602.9520000000002</v>
      </c>
      <c r="M25" s="141">
        <f t="shared" si="9"/>
        <v>41433.947999999997</v>
      </c>
      <c r="N25" s="142">
        <f>SUM(N16:N24)</f>
        <v>7863.4427399999986</v>
      </c>
      <c r="O25" s="143">
        <f>SUM(O16:O24)</f>
        <v>246.48695369999999</v>
      </c>
      <c r="P25" s="144">
        <f>SUM(P16:P24)</f>
        <v>49543.8776937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45036.899999999994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3602.9520000000002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41433.947999999997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7863.4427399999986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49297.390739999995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246.48695369999999</v>
      </c>
    </row>
    <row r="35" spans="2:16" ht="15.75" customHeight="1" thickBot="1" x14ac:dyDescent="0.4">
      <c r="N35" s="203" t="s">
        <v>92</v>
      </c>
      <c r="O35" s="204"/>
      <c r="P35" s="160">
        <f>P33+P34</f>
        <v>49543.877693699993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121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30.574176000000001</v>
      </c>
      <c r="P19" s="120">
        <f t="shared" si="1"/>
        <v>1253.5412160000001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21.181824000000002</v>
      </c>
      <c r="P20" s="120">
        <f t="shared" si="1"/>
        <v>868.45478400000002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J18" sqref="J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123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3840322905227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3.5330345999999997</v>
      </c>
      <c r="P16" s="105">
        <f t="shared" ref="P16:P24" si="1">M16+N16+O16</f>
        <v>710.1399545999999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>
        <v>1</v>
      </c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138.96266999999997</v>
      </c>
      <c r="O17" s="119">
        <f t="shared" ref="O17:O24" si="6">(N17+M17)*$O$15</f>
        <v>3.5907433499999999</v>
      </c>
      <c r="P17" s="120">
        <f t="shared" si="1"/>
        <v>721.73941334999995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</v>
      </c>
      <c r="I18" s="116">
        <f t="shared" si="2"/>
        <v>629.54999999999995</v>
      </c>
      <c r="J18" s="117"/>
      <c r="K18" s="1">
        <f t="shared" si="3"/>
        <v>0</v>
      </c>
      <c r="L18" s="105">
        <f t="shared" si="4"/>
        <v>50.363999999999997</v>
      </c>
      <c r="M18" s="118">
        <f t="shared" si="5"/>
        <v>579.18599999999992</v>
      </c>
      <c r="N18" s="118">
        <f t="shared" si="0"/>
        <v>127.42091999999998</v>
      </c>
      <c r="O18" s="119">
        <f t="shared" si="6"/>
        <v>3.5330345999999997</v>
      </c>
      <c r="P18" s="120">
        <f t="shared" si="1"/>
        <v>710.1399545999999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36</v>
      </c>
      <c r="I25" s="137">
        <f t="shared" si="9"/>
        <v>1888.6499999999999</v>
      </c>
      <c r="J25" s="138"/>
      <c r="K25" s="139">
        <f t="shared" si="9"/>
        <v>0</v>
      </c>
      <c r="L25" s="140">
        <f t="shared" si="9"/>
        <v>151.09199999999998</v>
      </c>
      <c r="M25" s="141">
        <f t="shared" si="9"/>
        <v>1737.5579999999998</v>
      </c>
      <c r="N25" s="142">
        <f>SUM(N16:N24)</f>
        <v>393.80450999999994</v>
      </c>
      <c r="O25" s="143">
        <f>SUM(O16:O24)</f>
        <v>10.656812549999998</v>
      </c>
      <c r="P25" s="144">
        <f>SUM(P16:P24)</f>
        <v>2142.0193225499997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1888.6499999999999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151.09199999999998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1737.558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393.80450999999994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2131.3625099999999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10.65681255</v>
      </c>
    </row>
    <row r="35" spans="2:16" ht="15.75" customHeight="1" thickBot="1" x14ac:dyDescent="0.4">
      <c r="N35" s="203" t="s">
        <v>92</v>
      </c>
      <c r="O35" s="204"/>
      <c r="P35" s="160">
        <f>P33+P34</f>
        <v>2142.0193225499997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2026-06-19T12:21:36Z</dcterms:modified>
</cp:coreProperties>
</file>