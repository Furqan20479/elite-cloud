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018F9F1-A013-4F0B-A470-4C347561520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P31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25" i="18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<sst xmlns="http://schemas.openxmlformats.org/spreadsheetml/2006/main" count="1582" uniqueCount="122">
  <si>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</si>
  <si>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</si>
  <si>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</si>
  <si>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</si>
  <si>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</si>
  <si>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</si>
  <si>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</si>
  <si>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</si>
  <si>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</si>
  <si>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</si>
  <si>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</si>
  <si>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</si>
  <si>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</si>
  <si>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</si>
  <si>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</si>
  <si>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</si>
  <si>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</si>
  <si>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</si>
  <si>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</si>
  <si>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</si>
  <si>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</si>
  <si>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</si>
  <si>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</si>
  <si>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</si>
  <si>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</si>
  <si>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</si>
  <si>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</si>
  <si>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</si>
  <si>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</si>
  <si>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</si>
  <si>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</si>
  <si>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</si>
  <si>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</si>
  <si>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</si>
  <si>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</si>
  <si>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</si>
  <si>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</si>
  <si>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</si>
  <si>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</si>
  <si>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</si>
  <si>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</si>
  <si>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</si>
  <si>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</si>
  <si>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</si>
  <si>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</si>
  <si>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</si>
  <si>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</si>
  <si>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</si>
  <si>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</si>
  <si>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</si>
  <si>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</si>
  <si>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</si>
  <si>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</si>
  <si>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</si>
  <si>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</si>
  <si>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</si>
  <si>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</si>
  <si>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</si>
  <si>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</si>
  <si>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</si>
  <si>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</si>
  <si>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</si>
  <si>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</si>
  <si>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</si>
  <si>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</si>
  <si>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</si>
  <si>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</si>
  <si>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</si>
  <si>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</si>
  <si>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</si>
  <si>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</si>
  <si>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</si>
  <si>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</si>
  <si>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</si>
  <si>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</si>
  <si>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</si>
  <si>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</si>
  <si>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</si>
  <si>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</si>
  <si>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</si>
  <si>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</si>
  <si>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</si>
  <si>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</si>
  <si>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</si>
  <si>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</si>
  <si>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</si>
  <si>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</si>
  <si>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</si>
  <si>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</si>
  <si>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</si>
  <si>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</si>
  <si>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</si>
  <si>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</si>
  <si>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</si>
  <si>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</si>
  <si>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</si>
  <si>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</si>
  <si>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</si>
  <si>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</si>
  <si>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</si>
  <si>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</si>
  <si>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</si>
  <si>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</si>
  <si>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</si>
  <si>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Zeshan</t>
  </si>
  <si>
    <t>Shop Bill Summary (Zeshan)</t>
  </si>
  <si>
    <t>Customer Name : S.K Store</t>
  </si>
  <si>
    <t xml:space="preserve">Address: Punjab Society </t>
  </si>
  <si>
    <t xml:space="preserve">Customer Name : Punjab Store </t>
  </si>
  <si>
    <t>737675639-4</t>
  </si>
  <si>
    <t xml:space="preserve">Customer Name : Marhaba Mart </t>
  </si>
  <si>
    <t>3396048-8</t>
  </si>
  <si>
    <t xml:space="preserve">Customer Name : Ajwa Baker </t>
  </si>
  <si>
    <t xml:space="preserve">Address: Punja society </t>
  </si>
  <si>
    <t>0207759-7</t>
  </si>
  <si>
    <t xml:space="preserve">Customer Name : Allied Baker </t>
  </si>
  <si>
    <t xml:space="preserve">Customer Name : Bilal Store </t>
  </si>
  <si>
    <t>Address: Ghazi Road</t>
  </si>
  <si>
    <t>Customer Name : National Store</t>
  </si>
  <si>
    <t xml:space="preserve">Address: Ghazi Store </t>
  </si>
  <si>
    <t xml:space="preserve">Customer Name : Mhm Mart  </t>
  </si>
  <si>
    <t xml:space="preserve">Address: K block Punjab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</si>
</sst>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W30" sqref="W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S.K Store</v>
      </c>
      <c r="U14" s="164">
        <f>+'1'!P35</f>
        <v>9009.6782499000001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Punjab Store </v>
      </c>
      <c r="U15" s="164">
        <f>+'2'!P35</f>
        <v>17100.015524099999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671.72985000000006</v>
      </c>
      <c r="O16" s="101">
        <f>+'1'!O16+'2'!O16+'4'!O16+'3'!O16+'5'!O16+'6'!O16+'7'!O16+'8'!O16+'9'!O16+'10'!O16</f>
        <v>17.838299249999999</v>
      </c>
      <c r="P16" s="105">
        <f t="shared" ref="P16:P24" si="0">M16+N16+O16</f>
        <v>3585.4981492500001</v>
      </c>
      <c r="Q16" s="108"/>
      <c r="T16" s="163" t="str">
        <f>+'4'!A5</f>
        <v xml:space="preserve">Customer Name : Ajwa Baker </v>
      </c>
      <c r="U16" s="164">
        <f>+'4'!P35</f>
        <v>14206.122707400002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100</v>
      </c>
      <c r="I17" s="1">
        <f t="shared" ref="I17:I23" si="1">(G17*D17)*F17+H17*F17</f>
        <v>5246.25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419.7</v>
      </c>
      <c r="M17" s="118">
        <f t="shared" ref="M17:M23" si="2">I17-K17-L17</f>
        <v>4826.55</v>
      </c>
      <c r="N17" s="101">
        <f>+'1'!N17+'2'!N17+'4'!N17+'3'!N17+'5'!N17+'6'!N17+'7'!N17+'8'!N17+'9'!N17+'10'!N17</f>
        <v>1038.1279500000001</v>
      </c>
      <c r="O17" s="101">
        <f>+'1'!O17+'2'!O17+'4'!O17+'3'!O17+'5'!O17+'6'!O17+'7'!O17+'8'!O17+'9'!O17+'10'!O17</f>
        <v>29.323389749999997</v>
      </c>
      <c r="P17" s="120">
        <f t="shared" si="0"/>
        <v>5894.0013397500006</v>
      </c>
      <c r="S17" s="64"/>
      <c r="T17" s="163" t="str">
        <f>+'3'!A5</f>
        <v xml:space="preserve">Customer Name : Marhaba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814.21800000000007</v>
      </c>
      <c r="O18" s="101">
        <f>+'1'!O18+'2'!O18+'4'!O18+'3'!O18+'5'!O18+'6'!O18+'7'!O18+'8'!O18+'9'!O18+'10'!O18</f>
        <v>23.377289999999999</v>
      </c>
      <c r="P18" s="120">
        <f t="shared" si="0"/>
        <v>4698.83529</v>
      </c>
      <c r="T18" s="163" t="str">
        <f>+'5'!A5</f>
        <v xml:space="preserve">Customer Name : Allied Baker 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135</v>
      </c>
      <c r="I19" s="1">
        <f t="shared" si="1"/>
        <v>9806.4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784.51200000000006</v>
      </c>
      <c r="M19" s="118">
        <f t="shared" si="2"/>
        <v>9021.887999999999</v>
      </c>
      <c r="N19" s="101">
        <f>+'1'!N19+'2'!N19+'4'!N19+'3'!N19+'5'!N19+'6'!N19+'7'!N19+'8'!N19+'9'!N19+'10'!N19</f>
        <v>1967.9628799999998</v>
      </c>
      <c r="O19" s="101">
        <f>+'1'!O19+'2'!O19+'4'!O19+'3'!O19+'5'!O19+'6'!O19+'7'!O19+'8'!O19+'9'!O19+'10'!O19</f>
        <v>54.949254400000001</v>
      </c>
      <c r="P19" s="120">
        <f t="shared" si="0"/>
        <v>11044.800134399999</v>
      </c>
      <c r="T19" s="163" t="str">
        <f>+'6'!A5</f>
        <v xml:space="preserve">Customer Name : Bilal Store 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110</v>
      </c>
      <c r="I20" s="1">
        <f t="shared" si="1"/>
        <v>7990.4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639.23199999999997</v>
      </c>
      <c r="M20" s="118">
        <f t="shared" si="2"/>
        <v>7351.1679999999997</v>
      </c>
      <c r="N20" s="101">
        <f>+'1'!N20+'2'!N20+'4'!N20+'3'!N20+'5'!N20+'6'!N20+'7'!N20+'8'!N20+'9'!N20+'10'!N20</f>
        <v>1616.38528</v>
      </c>
      <c r="O20" s="101">
        <f>+'1'!O20+'2'!O20+'4'!O20+'3'!O20+'5'!O20+'6'!O20+'7'!O20+'8'!O20+'9'!O20+'10'!O20</f>
        <v>44.837766400000007</v>
      </c>
      <c r="P20" s="120">
        <f t="shared" si="0"/>
        <v>9012.3910464000001</v>
      </c>
      <c r="T20" s="163" t="str">
        <f>+'7'!A5</f>
        <v>Customer Name : National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668.28800000000001</v>
      </c>
      <c r="M21" s="118">
        <f t="shared" si="2"/>
        <v>7685.3119999999999</v>
      </c>
      <c r="N21" s="101">
        <f>+'1'!N21+'2'!N21+'4'!N21+'3'!N21+'5'!N21+'6'!N21+'7'!N21+'8'!N21+'9'!N21+'10'!N21</f>
        <v>1657.9353599999999</v>
      </c>
      <c r="O21" s="101">
        <f>+'1'!O21+'2'!O21+'4'!O21+'3'!O21+'5'!O21+'6'!O21+'7'!O21+'8'!O21+'9'!O21+'10'!O21</f>
        <v>46.716236800000004</v>
      </c>
      <c r="P21" s="120">
        <f t="shared" si="0"/>
        <v>9389.9635968000002</v>
      </c>
      <c r="T21" s="163" t="str">
        <f>+'8'!A5</f>
        <v xml:space="preserve">Customer Name : Mhm Mart  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640</v>
      </c>
      <c r="I25" s="178">
        <f t="shared" si="3"/>
        <v>40310.6</v>
      </c>
      <c r="J25" s="177">
        <f t="shared" si="3"/>
        <v>30</v>
      </c>
      <c r="K25" s="178">
        <f t="shared" si="3"/>
        <v>54.922000000000011</v>
      </c>
      <c r="L25" s="179">
        <f t="shared" si="3"/>
        <v>3177.7719999999999</v>
      </c>
      <c r="M25" s="141">
        <f t="shared" si="3"/>
        <v>37077.905999999995</v>
      </c>
      <c r="N25" s="142">
        <f>SUM(N16:N24)</f>
        <v>8082.2392799999998</v>
      </c>
      <c r="O25" s="143">
        <f>SUM(O16:O24)</f>
        <v>260.83468560000006</v>
      </c>
      <c r="P25" s="144">
        <f>SUM(P16:P24)</f>
        <v>45420.979965599996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45420.979965599996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40310.6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3177.7719999999999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54.922000000000011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37077.906000000003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8082.2392799999998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45160.145280000004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1129.0036320000002</v>
      </c>
    </row>
    <row r="39" spans="2:16" ht="15.75" customHeight="1" thickBot="1" x14ac:dyDescent="0.4">
      <c r="N39" s="203" t="s">
        <v>92</v>
      </c>
      <c r="O39" s="204"/>
      <c r="P39" s="160">
        <f>P37+P38</f>
        <v>46289.148912000004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35201150244143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7909.7000000000007</v>
      </c>
      <c r="J25" s="138"/>
      <c r="K25" s="139">
        <f t="shared" si="9"/>
        <v>0</v>
      </c>
      <c r="L25" s="140">
        <f t="shared" si="9"/>
        <v>632.77600000000007</v>
      </c>
      <c r="M25" s="141">
        <f t="shared" si="9"/>
        <v>7276.924</v>
      </c>
      <c r="N25" s="142">
        <f>SUM(N16:N24)</f>
        <v>1687.9299799999999</v>
      </c>
      <c r="O25" s="143">
        <f>SUM(O16:O24)</f>
        <v>44.824269900000004</v>
      </c>
      <c r="P25" s="144">
        <f>SUM(P16:P24)</f>
        <v>9009.6782499000001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7909.7000000000007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632.77600000000007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7276.9240000000009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1687.9299799999999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8964.8539799999999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44.824269899999997</v>
      </c>
    </row>
    <row r="35" spans="2:16" ht="15.75" customHeight="1" thickBot="1" x14ac:dyDescent="0.4">
      <c r="N35" s="203" t="s">
        <v>92</v>
      </c>
      <c r="O35" s="204"/>
      <c r="P35" s="160">
        <f>P33+P34</f>
        <v>9009.6782499000001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11.8921995</v>
      </c>
      <c r="P16" s="105">
        <f t="shared" ref="P16:P24" si="1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15012.300000000001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1200.9839999999999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13811.316000000001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17014.94082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3" t="s">
        <v>92</v>
      </c>
      <c r="O35" s="204"/>
      <c r="P35" s="160">
        <f>P33+P34</f>
        <v>17100.015524099999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352007833286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2254.7494799999999</v>
      </c>
      <c r="O25" s="143">
        <f>SUM(O16:O24)</f>
        <v>70.677227399999992</v>
      </c>
      <c r="P25" s="144">
        <f>SUM(P16:P24)</f>
        <v>14206.1227074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12913.800000000001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1033.104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11880.696000000002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2254.7494799999999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14135.445480000002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70.677227400000007</v>
      </c>
    </row>
    <row r="35" spans="2:16" ht="15.75" customHeight="1" thickBot="1" x14ac:dyDescent="0.4">
      <c r="N35" s="203" t="s">
        <v>92</v>
      </c>
      <c r="O35" s="204"/>
      <c r="P35" s="160">
        <f>P33+P34</f>
        <v>14206.122707400002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E13" sqref="E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12" sqref="A12:A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121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2026-06-15T05:16:11Z</dcterms:modified>
</cp:coreProperties>
</file>