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50B78EC-E2A5-4F91-9AEB-FAA134F1B615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K20" i="19" s="1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<sst xmlns="http://schemas.openxmlformats.org/spreadsheetml/2006/main" count="1581" uniqueCount="119">
  <si>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</si>
  <si>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</si>
  <si>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</si>
  <si>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</si>
  <si>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</si>
  <si>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</si>
  <si>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</si>
  <si>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</si>
  <si>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</si>
  <si>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</si>
  <si>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</si>
  <si>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</si>
  <si>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</si>
  <si>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</si>
  <si>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</si>
  <si>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</si>
  <si>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</si>
  <si>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</si>
  <si>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</si>
  <si>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</si>
  <si>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</si>
  <si>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</si>
  <si>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</si>
  <si>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</si>
  <si>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</si>
  <si>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</si>
  <si>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</si>
  <si>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</si>
  <si>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</si>
  <si>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</si>
  <si>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</si>
  <si>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</si>
  <si>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</si>
  <si>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</si>
  <si>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</si>
  <si>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</si>
  <si>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</si>
  <si>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</si>
  <si>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</si>
  <si>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</si>
  <si>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</si>
  <si>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</si>
  <si>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</si>
  <si>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</si>
  <si>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</si>
  <si>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</si>
  <si>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</si>
  <si>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</si>
  <si>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</si>
  <si>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</si>
  <si>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</si>
  <si>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</si>
  <si>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</si>
  <si>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</si>
  <si>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</si>
  <si>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</si>
  <si>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</si>
  <si>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</si>
  <si>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</si>
  <si>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</si>
  <si>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</si>
  <si>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</si>
  <si>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</si>
  <si>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</si>
  <si>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</si>
  <si>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</si>
  <si>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</si>
  <si>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</si>
  <si>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</si>
  <si>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</si>
  <si>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</si>
  <si>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</si>
  <si>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</si>
  <si>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</si>
  <si>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</si>
  <si>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</si>
  <si>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</si>
  <si>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</si>
  <si>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</si>
  <si>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</si>
  <si>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</si>
  <si>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</si>
  <si>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</si>
  <si>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</si>
  <si>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</si>
  <si>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</si>
  <si>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</si>
  <si>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</si>
  <si>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</si>
  <si>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</si>
  <si>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</si>
  <si>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</si>
  <si>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</si>
  <si>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</si>
  <si>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</si>
  <si>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</si>
  <si>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</si>
  <si>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</si>
  <si>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</si>
  <si>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</si>
  <si>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</si>
  <si>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</si>
  <si>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</si>
  <si>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</si>
  <si>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 xml:space="preserve">Mubeen </t>
  </si>
  <si>
    <t>Shop Bill Summary (Mubeen)</t>
  </si>
  <si>
    <t>Customer Name : Basics Store</t>
  </si>
  <si>
    <t>Address: Upper Mall</t>
  </si>
  <si>
    <t xml:space="preserve">Customer Name : Express City </t>
  </si>
  <si>
    <t xml:space="preserve">Address: Anand Road Basti Saidah shah </t>
  </si>
  <si>
    <t xml:space="preserve">Customer Name : Touqeer Store </t>
  </si>
  <si>
    <t xml:space="preserve">Address: Basti Saidan Shah </t>
  </si>
  <si>
    <t>3628249-9</t>
  </si>
  <si>
    <t xml:space="preserve">Customer Name :Premier Mart </t>
  </si>
  <si>
    <t>Address: Phase 6</t>
  </si>
  <si>
    <t>D470937</t>
  </si>
  <si>
    <t xml:space="preserve">Customer Name : Bravo Store </t>
  </si>
  <si>
    <t xml:space="preserve">Customer Name : Hafiz Traders </t>
  </si>
  <si>
    <t xml:space="preserve">Address: Railway Lines  Basti Shadian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</si>
</sst>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V26" sqref="V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105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Basics Store</v>
      </c>
      <c r="U14" s="164">
        <f>+'1'!P35</f>
        <v>5107.8765270300009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Express City </v>
      </c>
      <c r="U15" s="164">
        <f>+'2'!P35</f>
        <v>3309.6730752000003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27</v>
      </c>
      <c r="I16" s="1">
        <f>(G16*D16)*F16+H16*F16</f>
        <v>1416.4875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113.31899999999999</v>
      </c>
      <c r="M16" s="106">
        <f>I16-K16-L16</f>
        <v>1303.1685</v>
      </c>
      <c r="N16" s="101">
        <f>+'1'!N16+'2'!N16+'4'!N16+'3'!N16+'5'!N16+'6'!N16+'7'!N16+'8'!N16+'9'!N16+'10'!N16</f>
        <v>286.69707</v>
      </c>
      <c r="O16" s="101">
        <f>+'1'!O16+'2'!O16+'4'!O16+'3'!O16+'5'!O16+'6'!O16+'7'!O16+'8'!O16+'9'!O16+'10'!O16</f>
        <v>25.614500850000002</v>
      </c>
      <c r="P16" s="105">
        <f t="shared" ref="P16:P24" si="0">M16+N16+O16</f>
        <v>1615.4800708499999</v>
      </c>
      <c r="Q16" s="108"/>
      <c r="T16" s="163" t="str">
        <f>+'4'!A5</f>
        <v xml:space="preserve">Customer Name :Premier Mart </v>
      </c>
      <c r="U16" s="164">
        <f>+'4'!P35</f>
        <v>3414.4710722699997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46</v>
      </c>
      <c r="I17" s="1">
        <f t="shared" ref="I17:I23" si="1">(G17*D17)*F17+H17*F17</f>
        <v>2413.2750000000001</v>
      </c>
      <c r="J17" s="172">
        <f>+'1'!J17+'2'!J17+'4'!J17+'3'!J17+'5'!J17+'6'!J17+'7'!J17+'8'!J17+'9'!J17+'10'!J17+'11'!J17+'12'!J17+'13'!J17+'14'!J17+'15'!J17+'16'!J17+'17'!J17+'18'!J17</f>
        <v>4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193.06199999999998</v>
      </c>
      <c r="M17" s="118">
        <f t="shared" ref="M17:M23" si="2">I17-K17-L17</f>
        <v>2220.2130000000002</v>
      </c>
      <c r="N17" s="101">
        <f>+'1'!N17+'2'!N17+'4'!N17+'3'!N17+'5'!N17+'6'!N17+'7'!N17+'8'!N17+'9'!N17+'10'!N17</f>
        <v>534.61385999999993</v>
      </c>
      <c r="O17" s="101">
        <f>+'1'!O17+'2'!O17+'4'!O17+'3'!O17+'5'!O17+'6'!O17+'7'!O17+'8'!O17+'9'!O17+'10'!O17</f>
        <v>26.012586300000002</v>
      </c>
      <c r="P17" s="120">
        <f t="shared" si="0"/>
        <v>2780.8394463</v>
      </c>
      <c r="S17" s="64"/>
      <c r="T17" s="163" t="str">
        <f>+'3'!A5</f>
        <v xml:space="preserve">Customer Name : Touqeer Store </v>
      </c>
      <c r="U17" s="164">
        <f>+'3'!P35</f>
        <v>3309.6730752000003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27</v>
      </c>
      <c r="I18" s="1">
        <f t="shared" si="1"/>
        <v>1416.4875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113.31899999999999</v>
      </c>
      <c r="M18" s="118">
        <f t="shared" si="2"/>
        <v>1303.1685</v>
      </c>
      <c r="N18" s="101">
        <f>+'1'!N18+'2'!N18+'4'!N18+'3'!N18+'5'!N18+'6'!N18+'7'!N18+'8'!N18+'9'!N18+'10'!N18</f>
        <v>286.69707</v>
      </c>
      <c r="O18" s="101">
        <f>+'1'!O18+'2'!O18+'4'!O18+'3'!O18+'5'!O18+'6'!O18+'7'!O18+'8'!O18+'9'!O18+'10'!O18</f>
        <v>25.614500850000002</v>
      </c>
      <c r="P18" s="120">
        <f t="shared" si="0"/>
        <v>1615.4800708499999</v>
      </c>
      <c r="T18" s="163" t="str">
        <f>+'5'!A5</f>
        <v xml:space="preserve">Customer Name : Bravo Store </v>
      </c>
      <c r="U18" s="164">
        <f>+'5'!P35</f>
        <v>2437.9008974999997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46</v>
      </c>
      <c r="I19" s="1">
        <f t="shared" si="1"/>
        <v>3341.44</v>
      </c>
      <c r="J19" s="172">
        <f>+'1'!J19+'2'!J19+'4'!J19+'3'!J19+'5'!J19+'6'!J19+'7'!J19+'8'!J19+'9'!J19+'10'!J19+'11'!J19+'12'!J19+'13'!J19+'14'!J19+'15'!J19+'16'!J19+'17'!J19+'18'!J19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267.3152</v>
      </c>
      <c r="M19" s="118">
        <f t="shared" si="2"/>
        <v>3074.1248000000001</v>
      </c>
      <c r="N19" s="101">
        <f>+'1'!N19+'2'!N19+'4'!N19+'3'!N19+'5'!N19+'6'!N19+'7'!N19+'8'!N19+'9'!N19+'10'!N19</f>
        <v>692.28825600000005</v>
      </c>
      <c r="O19" s="101">
        <f>+'1'!O19+'2'!O19+'4'!O19+'3'!O19+'5'!O19+'6'!O19+'7'!O19+'8'!O19+'9'!O19+'10'!O19</f>
        <v>18.832065280000002</v>
      </c>
      <c r="P19" s="120">
        <f t="shared" si="0"/>
        <v>3785.2451212800001</v>
      </c>
      <c r="T19" s="163" t="str">
        <f>+'6'!A5</f>
        <v xml:space="preserve">Customer Name : Hafiz Traders </v>
      </c>
      <c r="U19" s="164">
        <f>+'6'!P35</f>
        <v>2291.3698269500001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64</v>
      </c>
      <c r="I20" s="1">
        <f t="shared" si="1"/>
        <v>4648.96</v>
      </c>
      <c r="J20" s="172">
        <f>+'1'!J20+'2'!J20+'4'!J20+'3'!J20+'5'!J20+'6'!J20+'7'!J20+'8'!J20+'9'!J20+'10'!J20+'11'!J20+'12'!J20+'13'!J20+'14'!J20+'15'!J20+'16'!J20+'17'!J20+'18'!J20</f>
        <v>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371.91680000000002</v>
      </c>
      <c r="M20" s="118">
        <f t="shared" si="2"/>
        <v>4277.0432000000001</v>
      </c>
      <c r="N20" s="101">
        <f>+'1'!N20+'2'!N20+'4'!N20+'3'!N20+'5'!N20+'6'!N20+'7'!N20+'8'!N20+'9'!N20+'10'!N20</f>
        <v>1004.872704</v>
      </c>
      <c r="O20" s="101">
        <f>+'1'!O20+'2'!O20+'4'!O20+'3'!O20+'5'!O20+'6'!O20+'7'!O20+'8'!O20+'9'!O20+'10'!O20</f>
        <v>45.97705216</v>
      </c>
      <c r="P20" s="120">
        <f t="shared" si="0"/>
        <v>5327.8929561600007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54</v>
      </c>
      <c r="I21" s="1">
        <f t="shared" si="1"/>
        <v>3922.56</v>
      </c>
      <c r="J21" s="172">
        <f>+'1'!J21+'2'!J21+'4'!J21+'3'!J21+'5'!J21+'6'!J21+'7'!J21+'8'!J21+'9'!J21+'10'!J21+'11'!J21+'12'!J21+'13'!J21+'14'!J21+'15'!J21+'16'!J21+'17'!J21+'18'!J21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313.8048</v>
      </c>
      <c r="M21" s="118">
        <f t="shared" si="2"/>
        <v>3608.7552000000001</v>
      </c>
      <c r="N21" s="101">
        <f>+'1'!N21+'2'!N21+'4'!N21+'3'!N21+'5'!N21+'6'!N21+'7'!N21+'8'!N21+'9'!N21+'10'!N21</f>
        <v>825.887744</v>
      </c>
      <c r="O21" s="101">
        <f>+'1'!O21+'2'!O21+'4'!O21+'3'!O21+'5'!O21+'6'!O21+'7'!O21+'8'!O21+'9'!O21+'10'!O21</f>
        <v>42.060303360000006</v>
      </c>
      <c r="P21" s="120">
        <f t="shared" si="0"/>
        <v>4476.7032473600002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6</v>
      </c>
      <c r="I22" s="1">
        <f t="shared" si="1"/>
        <v>235.38000000000002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8.2383000000000024</v>
      </c>
      <c r="L22" s="175">
        <f>+'1'!L22+'2'!L22+'4'!L22+'3'!L22+'5'!L22+'6'!L22+'7'!L22+'8'!L22+'9'!L22+'10'!L22</f>
        <v>11.769000000000002</v>
      </c>
      <c r="M22" s="118">
        <f t="shared" si="2"/>
        <v>215.37270000000001</v>
      </c>
      <c r="N22" s="101">
        <f>+'1'!N22+'2'!N22+'4'!N22+'3'!N22+'5'!N22+'6'!N22+'7'!N22+'8'!N22+'9'!N22+'10'!N22</f>
        <v>47.381993999999999</v>
      </c>
      <c r="O22" s="101">
        <f>+'1'!O22+'2'!O22+'4'!O22+'3'!O22+'5'!O22+'6'!O22+'7'!O22+'8'!O22+'9'!O22+'10'!O22</f>
        <v>6.5688673500000014</v>
      </c>
      <c r="P22" s="120">
        <f t="shared" si="0"/>
        <v>269.32356135000003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6.75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270</v>
      </c>
      <c r="I25" s="178">
        <f t="shared" si="3"/>
        <v>17394.590000000004</v>
      </c>
      <c r="J25" s="177">
        <f t="shared" si="3"/>
        <v>11</v>
      </c>
      <c r="K25" s="178">
        <f t="shared" si="3"/>
        <v>8.2383000000000024</v>
      </c>
      <c r="L25" s="179">
        <f t="shared" si="3"/>
        <v>1384.5058000000001</v>
      </c>
      <c r="M25" s="141">
        <f t="shared" si="3"/>
        <v>16001.8459</v>
      </c>
      <c r="N25" s="142">
        <f>SUM(N16:N24)</f>
        <v>3678.4386979999999</v>
      </c>
      <c r="O25" s="143">
        <f>SUM(O16:O24)</f>
        <v>190.67987615000001</v>
      </c>
      <c r="P25" s="144">
        <f>SUM(P16:P24)</f>
        <v>19870.964474150001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19870.964474150001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17394.590000000004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1384.5058000000001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8.2383000000000024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16001.845900000002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3678.4386979999999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19680.284598000002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492.00711495000007</v>
      </c>
    </row>
    <row r="39" spans="2:16" ht="15.75" customHeight="1" thickBot="1" x14ac:dyDescent="0.4">
      <c r="N39" s="219" t="s">
        <v>92</v>
      </c>
      <c r="O39" s="220"/>
      <c r="P39" s="160">
        <f>P37+P38</f>
        <v>20172.291712950002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3520114555018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 t="shared" ref="O16:O24" si="1">(N16+M16)*$O$15</f>
        <v>3.5330345999999997</v>
      </c>
      <c r="P16" s="105">
        <f t="shared" ref="P16:P24" si="2">M16+N16+O16</f>
        <v>710.1399545999999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3">(G17*D17)*F17+H17*F17</f>
        <v>629.54999999999995</v>
      </c>
      <c r="J17" s="117">
        <v>1</v>
      </c>
      <c r="K17" s="1">
        <f t="shared" ref="K17:K21" si="4">I17*$K$13</f>
        <v>0</v>
      </c>
      <c r="L17" s="105">
        <f t="shared" ref="L17:L21" si="5">I17*8%</f>
        <v>50.363999999999997</v>
      </c>
      <c r="M17" s="118">
        <f t="shared" ref="M17:M23" si="6">I17-K17-L17</f>
        <v>579.18599999999992</v>
      </c>
      <c r="N17" s="118">
        <f t="shared" si="0"/>
        <v>138.96266999999997</v>
      </c>
      <c r="O17" s="119">
        <f t="shared" si="1"/>
        <v>3.5907433499999999</v>
      </c>
      <c r="P17" s="120">
        <f t="shared" si="2"/>
        <v>721.73941334999995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</v>
      </c>
      <c r="I18" s="116">
        <f t="shared" si="3"/>
        <v>629.54999999999995</v>
      </c>
      <c r="J18" s="117"/>
      <c r="K18" s="1">
        <f t="shared" si="4"/>
        <v>0</v>
      </c>
      <c r="L18" s="105">
        <f t="shared" si="5"/>
        <v>50.363999999999997</v>
      </c>
      <c r="M18" s="118">
        <f t="shared" si="6"/>
        <v>579.18599999999992</v>
      </c>
      <c r="N18" s="118">
        <f t="shared" si="0"/>
        <v>127.42091999999998</v>
      </c>
      <c r="O18" s="119">
        <f t="shared" si="1"/>
        <v>3.5330345999999997</v>
      </c>
      <c r="P18" s="120">
        <f t="shared" si="2"/>
        <v>710.1399545999999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3"/>
        <v>871.68000000000006</v>
      </c>
      <c r="J19" s="117"/>
      <c r="K19" s="1">
        <f t="shared" si="4"/>
        <v>0</v>
      </c>
      <c r="L19" s="105">
        <f t="shared" si="5"/>
        <v>69.734400000000008</v>
      </c>
      <c r="M19" s="118">
        <f t="shared" si="6"/>
        <v>801.94560000000001</v>
      </c>
      <c r="N19" s="118">
        <f t="shared" si="0"/>
        <v>176.428032</v>
      </c>
      <c r="O19" s="119">
        <f t="shared" si="1"/>
        <v>4.8918681600000005</v>
      </c>
      <c r="P19" s="120">
        <f t="shared" si="2"/>
        <v>983.26550015999999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3"/>
        <v>871.68000000000006</v>
      </c>
      <c r="J20" s="117">
        <v>1</v>
      </c>
      <c r="K20" s="1">
        <f t="shared" si="4"/>
        <v>0</v>
      </c>
      <c r="L20" s="105">
        <f t="shared" si="5"/>
        <v>69.734400000000008</v>
      </c>
      <c r="M20" s="118">
        <f t="shared" si="6"/>
        <v>801.94560000000001</v>
      </c>
      <c r="N20" s="118">
        <f t="shared" si="0"/>
        <v>192.40883199999999</v>
      </c>
      <c r="O20" s="119">
        <f t="shared" si="1"/>
        <v>4.9717721599999996</v>
      </c>
      <c r="P20" s="120">
        <f t="shared" si="2"/>
        <v>999.32620415999997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3"/>
        <v>871.68000000000006</v>
      </c>
      <c r="J21" s="117"/>
      <c r="K21" s="1">
        <f t="shared" si="4"/>
        <v>0</v>
      </c>
      <c r="L21" s="105">
        <f t="shared" si="5"/>
        <v>69.734400000000008</v>
      </c>
      <c r="M21" s="118">
        <f t="shared" si="6"/>
        <v>801.94560000000001</v>
      </c>
      <c r="N21" s="118">
        <f t="shared" si="0"/>
        <v>176.428032</v>
      </c>
      <c r="O21" s="119">
        <f t="shared" si="1"/>
        <v>4.8918681600000005</v>
      </c>
      <c r="P21" s="120">
        <f t="shared" si="2"/>
        <v>983.26550015999999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72</v>
      </c>
      <c r="I25" s="137">
        <f t="shared" si="9"/>
        <v>4503.6900000000005</v>
      </c>
      <c r="J25" s="138"/>
      <c r="K25" s="139">
        <f t="shared" si="9"/>
        <v>0</v>
      </c>
      <c r="L25" s="140">
        <f t="shared" si="9"/>
        <v>360.29519999999997</v>
      </c>
      <c r="M25" s="141">
        <f t="shared" si="9"/>
        <v>4143.3948</v>
      </c>
      <c r="N25" s="142">
        <f>SUM(N16:N24)</f>
        <v>939.06940599999996</v>
      </c>
      <c r="O25" s="143">
        <f>SUM(O16:O24)</f>
        <v>25.412321030000001</v>
      </c>
      <c r="P25" s="144">
        <f>SUM(P16:P24)</f>
        <v>5107.8765270299991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4503.6900000000005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360.29519999999997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4143.3948000000009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939.06940599999996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5082.4642060000006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25.412321030000005</v>
      </c>
    </row>
    <row r="35" spans="2:16" ht="15.75" customHeight="1" thickBot="1" x14ac:dyDescent="0.4">
      <c r="N35" s="219" t="s">
        <v>92</v>
      </c>
      <c r="O35" s="220"/>
      <c r="P35" s="160">
        <f>P33+P34</f>
        <v>5107.8765270300009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3520173781389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2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326.00831999999997</v>
      </c>
      <c r="O20" s="119">
        <f t="shared" si="6"/>
        <v>8.3129215999999992</v>
      </c>
      <c r="P20" s="120">
        <f t="shared" si="1"/>
        <v>1670.8972415999999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232.44800000000001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19" t="s">
        <v>92</v>
      </c>
      <c r="O35" s="220"/>
      <c r="P35" s="160">
        <f>P33+P34</f>
        <v>3309.6730752000003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8.2330176000000002</v>
      </c>
      <c r="P21" s="120">
        <f t="shared" si="1"/>
        <v>1654.8365376000002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232.44800000000001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19" t="s">
        <v>92</v>
      </c>
      <c r="O35" s="220"/>
      <c r="P35" s="160">
        <f>P33+P34</f>
        <v>3309.6730752000003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114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24</v>
      </c>
      <c r="I17" s="116">
        <f t="shared" ref="I17:I23" si="2">(G17*D17)*F17+H17*F17</f>
        <v>1259.0999999999999</v>
      </c>
      <c r="J17" s="117">
        <v>1</v>
      </c>
      <c r="K17" s="1">
        <f t="shared" ref="K17:K21" si="3">I17*$K$13</f>
        <v>0</v>
      </c>
      <c r="L17" s="105">
        <f t="shared" ref="L17:L21" si="4">I17*8%</f>
        <v>100.72799999999999</v>
      </c>
      <c r="M17" s="118">
        <f t="shared" ref="M17:M23" si="5">I17-K17-L17</f>
        <v>1158.3719999999998</v>
      </c>
      <c r="N17" s="118">
        <f t="shared" si="0"/>
        <v>266.38358999999997</v>
      </c>
      <c r="O17" s="119">
        <f t="shared" ref="O17:O24" si="6">(N17+M17)*$O$15</f>
        <v>7.1237779499999991</v>
      </c>
      <c r="P17" s="120">
        <f t="shared" si="1"/>
        <v>1431.8793679499997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24</v>
      </c>
      <c r="I19" s="116">
        <f t="shared" si="2"/>
        <v>1743.3600000000001</v>
      </c>
      <c r="J19" s="117">
        <v>1</v>
      </c>
      <c r="K19" s="1">
        <f t="shared" si="3"/>
        <v>0</v>
      </c>
      <c r="L19" s="105">
        <f t="shared" si="4"/>
        <v>139.46880000000002</v>
      </c>
      <c r="M19" s="118">
        <f t="shared" si="5"/>
        <v>1603.8912</v>
      </c>
      <c r="N19" s="118">
        <f t="shared" si="0"/>
        <v>368.83686399999999</v>
      </c>
      <c r="O19" s="119">
        <f t="shared" si="6"/>
        <v>9.86364032</v>
      </c>
      <c r="P19" s="120">
        <f t="shared" si="1"/>
        <v>1982.59170432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48</v>
      </c>
      <c r="I25" s="137">
        <f t="shared" si="9"/>
        <v>3002.46</v>
      </c>
      <c r="J25" s="138"/>
      <c r="K25" s="139">
        <f t="shared" si="9"/>
        <v>0</v>
      </c>
      <c r="L25" s="140">
        <f t="shared" si="9"/>
        <v>240.1968</v>
      </c>
      <c r="M25" s="141">
        <f t="shared" si="9"/>
        <v>2762.2631999999999</v>
      </c>
      <c r="N25" s="142">
        <f>SUM(N16:N24)</f>
        <v>635.22045400000002</v>
      </c>
      <c r="O25" s="143">
        <f>SUM(O16:O24)</f>
        <v>16.987418269999999</v>
      </c>
      <c r="P25" s="144">
        <f>SUM(P16:P24)</f>
        <v>3414.4710722699997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3002.46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240.1968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2762.2631999999999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635.22045400000002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3397.4836539999997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16.987418269999999</v>
      </c>
    </row>
    <row r="35" spans="2:16" ht="15.75" customHeight="1" thickBot="1" x14ac:dyDescent="0.4">
      <c r="N35" s="219" t="s">
        <v>92</v>
      </c>
      <c r="O35" s="220"/>
      <c r="P35" s="160">
        <f>P33+P34</f>
        <v>3414.4710722699997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114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>(N16+M16)*$O$15</f>
        <v>22.081466250000002</v>
      </c>
      <c r="P16" s="105">
        <f t="shared" ref="P16:P24" si="1">M16+N16+O16</f>
        <v>905.34011624999994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2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129.26760000000002</v>
      </c>
      <c r="O17" s="119">
        <f t="shared" ref="O17:O24" si="6">(N17+M17)*$O$15</f>
        <v>15.298065000000001</v>
      </c>
      <c r="P17" s="120">
        <f t="shared" si="1"/>
        <v>627.22066499999994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22.081466250000002</v>
      </c>
      <c r="P18" s="120">
        <f t="shared" si="1"/>
        <v>905.34011624999994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447.81990000000008</v>
      </c>
      <c r="O25" s="143">
        <f>SUM(O16:O24)</f>
        <v>59.460997500000005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2098.5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167.88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1930.62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447.81990000000008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2378.4398999999999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19" t="s">
        <v>92</v>
      </c>
      <c r="O35" s="220"/>
      <c r="P35" s="160">
        <f>P33+P34</f>
        <v>2437.9008974999997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118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">
        <f t="shared" si="3"/>
        <v>0</v>
      </c>
      <c r="L20" s="105">
        <f t="shared" si="4"/>
        <v>69.734400000000008</v>
      </c>
      <c r="M20" s="118">
        <f t="shared" si="5"/>
        <v>801.94560000000001</v>
      </c>
      <c r="N20" s="118">
        <f t="shared" si="0"/>
        <v>176.428032</v>
      </c>
      <c r="O20" s="119">
        <f t="shared" si="6"/>
        <v>24.459340800000003</v>
      </c>
      <c r="P20" s="120">
        <f t="shared" si="1"/>
        <v>1002.8329728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>
        <v>1</v>
      </c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192.40883199999999</v>
      </c>
      <c r="O21" s="119">
        <f t="shared" si="6"/>
        <v>24.858860800000002</v>
      </c>
      <c r="P21" s="120">
        <f t="shared" si="1"/>
        <v>1019.2132928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I22*5%</f>
        <v>11.769000000000002</v>
      </c>
      <c r="M22" s="118">
        <f t="shared" si="5"/>
        <v>215.37270000000001</v>
      </c>
      <c r="N22" s="118">
        <f t="shared" si="0"/>
        <v>47.381993999999999</v>
      </c>
      <c r="O22" s="119">
        <f t="shared" si="6"/>
        <v>6.5688673500000014</v>
      </c>
      <c r="P22" s="120">
        <f t="shared" si="1"/>
        <v>269.32356135000003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30</v>
      </c>
      <c r="I25" s="137">
        <f t="shared" si="9"/>
        <v>1978.7400000000002</v>
      </c>
      <c r="J25" s="138"/>
      <c r="K25" s="139">
        <f t="shared" si="9"/>
        <v>8.2383000000000024</v>
      </c>
      <c r="L25" s="140">
        <f t="shared" si="9"/>
        <v>151.23780000000002</v>
      </c>
      <c r="M25" s="141">
        <f t="shared" si="9"/>
        <v>1819.2638999999999</v>
      </c>
      <c r="N25" s="142">
        <f>SUM(N16:N24)</f>
        <v>416.21885800000001</v>
      </c>
      <c r="O25" s="143">
        <f>SUM(O16:O24)</f>
        <v>55.887068950000014</v>
      </c>
      <c r="P25" s="144">
        <f>SUM(P16:P24)</f>
        <v>2291.3698269500001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1978.7400000000002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151.23780000000002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8.2383000000000024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1819.2639000000001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416.21885800000001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2235.4827580000001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55.887068950000007</v>
      </c>
    </row>
    <row r="35" spans="2:16" ht="15.75" customHeight="1" thickBot="1" x14ac:dyDescent="0.4">
      <c r="N35" s="219" t="s">
        <v>92</v>
      </c>
      <c r="O35" s="220"/>
      <c r="P35" s="160">
        <f>P33+P34</f>
        <v>2291.3698269500001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2026-06-15T10:02:20Z</dcterms:modified>
</cp:coreProperties>
</file>